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cflowers-my.sharepoint.com/personal/cesar_ecflowers_us/Documents/Documentos/COMERCIO EC FLOWERS/Listas de Precio/09. SEPTIEMBRE 2026/Semana 40/"/>
    </mc:Choice>
  </mc:AlternateContent>
  <xr:revisionPtr revIDLastSave="8524" documentId="8_{7F940F4F-8D91-49BB-886C-CA09F79A4551}" xr6:coauthVersionLast="47" xr6:coauthVersionMax="47" xr10:uidLastSave="{C7241E36-8901-40C5-9275-21502FCC4AD8}"/>
  <bookViews>
    <workbookView xWindow="28680" yWindow="-120" windowWidth="29040" windowHeight="15720" xr2:uid="{00000000-000D-0000-FFFF-FFFF00000000}"/>
  </bookViews>
  <sheets>
    <sheet name="test" sheetId="1" r:id="rId1"/>
    <sheet name="Sheet1" sheetId="2" r:id="rId2"/>
    <sheet name="Guias" sheetId="7" r:id="rId3"/>
    <sheet name="Fincas" sheetId="3" r:id="rId4"/>
    <sheet name="Catalogo" sheetId="15" r:id="rId5"/>
    <sheet name="Ordenes Fijas" sheetId="12" r:id="rId6"/>
    <sheet name="Reporte Fincas" sheetId="11" r:id="rId7"/>
    <sheet name="Open Market" sheetId="13" r:id="rId8"/>
  </sheets>
  <definedNames>
    <definedName name="_xlnm._FilterDatabase" localSheetId="3" hidden="1">Fincas!$B$1:$C$84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8" i="1" l="1"/>
  <c r="N178" i="1"/>
  <c r="S178" i="1"/>
  <c r="T178" i="1"/>
  <c r="U178" i="1"/>
  <c r="V178" i="1"/>
  <c r="W178" i="1" s="1"/>
  <c r="R178" i="1" s="1"/>
  <c r="Y178" i="1"/>
  <c r="Z178" i="1"/>
  <c r="AA178" i="1" a="1"/>
  <c r="D2" i="7"/>
  <c r="T514" i="15"/>
  <c r="O514" i="15"/>
  <c r="B514" i="15"/>
  <c r="T513" i="15"/>
  <c r="O513" i="15"/>
  <c r="B513" i="15"/>
  <c r="T512" i="15"/>
  <c r="O512" i="15"/>
  <c r="B512" i="15"/>
  <c r="T511" i="15"/>
  <c r="O511" i="15"/>
  <c r="B511" i="15"/>
  <c r="B515" i="15"/>
  <c r="B516" i="15"/>
  <c r="B517" i="15"/>
  <c r="B518" i="15"/>
  <c r="K515" i="15"/>
  <c r="K516" i="15"/>
  <c r="K517" i="15"/>
  <c r="K518" i="15"/>
  <c r="O515" i="15"/>
  <c r="O516" i="15"/>
  <c r="O517" i="15"/>
  <c r="O518" i="15"/>
  <c r="R515" i="15"/>
  <c r="R516" i="15"/>
  <c r="R517" i="15"/>
  <c r="R518" i="15"/>
  <c r="T510" i="15"/>
  <c r="O510" i="15"/>
  <c r="B510" i="15"/>
  <c r="T509" i="15"/>
  <c r="O509" i="15"/>
  <c r="B509" i="15"/>
  <c r="T508" i="15"/>
  <c r="O508" i="15"/>
  <c r="B508" i="15"/>
  <c r="T507" i="15"/>
  <c r="O507" i="15"/>
  <c r="B507" i="15"/>
  <c r="T506" i="15"/>
  <c r="O506" i="15"/>
  <c r="B506" i="15"/>
  <c r="T505" i="15"/>
  <c r="O505" i="15"/>
  <c r="B505" i="15"/>
  <c r="T504" i="15"/>
  <c r="O504" i="15"/>
  <c r="B504" i="15"/>
  <c r="T503" i="15"/>
  <c r="O503" i="15"/>
  <c r="B503" i="15"/>
  <c r="T502" i="15"/>
  <c r="O502" i="15"/>
  <c r="B502" i="15"/>
  <c r="T501" i="15"/>
  <c r="O501" i="15"/>
  <c r="B501" i="15"/>
  <c r="T500" i="15"/>
  <c r="O500" i="15"/>
  <c r="B500" i="15"/>
  <c r="T499" i="15"/>
  <c r="O499" i="15"/>
  <c r="B499" i="15"/>
  <c r="T498" i="15"/>
  <c r="O498" i="15"/>
  <c r="B498" i="15"/>
  <c r="T497" i="15"/>
  <c r="O497" i="15"/>
  <c r="B497" i="15"/>
  <c r="T496" i="15"/>
  <c r="O496" i="15"/>
  <c r="B496" i="15"/>
  <c r="T495" i="15"/>
  <c r="O495" i="15"/>
  <c r="B495" i="15"/>
  <c r="T494" i="15"/>
  <c r="O494" i="15"/>
  <c r="B494" i="15"/>
  <c r="T493" i="15"/>
  <c r="O493" i="15"/>
  <c r="B493" i="15"/>
  <c r="T492" i="15"/>
  <c r="O492" i="15"/>
  <c r="B492" i="15"/>
  <c r="T491" i="15"/>
  <c r="O491" i="15"/>
  <c r="B491" i="15"/>
  <c r="T490" i="15"/>
  <c r="O490" i="15"/>
  <c r="B490" i="15"/>
  <c r="T489" i="15"/>
  <c r="O489" i="15"/>
  <c r="B489" i="15"/>
  <c r="T488" i="15"/>
  <c r="O488" i="15"/>
  <c r="B488" i="15"/>
  <c r="T487" i="15"/>
  <c r="O487" i="15"/>
  <c r="B487" i="15"/>
  <c r="T486" i="15"/>
  <c r="O486" i="15"/>
  <c r="B486" i="15"/>
  <c r="T485" i="15"/>
  <c r="O485" i="15"/>
  <c r="B485" i="15"/>
  <c r="T484" i="15"/>
  <c r="O484" i="15"/>
  <c r="B484" i="15"/>
  <c r="T483" i="15"/>
  <c r="O483" i="15"/>
  <c r="B483" i="15"/>
  <c r="T480" i="15"/>
  <c r="T481" i="15"/>
  <c r="T482" i="15"/>
  <c r="T479" i="15"/>
  <c r="T477" i="15"/>
  <c r="T478" i="15"/>
  <c r="B481" i="15"/>
  <c r="B479" i="15"/>
  <c r="O479" i="15"/>
  <c r="O481" i="15"/>
  <c r="N153" i="1"/>
  <c r="S153" i="1"/>
  <c r="T153" i="1"/>
  <c r="U153" i="1"/>
  <c r="V153" i="1"/>
  <c r="W153" i="1" s="1"/>
  <c r="R153" i="1" s="1"/>
  <c r="Y153" i="1"/>
  <c r="Z153" i="1"/>
  <c r="AA153" i="1" a="1"/>
  <c r="AA109" i="1" a="1"/>
  <c r="Z109" i="1"/>
  <c r="U109" i="1"/>
  <c r="T109" i="1"/>
  <c r="S109" i="1"/>
  <c r="N109" i="1"/>
  <c r="K109" i="1"/>
  <c r="Y109" i="1" s="1"/>
  <c r="AA35" i="1" a="1"/>
  <c r="Z35" i="1"/>
  <c r="Y35" i="1"/>
  <c r="U35" i="1"/>
  <c r="T35" i="1"/>
  <c r="S35" i="1"/>
  <c r="V35" i="1" s="1"/>
  <c r="W35" i="1" s="1"/>
  <c r="R35" i="1" s="1"/>
  <c r="N35" i="1"/>
  <c r="M35" i="1"/>
  <c r="G35" i="1" s="1"/>
  <c r="AA78" i="1" a="1"/>
  <c r="Z78" i="1"/>
  <c r="Y78" i="1"/>
  <c r="U78" i="1"/>
  <c r="T78" i="1"/>
  <c r="S78" i="1"/>
  <c r="V78" i="1" s="1"/>
  <c r="W78" i="1" s="1"/>
  <c r="R78" i="1" s="1"/>
  <c r="N78" i="1"/>
  <c r="M77" i="1"/>
  <c r="N77" i="1"/>
  <c r="S77" i="1"/>
  <c r="T77" i="1"/>
  <c r="U77" i="1"/>
  <c r="V77" i="1" s="1"/>
  <c r="W77" i="1" s="1"/>
  <c r="R77" i="1" s="1"/>
  <c r="Y77" i="1"/>
  <c r="Z77" i="1"/>
  <c r="AA77" i="1" a="1"/>
  <c r="N34" i="1"/>
  <c r="S34" i="1"/>
  <c r="T34" i="1"/>
  <c r="U34" i="1"/>
  <c r="Y34" i="1"/>
  <c r="Z34" i="1"/>
  <c r="AA34" i="1" a="1"/>
  <c r="T403" i="15"/>
  <c r="O403" i="15"/>
  <c r="B403" i="15"/>
  <c r="T402" i="15"/>
  <c r="O402" i="15"/>
  <c r="B402" i="15"/>
  <c r="T401" i="15"/>
  <c r="O401" i="15"/>
  <c r="B401" i="15"/>
  <c r="T400" i="15"/>
  <c r="O400" i="15"/>
  <c r="B400" i="15"/>
  <c r="T399" i="15"/>
  <c r="O399" i="15"/>
  <c r="B399" i="15"/>
  <c r="T398" i="15"/>
  <c r="O398" i="15"/>
  <c r="B398" i="15"/>
  <c r="T397" i="15"/>
  <c r="O397" i="15"/>
  <c r="B397" i="15"/>
  <c r="T396" i="15"/>
  <c r="O396" i="15"/>
  <c r="B396" i="15"/>
  <c r="T395" i="15"/>
  <c r="O395" i="15"/>
  <c r="B395" i="15"/>
  <c r="T394" i="15"/>
  <c r="O394" i="15"/>
  <c r="B394" i="15"/>
  <c r="T393" i="15"/>
  <c r="O393" i="15"/>
  <c r="B393" i="15"/>
  <c r="T392" i="15"/>
  <c r="O392" i="15"/>
  <c r="B392" i="15"/>
  <c r="T391" i="15"/>
  <c r="O391" i="15"/>
  <c r="B391" i="15"/>
  <c r="T390" i="15"/>
  <c r="O390" i="15"/>
  <c r="B390" i="15"/>
  <c r="T389" i="15"/>
  <c r="O389" i="15"/>
  <c r="B389" i="15"/>
  <c r="T388" i="15"/>
  <c r="O388" i="15"/>
  <c r="B388" i="15"/>
  <c r="T387" i="15"/>
  <c r="O387" i="15"/>
  <c r="B387" i="15"/>
  <c r="T386" i="15"/>
  <c r="O386" i="15"/>
  <c r="B386" i="15"/>
  <c r="T385" i="15"/>
  <c r="O385" i="15"/>
  <c r="B385" i="15"/>
  <c r="T384" i="15"/>
  <c r="O384" i="15"/>
  <c r="B384" i="15"/>
  <c r="T383" i="15"/>
  <c r="O383" i="15"/>
  <c r="B383" i="15"/>
  <c r="T382" i="15"/>
  <c r="O382" i="15"/>
  <c r="B382" i="15"/>
  <c r="T381" i="15"/>
  <c r="O381" i="15"/>
  <c r="B381" i="15"/>
  <c r="T380" i="15"/>
  <c r="O380" i="15"/>
  <c r="B380" i="15"/>
  <c r="T379" i="15"/>
  <c r="O379" i="15"/>
  <c r="B379" i="15"/>
  <c r="T378" i="15"/>
  <c r="O378" i="15"/>
  <c r="B378" i="15"/>
  <c r="T377" i="15"/>
  <c r="O377" i="15"/>
  <c r="B377" i="15"/>
  <c r="T376" i="15"/>
  <c r="O376" i="15"/>
  <c r="B376" i="15"/>
  <c r="T375" i="15"/>
  <c r="O375" i="15"/>
  <c r="B375" i="15"/>
  <c r="T374" i="15"/>
  <c r="O374" i="15"/>
  <c r="B374" i="15"/>
  <c r="T373" i="15"/>
  <c r="O373" i="15"/>
  <c r="B373" i="15"/>
  <c r="T372" i="15"/>
  <c r="O372" i="15"/>
  <c r="B372" i="15"/>
  <c r="T371" i="15"/>
  <c r="O371" i="15"/>
  <c r="B371" i="15"/>
  <c r="T370" i="15"/>
  <c r="O370" i="15"/>
  <c r="B370" i="15"/>
  <c r="T369" i="15"/>
  <c r="O369" i="15"/>
  <c r="B369" i="15"/>
  <c r="T368" i="15"/>
  <c r="O368" i="15"/>
  <c r="B368" i="15"/>
  <c r="T367" i="15"/>
  <c r="O367" i="15"/>
  <c r="B367" i="15"/>
  <c r="T366" i="15"/>
  <c r="O366" i="15"/>
  <c r="B366" i="15"/>
  <c r="T365" i="15"/>
  <c r="O365" i="15"/>
  <c r="B365" i="15"/>
  <c r="T364" i="15"/>
  <c r="O364" i="15"/>
  <c r="B364" i="15"/>
  <c r="T363" i="15"/>
  <c r="O363" i="15"/>
  <c r="B363" i="15"/>
  <c r="T362" i="15"/>
  <c r="O362" i="15"/>
  <c r="B362" i="15"/>
  <c r="T361" i="15"/>
  <c r="O361" i="15"/>
  <c r="B361" i="15"/>
  <c r="T360" i="15"/>
  <c r="O360" i="15"/>
  <c r="B360" i="15"/>
  <c r="T359" i="15"/>
  <c r="O359" i="15"/>
  <c r="B359" i="15"/>
  <c r="T358" i="15"/>
  <c r="O358" i="15"/>
  <c r="B358" i="15"/>
  <c r="T357" i="15"/>
  <c r="O357" i="15"/>
  <c r="B357" i="15"/>
  <c r="T356" i="15"/>
  <c r="O356" i="15"/>
  <c r="B356" i="15"/>
  <c r="T355" i="15"/>
  <c r="O355" i="15"/>
  <c r="B355" i="15"/>
  <c r="T354" i="15"/>
  <c r="O354" i="15"/>
  <c r="B354" i="15"/>
  <c r="T353" i="15"/>
  <c r="O353" i="15"/>
  <c r="B353" i="15"/>
  <c r="T352" i="15"/>
  <c r="O352" i="15"/>
  <c r="B352" i="15"/>
  <c r="T351" i="15"/>
  <c r="O351" i="15"/>
  <c r="B351" i="15"/>
  <c r="T350" i="15"/>
  <c r="O350" i="15"/>
  <c r="B350" i="15"/>
  <c r="T349" i="15"/>
  <c r="O349" i="15"/>
  <c r="B349" i="15"/>
  <c r="T348" i="15"/>
  <c r="O348" i="15"/>
  <c r="B348" i="15"/>
  <c r="T347" i="15"/>
  <c r="O347" i="15"/>
  <c r="B347" i="15"/>
  <c r="T346" i="15"/>
  <c r="O346" i="15"/>
  <c r="B346" i="15"/>
  <c r="T345" i="15"/>
  <c r="O345" i="15"/>
  <c r="B345" i="15"/>
  <c r="T344" i="15"/>
  <c r="O344" i="15"/>
  <c r="B344" i="15"/>
  <c r="T343" i="15"/>
  <c r="O343" i="15"/>
  <c r="B343" i="15"/>
  <c r="T342" i="15"/>
  <c r="O342" i="15"/>
  <c r="B342" i="15"/>
  <c r="T341" i="15"/>
  <c r="O341" i="15"/>
  <c r="B341" i="15"/>
  <c r="T340" i="15"/>
  <c r="O340" i="15"/>
  <c r="B340" i="15"/>
  <c r="T339" i="15"/>
  <c r="O339" i="15"/>
  <c r="B339" i="15"/>
  <c r="T338" i="15"/>
  <c r="O338" i="15"/>
  <c r="B338" i="15"/>
  <c r="T337" i="15"/>
  <c r="O337" i="15"/>
  <c r="B337" i="15"/>
  <c r="T336" i="15"/>
  <c r="O336" i="15"/>
  <c r="B336" i="15"/>
  <c r="T335" i="15"/>
  <c r="O335" i="15"/>
  <c r="B335" i="15"/>
  <c r="T334" i="15"/>
  <c r="O334" i="15"/>
  <c r="B334" i="15"/>
  <c r="T333" i="15"/>
  <c r="O333" i="15"/>
  <c r="B333" i="15"/>
  <c r="T332" i="15"/>
  <c r="O332" i="15"/>
  <c r="B332" i="15"/>
  <c r="T331" i="15"/>
  <c r="O331" i="15"/>
  <c r="B331" i="15"/>
  <c r="T330" i="15"/>
  <c r="O330" i="15"/>
  <c r="B330" i="15"/>
  <c r="T329" i="15"/>
  <c r="O329" i="15"/>
  <c r="B329" i="15"/>
  <c r="T328" i="15"/>
  <c r="O328" i="15"/>
  <c r="B328" i="15"/>
  <c r="T327" i="15"/>
  <c r="O327" i="15"/>
  <c r="B327" i="15"/>
  <c r="T326" i="15"/>
  <c r="O326" i="15"/>
  <c r="B326" i="15"/>
  <c r="T325" i="15"/>
  <c r="O325" i="15"/>
  <c r="B325" i="15"/>
  <c r="T324" i="15"/>
  <c r="O324" i="15"/>
  <c r="B324" i="15"/>
  <c r="T323" i="15"/>
  <c r="O323" i="15"/>
  <c r="B323" i="15"/>
  <c r="T322" i="15"/>
  <c r="O322" i="15"/>
  <c r="B322" i="15"/>
  <c r="T321" i="15"/>
  <c r="O321" i="15"/>
  <c r="B321" i="15"/>
  <c r="T320" i="15"/>
  <c r="O320" i="15"/>
  <c r="B320" i="15"/>
  <c r="T319" i="15"/>
  <c r="O319" i="15"/>
  <c r="B319" i="15"/>
  <c r="T318" i="15"/>
  <c r="O318" i="15"/>
  <c r="B318" i="15"/>
  <c r="T317" i="15"/>
  <c r="O317" i="15"/>
  <c r="B317" i="15"/>
  <c r="T316" i="15"/>
  <c r="O316" i="15"/>
  <c r="B316" i="15"/>
  <c r="T315" i="15"/>
  <c r="O315" i="15"/>
  <c r="B315" i="15"/>
  <c r="T314" i="15"/>
  <c r="O314" i="15"/>
  <c r="B314" i="15"/>
  <c r="T313" i="15"/>
  <c r="O313" i="15"/>
  <c r="B313" i="15"/>
  <c r="T312" i="15"/>
  <c r="O312" i="15"/>
  <c r="B312" i="15"/>
  <c r="T311" i="15"/>
  <c r="O311" i="15"/>
  <c r="B311" i="15"/>
  <c r="T310" i="15"/>
  <c r="O310" i="15"/>
  <c r="B310" i="15"/>
  <c r="T309" i="15"/>
  <c r="O309" i="15"/>
  <c r="B309" i="15"/>
  <c r="T308" i="15"/>
  <c r="O308" i="15"/>
  <c r="B308" i="15"/>
  <c r="T307" i="15"/>
  <c r="O307" i="15"/>
  <c r="B307" i="15"/>
  <c r="T306" i="15"/>
  <c r="O306" i="15"/>
  <c r="B306" i="15"/>
  <c r="T305" i="15"/>
  <c r="O305" i="15"/>
  <c r="B305" i="15"/>
  <c r="T304" i="15"/>
  <c r="O304" i="15"/>
  <c r="B304" i="15"/>
  <c r="T303" i="15"/>
  <c r="O303" i="15"/>
  <c r="B303" i="15"/>
  <c r="T302" i="15"/>
  <c r="O302" i="15"/>
  <c r="B302" i="15"/>
  <c r="T301" i="15"/>
  <c r="O301" i="15"/>
  <c r="B301" i="15"/>
  <c r="T300" i="15"/>
  <c r="O300" i="15"/>
  <c r="B300" i="15"/>
  <c r="T299" i="15"/>
  <c r="O299" i="15"/>
  <c r="B299" i="15"/>
  <c r="T298" i="15"/>
  <c r="O298" i="15"/>
  <c r="B298" i="15"/>
  <c r="T297" i="15"/>
  <c r="O297" i="15"/>
  <c r="B297" i="15"/>
  <c r="T296" i="15"/>
  <c r="O296" i="15"/>
  <c r="B296" i="15"/>
  <c r="T295" i="15"/>
  <c r="O295" i="15"/>
  <c r="B295" i="15"/>
  <c r="T294" i="15"/>
  <c r="O294" i="15"/>
  <c r="B294" i="15"/>
  <c r="T293" i="15"/>
  <c r="O293" i="15"/>
  <c r="B293" i="15"/>
  <c r="T292" i="15"/>
  <c r="O292" i="15"/>
  <c r="B292" i="15"/>
  <c r="T291" i="15"/>
  <c r="O291" i="15"/>
  <c r="B291" i="15"/>
  <c r="T290" i="15"/>
  <c r="O290" i="15"/>
  <c r="B290" i="15"/>
  <c r="T289" i="15"/>
  <c r="O289" i="15"/>
  <c r="B289" i="15"/>
  <c r="T288" i="15"/>
  <c r="O288" i="15"/>
  <c r="B288" i="15"/>
  <c r="T287" i="15"/>
  <c r="O287" i="15"/>
  <c r="B287" i="15"/>
  <c r="T286" i="15"/>
  <c r="O286" i="15"/>
  <c r="B286" i="15"/>
  <c r="T285" i="15"/>
  <c r="O285" i="15"/>
  <c r="B285" i="15"/>
  <c r="T284" i="15"/>
  <c r="O284" i="15"/>
  <c r="B284" i="15"/>
  <c r="T283" i="15"/>
  <c r="O283" i="15"/>
  <c r="B283" i="15"/>
  <c r="T282" i="15"/>
  <c r="O282" i="15"/>
  <c r="B282" i="15"/>
  <c r="T281" i="15"/>
  <c r="O281" i="15"/>
  <c r="B281" i="15"/>
  <c r="T280" i="15"/>
  <c r="O280" i="15"/>
  <c r="B280" i="15"/>
  <c r="T279" i="15"/>
  <c r="O279" i="15"/>
  <c r="B279" i="15"/>
  <c r="T278" i="15"/>
  <c r="O278" i="15"/>
  <c r="B278" i="15"/>
  <c r="T277" i="15"/>
  <c r="O277" i="15"/>
  <c r="B277" i="15"/>
  <c r="T276" i="15"/>
  <c r="O276" i="15"/>
  <c r="B276" i="15"/>
  <c r="T275" i="15"/>
  <c r="O275" i="15"/>
  <c r="B275" i="15"/>
  <c r="T274" i="15"/>
  <c r="O274" i="15"/>
  <c r="B274" i="15"/>
  <c r="T273" i="15"/>
  <c r="O273" i="15"/>
  <c r="B273" i="15"/>
  <c r="T272" i="15"/>
  <c r="O272" i="15"/>
  <c r="B272" i="15"/>
  <c r="T271" i="15"/>
  <c r="O271" i="15"/>
  <c r="B271" i="15"/>
  <c r="T270" i="15"/>
  <c r="O270" i="15"/>
  <c r="B270" i="15"/>
  <c r="T269" i="15"/>
  <c r="O269" i="15"/>
  <c r="B269" i="15"/>
  <c r="T268" i="15"/>
  <c r="O268" i="15"/>
  <c r="B268" i="15"/>
  <c r="T267" i="15"/>
  <c r="O267" i="15"/>
  <c r="B267" i="15"/>
  <c r="T266" i="15"/>
  <c r="O266" i="15"/>
  <c r="B266" i="15"/>
  <c r="T265" i="15"/>
  <c r="O265" i="15"/>
  <c r="B265" i="15"/>
  <c r="T264" i="15"/>
  <c r="O264" i="15"/>
  <c r="B264" i="15"/>
  <c r="T263" i="15"/>
  <c r="O263" i="15"/>
  <c r="B263" i="15"/>
  <c r="T262" i="15"/>
  <c r="O262" i="15"/>
  <c r="B262" i="15"/>
  <c r="T261" i="15"/>
  <c r="O261" i="15"/>
  <c r="B261" i="15"/>
  <c r="T260" i="15"/>
  <c r="O260" i="15"/>
  <c r="B260" i="15"/>
  <c r="T259" i="15"/>
  <c r="O259" i="15"/>
  <c r="B259" i="15"/>
  <c r="T258" i="15"/>
  <c r="O258" i="15"/>
  <c r="B258" i="15"/>
  <c r="T257" i="15"/>
  <c r="O257" i="15"/>
  <c r="B257" i="15"/>
  <c r="T256" i="15"/>
  <c r="O256" i="15"/>
  <c r="B256" i="15"/>
  <c r="T255" i="15"/>
  <c r="O255" i="15"/>
  <c r="B255" i="15"/>
  <c r="T254" i="15"/>
  <c r="O254" i="15"/>
  <c r="B254" i="15"/>
  <c r="T253" i="15"/>
  <c r="O253" i="15"/>
  <c r="B253" i="15"/>
  <c r="T252" i="15"/>
  <c r="O252" i="15"/>
  <c r="B252" i="15"/>
  <c r="T251" i="15"/>
  <c r="O251" i="15"/>
  <c r="B251" i="15"/>
  <c r="T250" i="15"/>
  <c r="O250" i="15"/>
  <c r="B250" i="15"/>
  <c r="T249" i="15"/>
  <c r="O249" i="15"/>
  <c r="B249" i="15"/>
  <c r="T248" i="15"/>
  <c r="O248" i="15"/>
  <c r="B248" i="15"/>
  <c r="T247" i="15"/>
  <c r="O247" i="15"/>
  <c r="B247" i="15"/>
  <c r="T246" i="15"/>
  <c r="O246" i="15"/>
  <c r="B246" i="15"/>
  <c r="T245" i="15"/>
  <c r="O245" i="15"/>
  <c r="B245" i="15"/>
  <c r="T244" i="15"/>
  <c r="O244" i="15"/>
  <c r="B244" i="15"/>
  <c r="T243" i="15"/>
  <c r="O243" i="15"/>
  <c r="B243" i="15"/>
  <c r="T242" i="15"/>
  <c r="O242" i="15"/>
  <c r="B242" i="15"/>
  <c r="T241" i="15"/>
  <c r="O241" i="15"/>
  <c r="B241" i="15"/>
  <c r="T240" i="15"/>
  <c r="O240" i="15"/>
  <c r="B240" i="15"/>
  <c r="T239" i="15"/>
  <c r="O239" i="15"/>
  <c r="B239" i="15"/>
  <c r="T238" i="15"/>
  <c r="O238" i="15"/>
  <c r="B238" i="15"/>
  <c r="T237" i="15"/>
  <c r="O237" i="15"/>
  <c r="B237" i="15"/>
  <c r="T236" i="15"/>
  <c r="O236" i="15"/>
  <c r="B236" i="15"/>
  <c r="T235" i="15"/>
  <c r="O235" i="15"/>
  <c r="B235" i="15"/>
  <c r="T234" i="15"/>
  <c r="O234" i="15"/>
  <c r="B234" i="15"/>
  <c r="T233" i="15"/>
  <c r="O233" i="15"/>
  <c r="B233" i="15"/>
  <c r="T232" i="15"/>
  <c r="O232" i="15"/>
  <c r="B232" i="15"/>
  <c r="T231" i="15"/>
  <c r="O231" i="15"/>
  <c r="B231" i="15"/>
  <c r="T230" i="15"/>
  <c r="O230" i="15"/>
  <c r="B230" i="15"/>
  <c r="T229" i="15"/>
  <c r="O229" i="15"/>
  <c r="B229" i="15"/>
  <c r="T228" i="15"/>
  <c r="O228" i="15"/>
  <c r="B228" i="15"/>
  <c r="T227" i="15"/>
  <c r="O227" i="15"/>
  <c r="B227" i="15"/>
  <c r="T226" i="15"/>
  <c r="O226" i="15"/>
  <c r="B226" i="15"/>
  <c r="T225" i="15"/>
  <c r="O225" i="15"/>
  <c r="B225" i="15"/>
  <c r="T224" i="15"/>
  <c r="O224" i="15"/>
  <c r="B224" i="15"/>
  <c r="T223" i="15"/>
  <c r="O223" i="15"/>
  <c r="B223" i="15"/>
  <c r="T222" i="15"/>
  <c r="O222" i="15"/>
  <c r="B222" i="15"/>
  <c r="T221" i="15"/>
  <c r="O221" i="15"/>
  <c r="B221" i="15"/>
  <c r="T220" i="15"/>
  <c r="O220" i="15"/>
  <c r="B220" i="15"/>
  <c r="T219" i="15"/>
  <c r="O219" i="15"/>
  <c r="B219" i="15"/>
  <c r="T218" i="15"/>
  <c r="O218" i="15"/>
  <c r="B218" i="15"/>
  <c r="T217" i="15"/>
  <c r="O217" i="15"/>
  <c r="B217" i="15"/>
  <c r="T216" i="15"/>
  <c r="O216" i="15"/>
  <c r="B216" i="15"/>
  <c r="T215" i="15"/>
  <c r="O215" i="15"/>
  <c r="B215" i="15"/>
  <c r="B404" i="15"/>
  <c r="B405" i="15"/>
  <c r="B406" i="15"/>
  <c r="B407" i="15"/>
  <c r="B408" i="15"/>
  <c r="B409" i="15"/>
  <c r="B410" i="15"/>
  <c r="B411" i="15"/>
  <c r="B412" i="15"/>
  <c r="B413" i="15"/>
  <c r="B414" i="15"/>
  <c r="B415" i="15"/>
  <c r="B416" i="15"/>
  <c r="B417" i="15"/>
  <c r="B418" i="15"/>
  <c r="B419" i="15"/>
  <c r="B420" i="15"/>
  <c r="B421" i="15"/>
  <c r="B422" i="15"/>
  <c r="B423" i="15"/>
  <c r="B424" i="15"/>
  <c r="B425" i="15"/>
  <c r="B426" i="15"/>
  <c r="B427" i="15"/>
  <c r="B428" i="15"/>
  <c r="B429" i="15"/>
  <c r="B430" i="15"/>
  <c r="B431" i="15"/>
  <c r="B432" i="15"/>
  <c r="B433" i="15"/>
  <c r="B434" i="15"/>
  <c r="B435" i="15"/>
  <c r="B436" i="15"/>
  <c r="B437" i="15"/>
  <c r="B438" i="15"/>
  <c r="B439" i="15"/>
  <c r="B440" i="15"/>
  <c r="K404" i="15"/>
  <c r="K405" i="15"/>
  <c r="K406" i="15"/>
  <c r="K407" i="15"/>
  <c r="K408" i="15"/>
  <c r="K409" i="15"/>
  <c r="K410" i="15"/>
  <c r="K411" i="15"/>
  <c r="K412" i="15"/>
  <c r="K413" i="15"/>
  <c r="K414" i="15"/>
  <c r="K415" i="15"/>
  <c r="K416" i="15"/>
  <c r="K417" i="15"/>
  <c r="K418" i="15"/>
  <c r="K419" i="15"/>
  <c r="K420" i="15"/>
  <c r="K421" i="15"/>
  <c r="K422" i="15"/>
  <c r="K423" i="15"/>
  <c r="K424" i="15"/>
  <c r="K425" i="15"/>
  <c r="K426" i="15"/>
  <c r="K427" i="15"/>
  <c r="K428" i="15"/>
  <c r="K429" i="15"/>
  <c r="K430" i="15"/>
  <c r="K431" i="15"/>
  <c r="K432" i="15"/>
  <c r="K433" i="15"/>
  <c r="K434" i="15"/>
  <c r="K435" i="15"/>
  <c r="K436" i="15"/>
  <c r="K437" i="15"/>
  <c r="K438" i="15"/>
  <c r="K439" i="15"/>
  <c r="K440" i="15"/>
  <c r="O404" i="15"/>
  <c r="O405" i="15"/>
  <c r="O406" i="15"/>
  <c r="O407" i="15"/>
  <c r="O408" i="15"/>
  <c r="O409" i="15"/>
  <c r="O410" i="15"/>
  <c r="O411" i="15"/>
  <c r="O412" i="15"/>
  <c r="O413" i="15"/>
  <c r="O414" i="15"/>
  <c r="O415" i="15"/>
  <c r="O416" i="15"/>
  <c r="O417" i="15"/>
  <c r="O418" i="15"/>
  <c r="O419" i="15"/>
  <c r="O420" i="15"/>
  <c r="O421" i="15"/>
  <c r="O422" i="15"/>
  <c r="O423" i="15"/>
  <c r="O424" i="15"/>
  <c r="O425" i="15"/>
  <c r="O426" i="15"/>
  <c r="O427" i="15"/>
  <c r="O428" i="15"/>
  <c r="O429" i="15"/>
  <c r="O430" i="15"/>
  <c r="O431" i="15"/>
  <c r="O432" i="15"/>
  <c r="O433" i="15"/>
  <c r="O434" i="15"/>
  <c r="O435" i="15"/>
  <c r="O436" i="15"/>
  <c r="O437" i="15"/>
  <c r="O438" i="15"/>
  <c r="O439" i="15"/>
  <c r="O440" i="15"/>
  <c r="R404" i="15"/>
  <c r="R405" i="15"/>
  <c r="R406" i="15"/>
  <c r="R407" i="15"/>
  <c r="R408" i="15"/>
  <c r="R409" i="15"/>
  <c r="R410" i="15"/>
  <c r="R411" i="15"/>
  <c r="R412" i="15"/>
  <c r="R413" i="15"/>
  <c r="R414" i="15"/>
  <c r="R415" i="15"/>
  <c r="R416" i="15"/>
  <c r="R417" i="15"/>
  <c r="R418" i="15"/>
  <c r="R419" i="15"/>
  <c r="R420" i="15"/>
  <c r="R421" i="15"/>
  <c r="R422" i="15"/>
  <c r="R423" i="15"/>
  <c r="R424" i="15"/>
  <c r="R425" i="15"/>
  <c r="R426" i="15"/>
  <c r="R427" i="15"/>
  <c r="R428" i="15"/>
  <c r="R429" i="15"/>
  <c r="R430" i="15"/>
  <c r="R431" i="15"/>
  <c r="R432" i="15"/>
  <c r="R433" i="15"/>
  <c r="R434" i="15"/>
  <c r="R435" i="15"/>
  <c r="R436" i="15"/>
  <c r="R437" i="15"/>
  <c r="R438" i="15"/>
  <c r="R439" i="15"/>
  <c r="R440" i="15"/>
  <c r="B214" i="15"/>
  <c r="K214" i="15"/>
  <c r="O214" i="15"/>
  <c r="R214" i="15"/>
  <c r="B213" i="15"/>
  <c r="B441" i="15"/>
  <c r="B442" i="15"/>
  <c r="B443" i="15"/>
  <c r="K213" i="15"/>
  <c r="K441" i="15"/>
  <c r="K442" i="15"/>
  <c r="K443" i="15"/>
  <c r="O213" i="15"/>
  <c r="O441" i="15"/>
  <c r="O442" i="15"/>
  <c r="O443" i="15"/>
  <c r="R213" i="15"/>
  <c r="R441" i="15"/>
  <c r="R442" i="15"/>
  <c r="R443" i="15"/>
  <c r="T212" i="15"/>
  <c r="O212" i="15"/>
  <c r="B212" i="15"/>
  <c r="T211" i="15"/>
  <c r="O211" i="15"/>
  <c r="B211" i="15"/>
  <c r="T210" i="15"/>
  <c r="O210" i="15"/>
  <c r="B210" i="15"/>
  <c r="T209" i="15"/>
  <c r="O209" i="15"/>
  <c r="B209" i="15"/>
  <c r="T208" i="15"/>
  <c r="O208" i="15"/>
  <c r="B208" i="15"/>
  <c r="T207" i="15"/>
  <c r="O207" i="15"/>
  <c r="B207" i="15"/>
  <c r="T206" i="15"/>
  <c r="O206" i="15"/>
  <c r="B206" i="15"/>
  <c r="T205" i="15"/>
  <c r="O205" i="15"/>
  <c r="B205" i="15"/>
  <c r="T204" i="15"/>
  <c r="O204" i="15"/>
  <c r="B204" i="15"/>
  <c r="B444" i="15"/>
  <c r="K444" i="15"/>
  <c r="O444" i="15"/>
  <c r="R444" i="15"/>
  <c r="T203" i="15"/>
  <c r="O203" i="15"/>
  <c r="B203" i="15"/>
  <c r="T202" i="15"/>
  <c r="O202" i="15"/>
  <c r="B202" i="15"/>
  <c r="T201" i="15"/>
  <c r="O201" i="15"/>
  <c r="B201" i="15"/>
  <c r="T200" i="15"/>
  <c r="O200" i="15"/>
  <c r="B200" i="15"/>
  <c r="T199" i="15"/>
  <c r="O199" i="15"/>
  <c r="B199" i="15"/>
  <c r="T198" i="15"/>
  <c r="O198" i="15"/>
  <c r="B198" i="15"/>
  <c r="T197" i="15"/>
  <c r="O197" i="15"/>
  <c r="B197" i="15"/>
  <c r="T196" i="15"/>
  <c r="O196" i="15"/>
  <c r="B196" i="15"/>
  <c r="T195" i="15"/>
  <c r="O195" i="15"/>
  <c r="B195" i="15"/>
  <c r="T194" i="15"/>
  <c r="O194" i="15"/>
  <c r="B194" i="15"/>
  <c r="T193" i="15"/>
  <c r="O193" i="15"/>
  <c r="B193" i="15"/>
  <c r="T192" i="15"/>
  <c r="O192" i="15"/>
  <c r="B192" i="15"/>
  <c r="T191" i="15"/>
  <c r="O191" i="15"/>
  <c r="B191" i="15"/>
  <c r="T190" i="15"/>
  <c r="O190" i="15"/>
  <c r="B190" i="15"/>
  <c r="T189" i="15"/>
  <c r="O189" i="15"/>
  <c r="B189" i="15"/>
  <c r="T188" i="15"/>
  <c r="O188" i="15"/>
  <c r="B188" i="15"/>
  <c r="T187" i="15"/>
  <c r="O187" i="15"/>
  <c r="B187" i="15"/>
  <c r="T186" i="15"/>
  <c r="O186" i="15"/>
  <c r="B186" i="15"/>
  <c r="T185" i="15"/>
  <c r="O185" i="15"/>
  <c r="B185" i="15"/>
  <c r="T184" i="15"/>
  <c r="O184" i="15"/>
  <c r="B184" i="15"/>
  <c r="T183" i="15"/>
  <c r="O183" i="15"/>
  <c r="B183" i="15"/>
  <c r="T182" i="15"/>
  <c r="O182" i="15"/>
  <c r="B182" i="15"/>
  <c r="T181" i="15"/>
  <c r="O181" i="15"/>
  <c r="B181" i="15"/>
  <c r="T180" i="15"/>
  <c r="O180" i="15"/>
  <c r="B180" i="15"/>
  <c r="T179" i="15"/>
  <c r="O179" i="15"/>
  <c r="B179" i="15"/>
  <c r="T178" i="15"/>
  <c r="O178" i="15"/>
  <c r="B178" i="15"/>
  <c r="T177" i="15"/>
  <c r="O177" i="15"/>
  <c r="B177" i="15"/>
  <c r="T176" i="15"/>
  <c r="O176" i="15"/>
  <c r="B176" i="15"/>
  <c r="T175" i="15"/>
  <c r="O175" i="15"/>
  <c r="B175" i="15"/>
  <c r="T174" i="15"/>
  <c r="O174" i="15"/>
  <c r="B174" i="15"/>
  <c r="T173" i="15"/>
  <c r="O173" i="15"/>
  <c r="B173" i="15"/>
  <c r="T172" i="15"/>
  <c r="O172" i="15"/>
  <c r="B172" i="15"/>
  <c r="T171" i="15"/>
  <c r="O171" i="15"/>
  <c r="B171" i="15"/>
  <c r="T170" i="15"/>
  <c r="O170" i="15"/>
  <c r="B170" i="15"/>
  <c r="T169" i="15"/>
  <c r="O169" i="15"/>
  <c r="B169" i="15"/>
  <c r="T168" i="15"/>
  <c r="O168" i="15"/>
  <c r="B168" i="15"/>
  <c r="T167" i="15"/>
  <c r="O167" i="15"/>
  <c r="B167" i="15"/>
  <c r="T166" i="15"/>
  <c r="O166" i="15"/>
  <c r="B166" i="15"/>
  <c r="T165" i="15"/>
  <c r="O165" i="15"/>
  <c r="B165" i="15"/>
  <c r="T164" i="15"/>
  <c r="O164" i="15"/>
  <c r="B164" i="15"/>
  <c r="T163" i="15"/>
  <c r="O163" i="15"/>
  <c r="B163" i="15"/>
  <c r="T162" i="15"/>
  <c r="O162" i="15"/>
  <c r="B162" i="15"/>
  <c r="T161" i="15"/>
  <c r="O161" i="15"/>
  <c r="B161" i="15"/>
  <c r="T160" i="15"/>
  <c r="O160" i="15"/>
  <c r="B160" i="15"/>
  <c r="T159" i="15"/>
  <c r="O159" i="15"/>
  <c r="B159" i="15"/>
  <c r="T158" i="15"/>
  <c r="O158" i="15"/>
  <c r="B158" i="15"/>
  <c r="T157" i="15"/>
  <c r="O157" i="15"/>
  <c r="B157" i="15"/>
  <c r="T156" i="15"/>
  <c r="O156" i="15"/>
  <c r="B156" i="15"/>
  <c r="T155" i="15"/>
  <c r="O155" i="15"/>
  <c r="B155" i="15"/>
  <c r="T154" i="15"/>
  <c r="O154" i="15"/>
  <c r="B154" i="15"/>
  <c r="T153" i="15"/>
  <c r="O153" i="15"/>
  <c r="B153" i="15"/>
  <c r="T152" i="15"/>
  <c r="O152" i="15"/>
  <c r="B152" i="15"/>
  <c r="T151" i="15"/>
  <c r="O151" i="15"/>
  <c r="B151" i="15"/>
  <c r="T150" i="15"/>
  <c r="O150" i="15"/>
  <c r="B150" i="15"/>
  <c r="T149" i="15"/>
  <c r="O149" i="15"/>
  <c r="B149" i="15"/>
  <c r="T148" i="15"/>
  <c r="O148" i="15"/>
  <c r="B148" i="15"/>
  <c r="T147" i="15"/>
  <c r="O147" i="15"/>
  <c r="B147" i="15"/>
  <c r="T146" i="15"/>
  <c r="O146" i="15"/>
  <c r="B146" i="15"/>
  <c r="T145" i="15"/>
  <c r="O145" i="15"/>
  <c r="B145" i="15"/>
  <c r="T144" i="15"/>
  <c r="O144" i="15"/>
  <c r="B144" i="15"/>
  <c r="T143" i="15"/>
  <c r="O143" i="15"/>
  <c r="B143" i="15"/>
  <c r="T142" i="15"/>
  <c r="O142" i="15"/>
  <c r="B142" i="15"/>
  <c r="T141" i="15"/>
  <c r="O141" i="15"/>
  <c r="B141" i="15"/>
  <c r="T140" i="15"/>
  <c r="O140" i="15"/>
  <c r="B140" i="15"/>
  <c r="T139" i="15"/>
  <c r="O139" i="15"/>
  <c r="B139" i="15"/>
  <c r="T138" i="15"/>
  <c r="O138" i="15"/>
  <c r="B138" i="15"/>
  <c r="T137" i="15"/>
  <c r="O137" i="15"/>
  <c r="B137" i="15"/>
  <c r="T136" i="15"/>
  <c r="O136" i="15"/>
  <c r="B136" i="15"/>
  <c r="T135" i="15"/>
  <c r="O135" i="15"/>
  <c r="B135" i="15"/>
  <c r="T134" i="15"/>
  <c r="O134" i="15"/>
  <c r="B134" i="15"/>
  <c r="T133" i="15"/>
  <c r="O133" i="15"/>
  <c r="B133" i="15"/>
  <c r="T132" i="15"/>
  <c r="O132" i="15"/>
  <c r="B132" i="15"/>
  <c r="B445" i="15"/>
  <c r="B446" i="15"/>
  <c r="B447" i="15"/>
  <c r="K445" i="15"/>
  <c r="K446" i="15"/>
  <c r="K447" i="15"/>
  <c r="O445" i="15"/>
  <c r="O446" i="15"/>
  <c r="O447" i="15"/>
  <c r="R445" i="15"/>
  <c r="R446" i="15"/>
  <c r="R447" i="15"/>
  <c r="T131" i="15"/>
  <c r="O131" i="15"/>
  <c r="B131" i="15"/>
  <c r="T130" i="15"/>
  <c r="O130" i="15"/>
  <c r="B130" i="15"/>
  <c r="T129" i="15"/>
  <c r="O129" i="15"/>
  <c r="B129" i="15"/>
  <c r="T128" i="15"/>
  <c r="O128" i="15"/>
  <c r="B128" i="15"/>
  <c r="T127" i="15"/>
  <c r="O127" i="15"/>
  <c r="B127" i="15"/>
  <c r="T126" i="15"/>
  <c r="O126" i="15"/>
  <c r="B126" i="15"/>
  <c r="T125" i="15"/>
  <c r="O125" i="15"/>
  <c r="B125" i="15"/>
  <c r="T124" i="15"/>
  <c r="O124" i="15"/>
  <c r="B124" i="15"/>
  <c r="T123" i="15"/>
  <c r="O123" i="15"/>
  <c r="B123" i="15"/>
  <c r="T122" i="15"/>
  <c r="O122" i="15"/>
  <c r="B122" i="15"/>
  <c r="T121" i="15"/>
  <c r="O121" i="15"/>
  <c r="B121" i="15"/>
  <c r="T120" i="15"/>
  <c r="O120" i="15"/>
  <c r="B120" i="15"/>
  <c r="T119" i="15"/>
  <c r="O119" i="15"/>
  <c r="B119" i="15"/>
  <c r="T118" i="15"/>
  <c r="O118" i="15"/>
  <c r="B118" i="15"/>
  <c r="T117" i="15"/>
  <c r="O117" i="15"/>
  <c r="B117" i="15"/>
  <c r="T116" i="15"/>
  <c r="O116" i="15"/>
  <c r="B116" i="15"/>
  <c r="T115" i="15"/>
  <c r="O115" i="15"/>
  <c r="B115" i="15"/>
  <c r="T114" i="15"/>
  <c r="O114" i="15"/>
  <c r="B114" i="15"/>
  <c r="T113" i="15"/>
  <c r="O113" i="15"/>
  <c r="B113" i="15"/>
  <c r="T112" i="15"/>
  <c r="O112" i="15"/>
  <c r="B112" i="15"/>
  <c r="T111" i="15"/>
  <c r="O111" i="15"/>
  <c r="B111" i="15"/>
  <c r="T110" i="15"/>
  <c r="O110" i="15"/>
  <c r="B110" i="15"/>
  <c r="T109" i="15"/>
  <c r="O109" i="15"/>
  <c r="B109" i="15"/>
  <c r="T108" i="15"/>
  <c r="O108" i="15"/>
  <c r="B108" i="15"/>
  <c r="T107" i="15"/>
  <c r="O107" i="15"/>
  <c r="B107" i="15"/>
  <c r="T106" i="15"/>
  <c r="O106" i="15"/>
  <c r="B106" i="15"/>
  <c r="T105" i="15"/>
  <c r="O105" i="15"/>
  <c r="B105" i="15"/>
  <c r="B68" i="15"/>
  <c r="O68" i="15"/>
  <c r="T68" i="15"/>
  <c r="T104" i="15"/>
  <c r="O104" i="15"/>
  <c r="B104" i="15"/>
  <c r="T103" i="15"/>
  <c r="O103" i="15"/>
  <c r="B103" i="15"/>
  <c r="T102" i="15"/>
  <c r="O102" i="15"/>
  <c r="B102" i="15"/>
  <c r="T101" i="15"/>
  <c r="O101" i="15"/>
  <c r="B101" i="15"/>
  <c r="T100" i="15"/>
  <c r="O100" i="15"/>
  <c r="B100" i="15"/>
  <c r="T99" i="15"/>
  <c r="O99" i="15"/>
  <c r="B99" i="15"/>
  <c r="T98" i="15"/>
  <c r="O98" i="15"/>
  <c r="B98" i="15"/>
  <c r="T97" i="15"/>
  <c r="O97" i="15"/>
  <c r="B97" i="15"/>
  <c r="T96" i="15"/>
  <c r="O96" i="15"/>
  <c r="B96" i="15"/>
  <c r="T95" i="15"/>
  <c r="O95" i="15"/>
  <c r="B95" i="15"/>
  <c r="T94" i="15"/>
  <c r="O94" i="15"/>
  <c r="B94" i="15"/>
  <c r="T93" i="15"/>
  <c r="O93" i="15"/>
  <c r="B93" i="15"/>
  <c r="T92" i="15"/>
  <c r="O92" i="15"/>
  <c r="B92" i="15"/>
  <c r="T91" i="15"/>
  <c r="O91" i="15"/>
  <c r="B91" i="15"/>
  <c r="T90" i="15"/>
  <c r="O90" i="15"/>
  <c r="B90" i="15"/>
  <c r="T89" i="15"/>
  <c r="O89" i="15"/>
  <c r="B89" i="15"/>
  <c r="T88" i="15"/>
  <c r="O88" i="15"/>
  <c r="B88" i="15"/>
  <c r="T87" i="15"/>
  <c r="O87" i="15"/>
  <c r="B87" i="15"/>
  <c r="T86" i="15"/>
  <c r="O86" i="15"/>
  <c r="B86" i="15"/>
  <c r="T85" i="15"/>
  <c r="O85" i="15"/>
  <c r="B85" i="15"/>
  <c r="T84" i="15"/>
  <c r="O84" i="15"/>
  <c r="B84" i="15"/>
  <c r="T83" i="15"/>
  <c r="O83" i="15"/>
  <c r="B83" i="15"/>
  <c r="T82" i="15"/>
  <c r="O82" i="15"/>
  <c r="B82" i="15"/>
  <c r="T81" i="15"/>
  <c r="O81" i="15"/>
  <c r="B81" i="15"/>
  <c r="T80" i="15"/>
  <c r="O80" i="15"/>
  <c r="B80" i="15"/>
  <c r="T79" i="15"/>
  <c r="O79" i="15"/>
  <c r="B79" i="15"/>
  <c r="T78" i="15"/>
  <c r="O78" i="15"/>
  <c r="B78" i="15"/>
  <c r="T77" i="15"/>
  <c r="O77" i="15"/>
  <c r="B77" i="15"/>
  <c r="T76" i="15"/>
  <c r="O76" i="15"/>
  <c r="B76" i="15"/>
  <c r="T75" i="15"/>
  <c r="O75" i="15"/>
  <c r="B75" i="15"/>
  <c r="T74" i="15"/>
  <c r="O74" i="15"/>
  <c r="B74" i="15"/>
  <c r="T73" i="15"/>
  <c r="O73" i="15"/>
  <c r="B73" i="15"/>
  <c r="T72" i="15"/>
  <c r="O72" i="15"/>
  <c r="B72" i="15"/>
  <c r="T71" i="15"/>
  <c r="O71" i="15"/>
  <c r="B71" i="15"/>
  <c r="T70" i="15"/>
  <c r="O70" i="15"/>
  <c r="B70" i="15"/>
  <c r="T69" i="15"/>
  <c r="O69" i="15"/>
  <c r="B69" i="15"/>
  <c r="T67" i="15"/>
  <c r="O67" i="15"/>
  <c r="B67" i="15"/>
  <c r="T66" i="15"/>
  <c r="O66" i="15"/>
  <c r="B66" i="15"/>
  <c r="T65" i="15"/>
  <c r="O65" i="15"/>
  <c r="B65" i="15"/>
  <c r="T64" i="15"/>
  <c r="O64" i="15"/>
  <c r="B64" i="15"/>
  <c r="T63" i="15"/>
  <c r="O63" i="15"/>
  <c r="B63" i="15"/>
  <c r="T62" i="15"/>
  <c r="O62" i="15"/>
  <c r="B62" i="15"/>
  <c r="T61" i="15"/>
  <c r="O61" i="15"/>
  <c r="B61" i="15"/>
  <c r="T60" i="15"/>
  <c r="O60" i="15"/>
  <c r="B60" i="15"/>
  <c r="T59" i="15"/>
  <c r="O59" i="15"/>
  <c r="B59" i="15"/>
  <c r="T58" i="15"/>
  <c r="O58" i="15"/>
  <c r="B58" i="15"/>
  <c r="T57" i="15"/>
  <c r="O57" i="15"/>
  <c r="B57" i="15"/>
  <c r="T56" i="15"/>
  <c r="O56" i="15"/>
  <c r="B56" i="15"/>
  <c r="T55" i="15"/>
  <c r="O55" i="15"/>
  <c r="B55" i="15"/>
  <c r="T54" i="15"/>
  <c r="O54" i="15"/>
  <c r="B54" i="15"/>
  <c r="T53" i="15"/>
  <c r="O53" i="15"/>
  <c r="B53" i="15"/>
  <c r="T52" i="15"/>
  <c r="O52" i="15"/>
  <c r="B52" i="15"/>
  <c r="T51" i="15"/>
  <c r="O51" i="15"/>
  <c r="B51" i="15"/>
  <c r="T50" i="15"/>
  <c r="O50" i="15"/>
  <c r="B50" i="15"/>
  <c r="T49" i="15"/>
  <c r="O49" i="15"/>
  <c r="B49" i="15"/>
  <c r="T48" i="15"/>
  <c r="O48" i="15"/>
  <c r="B48" i="15"/>
  <c r="T47" i="15"/>
  <c r="O47" i="15"/>
  <c r="B47" i="15"/>
  <c r="T46" i="15"/>
  <c r="O46" i="15"/>
  <c r="B46" i="15"/>
  <c r="T45" i="15"/>
  <c r="O45" i="15"/>
  <c r="B45" i="15"/>
  <c r="T44" i="15"/>
  <c r="O44" i="15"/>
  <c r="B44" i="15"/>
  <c r="T43" i="15"/>
  <c r="O43" i="15"/>
  <c r="B43" i="15"/>
  <c r="T42" i="15"/>
  <c r="O42" i="15"/>
  <c r="B42" i="15"/>
  <c r="T41" i="15"/>
  <c r="O41" i="15"/>
  <c r="B41" i="15"/>
  <c r="T40" i="15"/>
  <c r="O40" i="15"/>
  <c r="B40" i="15"/>
  <c r="T39" i="15"/>
  <c r="O39" i="15"/>
  <c r="B39" i="15"/>
  <c r="T38" i="15"/>
  <c r="O38" i="15"/>
  <c r="B38" i="15"/>
  <c r="T37" i="15"/>
  <c r="O37" i="15"/>
  <c r="B37" i="15"/>
  <c r="T36" i="15"/>
  <c r="O36" i="15"/>
  <c r="B36" i="15"/>
  <c r="T35" i="15"/>
  <c r="O35" i="15"/>
  <c r="B35" i="15"/>
  <c r="T34" i="15"/>
  <c r="O34" i="15"/>
  <c r="B34" i="15"/>
  <c r="T33" i="15"/>
  <c r="O33" i="15"/>
  <c r="B33" i="15"/>
  <c r="T454" i="15"/>
  <c r="T455" i="15"/>
  <c r="T456" i="15"/>
  <c r="T457" i="15"/>
  <c r="T458" i="15"/>
  <c r="T459" i="15"/>
  <c r="T460" i="15"/>
  <c r="T461" i="15"/>
  <c r="T462" i="15"/>
  <c r="T463" i="15"/>
  <c r="T464" i="15"/>
  <c r="T465" i="15"/>
  <c r="T466" i="15"/>
  <c r="T467" i="15"/>
  <c r="T468" i="15"/>
  <c r="T469" i="15"/>
  <c r="T470" i="15"/>
  <c r="T471" i="15"/>
  <c r="T472" i="15"/>
  <c r="T473" i="15"/>
  <c r="T474" i="15"/>
  <c r="T475" i="15"/>
  <c r="T476" i="15"/>
  <c r="T453" i="15"/>
  <c r="T452" i="15"/>
  <c r="K477" i="15"/>
  <c r="B476" i="15"/>
  <c r="B475" i="15"/>
  <c r="B474" i="15"/>
  <c r="B473" i="15"/>
  <c r="B472" i="15"/>
  <c r="B471" i="15"/>
  <c r="B470" i="15"/>
  <c r="B468" i="15"/>
  <c r="B466" i="15"/>
  <c r="B464" i="15"/>
  <c r="B462" i="15"/>
  <c r="B460" i="15"/>
  <c r="B458" i="15"/>
  <c r="B456" i="15"/>
  <c r="B454" i="15"/>
  <c r="B452" i="15"/>
  <c r="O468" i="15"/>
  <c r="R468" i="15"/>
  <c r="O466" i="15"/>
  <c r="R466" i="15"/>
  <c r="O464" i="15"/>
  <c r="R464" i="15"/>
  <c r="O462" i="15"/>
  <c r="R462" i="15"/>
  <c r="O460" i="15"/>
  <c r="R460" i="15"/>
  <c r="O458" i="15"/>
  <c r="R458" i="15"/>
  <c r="O456" i="15"/>
  <c r="R456" i="15"/>
  <c r="O454" i="15"/>
  <c r="R454" i="15"/>
  <c r="O452" i="15"/>
  <c r="R452" i="15"/>
  <c r="B27" i="15"/>
  <c r="B28" i="15"/>
  <c r="B29" i="15"/>
  <c r="B30" i="15"/>
  <c r="B31" i="15"/>
  <c r="B32" i="15"/>
  <c r="B25" i="15"/>
  <c r="B26" i="15"/>
  <c r="T22" i="15"/>
  <c r="T23" i="15"/>
  <c r="T24" i="15"/>
  <c r="T25" i="15"/>
  <c r="T26" i="15"/>
  <c r="T27" i="15"/>
  <c r="T28" i="15"/>
  <c r="T29" i="15"/>
  <c r="T30" i="15"/>
  <c r="T31" i="15"/>
  <c r="T32" i="15"/>
  <c r="T448" i="15"/>
  <c r="T449" i="15"/>
  <c r="T450" i="15"/>
  <c r="T451" i="15"/>
  <c r="F87" i="2"/>
  <c r="H87" i="2"/>
  <c r="I87" i="2"/>
  <c r="J87" i="2"/>
  <c r="F85" i="2"/>
  <c r="H85" i="2"/>
  <c r="I85" i="2"/>
  <c r="J85" i="2"/>
  <c r="B22" i="15"/>
  <c r="B23" i="15"/>
  <c r="B24" i="15"/>
  <c r="B448" i="15"/>
  <c r="B449" i="15"/>
  <c r="B450" i="15"/>
  <c r="B451" i="15"/>
  <c r="B453" i="15"/>
  <c r="B455" i="15"/>
  <c r="B457" i="15"/>
  <c r="B459" i="15"/>
  <c r="B461" i="15"/>
  <c r="B463" i="15"/>
  <c r="B465" i="15"/>
  <c r="B467" i="15"/>
  <c r="B469" i="15"/>
  <c r="B477" i="15"/>
  <c r="B478" i="15"/>
  <c r="B480" i="15"/>
  <c r="B482" i="15"/>
  <c r="K22" i="15"/>
  <c r="K23" i="15"/>
  <c r="K448" i="15"/>
  <c r="K449" i="15"/>
  <c r="K450" i="15"/>
  <c r="K478" i="15"/>
  <c r="O22" i="15"/>
  <c r="O23" i="15"/>
  <c r="O24" i="15"/>
  <c r="O25" i="15"/>
  <c r="O26" i="15"/>
  <c r="O27" i="15"/>
  <c r="O28" i="15"/>
  <c r="O29" i="15"/>
  <c r="O30" i="15"/>
  <c r="O31" i="15"/>
  <c r="O32" i="15"/>
  <c r="O448" i="15"/>
  <c r="O449" i="15"/>
  <c r="O450" i="15"/>
  <c r="O451" i="15"/>
  <c r="O453" i="15"/>
  <c r="O455" i="15"/>
  <c r="O457" i="15"/>
  <c r="O459" i="15"/>
  <c r="O461" i="15"/>
  <c r="O463" i="15"/>
  <c r="O465" i="15"/>
  <c r="O467" i="15"/>
  <c r="O469" i="15"/>
  <c r="O470" i="15"/>
  <c r="O471" i="15"/>
  <c r="O472" i="15"/>
  <c r="O473" i="15"/>
  <c r="O474" i="15"/>
  <c r="O475" i="15"/>
  <c r="O476" i="15"/>
  <c r="O477" i="15"/>
  <c r="O478" i="15"/>
  <c r="O480" i="15"/>
  <c r="O482" i="15"/>
  <c r="R22" i="15"/>
  <c r="R23" i="15"/>
  <c r="R448" i="15"/>
  <c r="R449" i="15"/>
  <c r="R450" i="15"/>
  <c r="R451" i="15"/>
  <c r="R453" i="15"/>
  <c r="R455" i="15"/>
  <c r="R457" i="15"/>
  <c r="R459" i="15"/>
  <c r="R461" i="15"/>
  <c r="R463" i="15"/>
  <c r="R465" i="15"/>
  <c r="R467" i="15"/>
  <c r="R469" i="15"/>
  <c r="R470" i="15"/>
  <c r="R471" i="15"/>
  <c r="R472" i="15"/>
  <c r="R473" i="15"/>
  <c r="R474" i="15"/>
  <c r="R475" i="15"/>
  <c r="R476" i="15"/>
  <c r="R477" i="15"/>
  <c r="R478" i="15"/>
  <c r="F5" i="7"/>
  <c r="R519" i="15"/>
  <c r="O519" i="15"/>
  <c r="K519" i="15"/>
  <c r="T6" i="15"/>
  <c r="T7" i="15"/>
  <c r="T8" i="15"/>
  <c r="T9" i="15"/>
  <c r="T10" i="15"/>
  <c r="T11" i="15"/>
  <c r="T13" i="15"/>
  <c r="T14" i="15"/>
  <c r="T15" i="15"/>
  <c r="T16" i="15"/>
  <c r="T17" i="15"/>
  <c r="T18" i="15"/>
  <c r="T19" i="15"/>
  <c r="T21" i="15"/>
  <c r="T4" i="15"/>
  <c r="T3" i="15"/>
  <c r="F8" i="2"/>
  <c r="F9" i="2"/>
  <c r="F10" i="2"/>
  <c r="F11" i="2"/>
  <c r="F12" i="2"/>
  <c r="F13" i="2"/>
  <c r="H8" i="2"/>
  <c r="H9" i="2"/>
  <c r="H10" i="2"/>
  <c r="H11" i="2"/>
  <c r="H12" i="2"/>
  <c r="H13" i="2"/>
  <c r="I8" i="2"/>
  <c r="I9" i="2"/>
  <c r="I10" i="2"/>
  <c r="I11" i="2"/>
  <c r="I12" i="2"/>
  <c r="I13" i="2"/>
  <c r="J8" i="2"/>
  <c r="J9" i="2"/>
  <c r="J10" i="2"/>
  <c r="J11" i="2"/>
  <c r="J12" i="2"/>
  <c r="J13" i="2"/>
  <c r="M20" i="15"/>
  <c r="O21" i="15"/>
  <c r="B21" i="15"/>
  <c r="B20" i="15"/>
  <c r="O19" i="15"/>
  <c r="B19" i="15"/>
  <c r="O18" i="15"/>
  <c r="B18" i="15"/>
  <c r="O17" i="15"/>
  <c r="B17" i="15"/>
  <c r="O16" i="15"/>
  <c r="B16" i="15"/>
  <c r="M12" i="15"/>
  <c r="B11" i="15"/>
  <c r="O11" i="15"/>
  <c r="O15" i="15"/>
  <c r="B15" i="15"/>
  <c r="O14" i="15"/>
  <c r="B14" i="15"/>
  <c r="O13" i="15"/>
  <c r="B13" i="15"/>
  <c r="B12" i="15"/>
  <c r="O10" i="15"/>
  <c r="B10" i="15"/>
  <c r="O9" i="15"/>
  <c r="B9" i="15"/>
  <c r="O8" i="15"/>
  <c r="B8" i="15"/>
  <c r="O7" i="15"/>
  <c r="B7" i="15"/>
  <c r="O6" i="15"/>
  <c r="B6" i="15"/>
  <c r="B519" i="15"/>
  <c r="F174" i="2"/>
  <c r="H174" i="2"/>
  <c r="I174" i="2"/>
  <c r="J174" i="2"/>
  <c r="K142" i="1"/>
  <c r="Y62" i="1"/>
  <c r="N32" i="1"/>
  <c r="S32" i="1"/>
  <c r="T32" i="1"/>
  <c r="U32" i="1"/>
  <c r="Y32" i="1"/>
  <c r="Z32" i="1"/>
  <c r="AA32" i="1" a="1"/>
  <c r="AA45" i="1" a="1"/>
  <c r="Z45" i="1"/>
  <c r="Y45" i="1"/>
  <c r="U45" i="1"/>
  <c r="T45" i="1"/>
  <c r="S45" i="1"/>
  <c r="N45" i="1"/>
  <c r="M45" i="1"/>
  <c r="G45" i="1" s="1"/>
  <c r="M5" i="15"/>
  <c r="T5" i="15" s="1"/>
  <c r="B4" i="15"/>
  <c r="B5" i="15"/>
  <c r="O4" i="15"/>
  <c r="B3" i="15"/>
  <c r="F81" i="2"/>
  <c r="H81" i="2"/>
  <c r="I81" i="2"/>
  <c r="J81" i="2"/>
  <c r="F156" i="2"/>
  <c r="F157" i="2"/>
  <c r="F158" i="2"/>
  <c r="H156" i="2"/>
  <c r="H157" i="2"/>
  <c r="H158" i="2"/>
  <c r="I156" i="2"/>
  <c r="I157" i="2"/>
  <c r="I158" i="2"/>
  <c r="J156" i="2"/>
  <c r="J157" i="2"/>
  <c r="J158" i="2"/>
  <c r="N79" i="1"/>
  <c r="S79" i="1"/>
  <c r="T79" i="1"/>
  <c r="U79" i="1"/>
  <c r="Y79" i="1"/>
  <c r="Z79" i="1"/>
  <c r="AA79" i="1" a="1"/>
  <c r="N80" i="1"/>
  <c r="S80" i="1"/>
  <c r="T80" i="1"/>
  <c r="U80" i="1"/>
  <c r="Y80" i="1"/>
  <c r="Z80" i="1"/>
  <c r="AA80" i="1" a="1"/>
  <c r="N81" i="1"/>
  <c r="S81" i="1"/>
  <c r="T81" i="1"/>
  <c r="U81" i="1"/>
  <c r="Y81" i="1"/>
  <c r="Z81" i="1"/>
  <c r="AA81" i="1" a="1"/>
  <c r="N82" i="1"/>
  <c r="S82" i="1"/>
  <c r="T82" i="1"/>
  <c r="U82" i="1"/>
  <c r="Y82" i="1"/>
  <c r="Z82" i="1"/>
  <c r="AA82" i="1" a="1"/>
  <c r="AA62" i="1" a="1"/>
  <c r="Z62" i="1"/>
  <c r="U62" i="1"/>
  <c r="T62" i="1"/>
  <c r="S62" i="1"/>
  <c r="N62" i="1"/>
  <c r="N197" i="1"/>
  <c r="S197" i="1"/>
  <c r="T197" i="1"/>
  <c r="U197" i="1"/>
  <c r="Y197" i="1"/>
  <c r="Z197" i="1"/>
  <c r="AA197" i="1" a="1"/>
  <c r="E5" i="7"/>
  <c r="O3" i="15"/>
  <c r="F76" i="2"/>
  <c r="F77" i="2"/>
  <c r="H76" i="2"/>
  <c r="H77" i="2"/>
  <c r="I76" i="2"/>
  <c r="I77" i="2"/>
  <c r="J76" i="2"/>
  <c r="J77" i="2"/>
  <c r="L71" i="2"/>
  <c r="L70" i="2"/>
  <c r="Q72" i="2"/>
  <c r="O72" i="2"/>
  <c r="N72" i="2"/>
  <c r="L72" i="2"/>
  <c r="F49" i="2"/>
  <c r="F50" i="2"/>
  <c r="H49" i="2"/>
  <c r="H50" i="2"/>
  <c r="I49" i="2"/>
  <c r="I50" i="2"/>
  <c r="J49" i="2"/>
  <c r="J50" i="2"/>
  <c r="F68" i="2"/>
  <c r="F69" i="2"/>
  <c r="F70" i="2"/>
  <c r="F71" i="2"/>
  <c r="F72" i="2"/>
  <c r="H68" i="2"/>
  <c r="H69" i="2"/>
  <c r="H70" i="2"/>
  <c r="H71" i="2"/>
  <c r="H72" i="2"/>
  <c r="I68" i="2"/>
  <c r="I69" i="2"/>
  <c r="I70" i="2"/>
  <c r="I71" i="2"/>
  <c r="I72" i="2"/>
  <c r="J68" i="2"/>
  <c r="J69" i="2"/>
  <c r="J70" i="2"/>
  <c r="J71" i="2"/>
  <c r="J72" i="2"/>
  <c r="F128" i="2"/>
  <c r="H128" i="2"/>
  <c r="I128" i="2"/>
  <c r="J128" i="2"/>
  <c r="F124" i="2"/>
  <c r="H124" i="2"/>
  <c r="I124" i="2"/>
  <c r="J124" i="2"/>
  <c r="F127" i="2"/>
  <c r="H127" i="2"/>
  <c r="I127" i="2"/>
  <c r="J127" i="2"/>
  <c r="F125" i="2"/>
  <c r="F126" i="2"/>
  <c r="H125" i="2"/>
  <c r="H126" i="2"/>
  <c r="I125" i="2"/>
  <c r="I126" i="2"/>
  <c r="J125" i="2"/>
  <c r="J126" i="2"/>
  <c r="F39" i="2"/>
  <c r="H39" i="2"/>
  <c r="I39" i="2"/>
  <c r="J39" i="2"/>
  <c r="F37" i="2"/>
  <c r="F38" i="2"/>
  <c r="F40" i="2"/>
  <c r="H37" i="2"/>
  <c r="H38" i="2"/>
  <c r="H40" i="2"/>
  <c r="I37" i="2"/>
  <c r="I38" i="2"/>
  <c r="I40" i="2"/>
  <c r="J37" i="2"/>
  <c r="J38" i="2"/>
  <c r="J40" i="2"/>
  <c r="F36" i="2"/>
  <c r="H36" i="2"/>
  <c r="I36" i="2"/>
  <c r="J36" i="2"/>
  <c r="N156" i="1"/>
  <c r="S156" i="1"/>
  <c r="T156" i="1"/>
  <c r="U156" i="1"/>
  <c r="Y156" i="1"/>
  <c r="Z156" i="1"/>
  <c r="AA156" i="1" a="1"/>
  <c r="K146" i="1"/>
  <c r="Y146" i="1" s="1"/>
  <c r="I146" i="1"/>
  <c r="N146" i="1" s="1"/>
  <c r="S146" i="1"/>
  <c r="T146" i="1"/>
  <c r="U146" i="1"/>
  <c r="Z146" i="1"/>
  <c r="AA146" i="1" a="1"/>
  <c r="C2" i="7"/>
  <c r="F32" i="2"/>
  <c r="F33" i="2"/>
  <c r="F34" i="2"/>
  <c r="F35" i="2"/>
  <c r="H32" i="2"/>
  <c r="H33" i="2"/>
  <c r="H34" i="2"/>
  <c r="H35" i="2"/>
  <c r="I32" i="2"/>
  <c r="I33" i="2"/>
  <c r="I34" i="2"/>
  <c r="I35" i="2"/>
  <c r="J32" i="2"/>
  <c r="J33" i="2"/>
  <c r="J34" i="2"/>
  <c r="J35" i="2"/>
  <c r="F161" i="2"/>
  <c r="H161" i="2"/>
  <c r="I161" i="2"/>
  <c r="J161" i="2"/>
  <c r="F63" i="2"/>
  <c r="H63" i="2"/>
  <c r="I63" i="2"/>
  <c r="J63" i="2"/>
  <c r="F62" i="2"/>
  <c r="F64" i="2"/>
  <c r="H62" i="2"/>
  <c r="H64" i="2"/>
  <c r="I62" i="2"/>
  <c r="I64" i="2"/>
  <c r="J62" i="2"/>
  <c r="J64" i="2"/>
  <c r="M107" i="1"/>
  <c r="G107" i="1" s="1"/>
  <c r="I107" i="1"/>
  <c r="N107" i="1" s="1"/>
  <c r="S107" i="1"/>
  <c r="T107" i="1"/>
  <c r="U107" i="1"/>
  <c r="Y107" i="1"/>
  <c r="Z107" i="1"/>
  <c r="AA107" i="1" a="1"/>
  <c r="N136" i="1"/>
  <c r="S136" i="1"/>
  <c r="T136" i="1"/>
  <c r="U136" i="1"/>
  <c r="Y136" i="1"/>
  <c r="Z136" i="1"/>
  <c r="AA136" i="1" a="1"/>
  <c r="V109" i="1" l="1"/>
  <c r="W109" i="1" s="1"/>
  <c r="R109" i="1" s="1"/>
  <c r="J109" i="1" s="1"/>
  <c r="L178" i="1" a="1"/>
  <c r="J178" i="1"/>
  <c r="J153" i="1"/>
  <c r="J35" i="1"/>
  <c r="J78" i="1"/>
  <c r="G77" i="1"/>
  <c r="J77" i="1"/>
  <c r="V34" i="1"/>
  <c r="W34" i="1" s="1"/>
  <c r="R34" i="1" s="1"/>
  <c r="J34" i="1" s="1"/>
  <c r="T20" i="15"/>
  <c r="O20" i="15"/>
  <c r="V45" i="1"/>
  <c r="W45" i="1" s="1"/>
  <c r="R45" i="1" s="1"/>
  <c r="J45" i="1" s="1"/>
  <c r="O12" i="15"/>
  <c r="T12" i="15"/>
  <c r="O5" i="15"/>
  <c r="V81" i="1"/>
  <c r="W81" i="1" s="1"/>
  <c r="R81" i="1" s="1"/>
  <c r="J81" i="1" s="1"/>
  <c r="V32" i="1"/>
  <c r="W32" i="1" s="1"/>
  <c r="R32" i="1" s="1"/>
  <c r="J32" i="1" s="1"/>
  <c r="V79" i="1"/>
  <c r="W79" i="1" s="1"/>
  <c r="R79" i="1" s="1"/>
  <c r="J79" i="1" s="1"/>
  <c r="V62" i="1"/>
  <c r="W62" i="1" s="1"/>
  <c r="R62" i="1" s="1"/>
  <c r="J62" i="1" s="1"/>
  <c r="V80" i="1"/>
  <c r="W80" i="1" s="1"/>
  <c r="R80" i="1" s="1"/>
  <c r="J80" i="1" s="1"/>
  <c r="V82" i="1"/>
  <c r="W82" i="1" s="1"/>
  <c r="R82" i="1" s="1"/>
  <c r="J82" i="1" s="1"/>
  <c r="V197" i="1"/>
  <c r="W197" i="1" s="1"/>
  <c r="R197" i="1" s="1"/>
  <c r="J197" i="1" s="1"/>
  <c r="V146" i="1"/>
  <c r="W146" i="1" s="1"/>
  <c r="R146" i="1" s="1"/>
  <c r="J146" i="1" s="1"/>
  <c r="V156" i="1"/>
  <c r="W156" i="1" s="1"/>
  <c r="R156" i="1" s="1"/>
  <c r="J156" i="1" s="1"/>
  <c r="V107" i="1"/>
  <c r="W107" i="1" s="1"/>
  <c r="R107" i="1" s="1"/>
  <c r="J107" i="1" s="1"/>
  <c r="V136" i="1"/>
  <c r="W136" i="1" s="1"/>
  <c r="R136" i="1" s="1"/>
  <c r="J136" i="1" s="1"/>
  <c r="N150" i="1" l="1"/>
  <c r="S150" i="1"/>
  <c r="T150" i="1"/>
  <c r="U150" i="1"/>
  <c r="Y150" i="1"/>
  <c r="Z150" i="1"/>
  <c r="AA150" i="1" a="1"/>
  <c r="M176" i="1"/>
  <c r="G176" i="1" s="1"/>
  <c r="N176" i="1"/>
  <c r="S176" i="1"/>
  <c r="T176" i="1"/>
  <c r="U176" i="1"/>
  <c r="Y176" i="1"/>
  <c r="Z176" i="1"/>
  <c r="AA176" i="1" a="1"/>
  <c r="B4" i="12" a="1"/>
  <c r="M28" i="1"/>
  <c r="G28" i="1" s="1"/>
  <c r="I28" i="1"/>
  <c r="N28" i="1" s="1"/>
  <c r="AA28" i="1" a="1"/>
  <c r="Z28" i="1"/>
  <c r="Y28" i="1"/>
  <c r="U28" i="1"/>
  <c r="T28" i="1"/>
  <c r="S28" i="1"/>
  <c r="F43" i="2"/>
  <c r="H43" i="2"/>
  <c r="I43" i="2"/>
  <c r="J43" i="2"/>
  <c r="F110" i="2"/>
  <c r="F111" i="2"/>
  <c r="H110" i="2"/>
  <c r="H111" i="2"/>
  <c r="I110" i="2"/>
  <c r="I111" i="2"/>
  <c r="J110" i="2"/>
  <c r="J111" i="2"/>
  <c r="M54" i="1"/>
  <c r="G54" i="1" s="1"/>
  <c r="AA54" i="1" a="1"/>
  <c r="Z54" i="1"/>
  <c r="U54" i="1"/>
  <c r="T54" i="1"/>
  <c r="S54" i="1"/>
  <c r="N54" i="1"/>
  <c r="E54" i="1"/>
  <c r="D54" i="1"/>
  <c r="Y54" i="1" s="1"/>
  <c r="E186" i="1"/>
  <c r="D186" i="1"/>
  <c r="Y186" i="1" s="1"/>
  <c r="N186" i="1"/>
  <c r="S186" i="1"/>
  <c r="T186" i="1"/>
  <c r="U186" i="1"/>
  <c r="Z186" i="1"/>
  <c r="AA186" i="1" a="1"/>
  <c r="N192" i="1"/>
  <c r="S192" i="1"/>
  <c r="T192" i="1"/>
  <c r="U192" i="1"/>
  <c r="Y192" i="1"/>
  <c r="Z192" i="1"/>
  <c r="AA192" i="1" a="1"/>
  <c r="N73" i="1"/>
  <c r="S73" i="1"/>
  <c r="T73" i="1"/>
  <c r="U73" i="1"/>
  <c r="Y73" i="1"/>
  <c r="Z73" i="1"/>
  <c r="AA73" i="1" a="1"/>
  <c r="M3" i="1"/>
  <c r="G3" i="1" s="1"/>
  <c r="N201" i="1"/>
  <c r="S201" i="1"/>
  <c r="T201" i="1"/>
  <c r="U201" i="1"/>
  <c r="Y201" i="1"/>
  <c r="Z201" i="1"/>
  <c r="AA201" i="1" a="1"/>
  <c r="M152" i="1"/>
  <c r="G152" i="1" s="1"/>
  <c r="N154" i="1"/>
  <c r="S154" i="1"/>
  <c r="T154" i="1"/>
  <c r="U154" i="1"/>
  <c r="Y154" i="1"/>
  <c r="Z154" i="1"/>
  <c r="AA154" i="1" a="1"/>
  <c r="N152" i="1"/>
  <c r="S152" i="1"/>
  <c r="T152" i="1"/>
  <c r="U152" i="1"/>
  <c r="Y152" i="1"/>
  <c r="Z152" i="1"/>
  <c r="AA152" i="1" a="1"/>
  <c r="K66" i="1"/>
  <c r="Y66" i="1" s="1"/>
  <c r="I66" i="1"/>
  <c r="N66" i="1" s="1"/>
  <c r="K63" i="1"/>
  <c r="Y63" i="1" s="1"/>
  <c r="K64" i="1"/>
  <c r="Y64" i="1" s="1"/>
  <c r="K67" i="1"/>
  <c r="Y67" i="1" s="1"/>
  <c r="K68" i="1"/>
  <c r="Y68" i="1" s="1"/>
  <c r="K69" i="1"/>
  <c r="Y69" i="1" s="1"/>
  <c r="K65" i="1"/>
  <c r="Y65" i="1" s="1"/>
  <c r="M66" i="1"/>
  <c r="G66" i="1" s="1"/>
  <c r="M65" i="1"/>
  <c r="G65" i="1" s="1"/>
  <c r="N65" i="1"/>
  <c r="S65" i="1"/>
  <c r="T65" i="1"/>
  <c r="U65" i="1"/>
  <c r="Z65" i="1"/>
  <c r="AA65" i="1" a="1"/>
  <c r="S66" i="1"/>
  <c r="T66" i="1"/>
  <c r="U66" i="1"/>
  <c r="Z66" i="1"/>
  <c r="AA66" i="1" a="1"/>
  <c r="N63" i="1"/>
  <c r="S63" i="1"/>
  <c r="T63" i="1"/>
  <c r="U63" i="1"/>
  <c r="Z63" i="1"/>
  <c r="AA63" i="1" a="1"/>
  <c r="N64" i="1"/>
  <c r="S64" i="1"/>
  <c r="T64" i="1"/>
  <c r="U64" i="1"/>
  <c r="Z64" i="1"/>
  <c r="AA64" i="1" a="1"/>
  <c r="N67" i="1"/>
  <c r="S67" i="1"/>
  <c r="T67" i="1"/>
  <c r="U67" i="1"/>
  <c r="Z67" i="1"/>
  <c r="AA67" i="1" a="1"/>
  <c r="N68" i="1"/>
  <c r="S68" i="1"/>
  <c r="T68" i="1"/>
  <c r="U68" i="1"/>
  <c r="Z68" i="1"/>
  <c r="AA68" i="1" a="1"/>
  <c r="N69" i="1"/>
  <c r="S69" i="1"/>
  <c r="T69" i="1"/>
  <c r="U69" i="1"/>
  <c r="Z69" i="1"/>
  <c r="AA69" i="1" a="1"/>
  <c r="AA17" i="1" a="1"/>
  <c r="K17" i="1"/>
  <c r="M85" i="1"/>
  <c r="G85" i="1" s="1"/>
  <c r="K148" i="1"/>
  <c r="K135" i="1"/>
  <c r="K147" i="1"/>
  <c r="K143" i="1"/>
  <c r="K141" i="1"/>
  <c r="K134" i="1"/>
  <c r="Y134" i="1" s="1"/>
  <c r="K70" i="1"/>
  <c r="K15" i="1"/>
  <c r="K20" i="1"/>
  <c r="H2" i="11"/>
  <c r="M55" i="1"/>
  <c r="G55" i="1" s="1"/>
  <c r="N55" i="1"/>
  <c r="S55" i="1"/>
  <c r="T55" i="1"/>
  <c r="U55" i="1"/>
  <c r="Y55" i="1"/>
  <c r="Z55" i="1"/>
  <c r="AA55" i="1" a="1"/>
  <c r="N203" i="1"/>
  <c r="S203" i="1"/>
  <c r="T203" i="1"/>
  <c r="U203" i="1"/>
  <c r="Y203" i="1"/>
  <c r="Z203" i="1"/>
  <c r="AA203" i="1" a="1"/>
  <c r="N177" i="1"/>
  <c r="S177" i="1"/>
  <c r="T177" i="1"/>
  <c r="U177" i="1"/>
  <c r="Y177" i="1"/>
  <c r="Z177" i="1"/>
  <c r="AA177" i="1" a="1"/>
  <c r="N199" i="1"/>
  <c r="S199" i="1"/>
  <c r="T199" i="1"/>
  <c r="U199" i="1"/>
  <c r="Y199" i="1"/>
  <c r="Z199" i="1"/>
  <c r="AA199" i="1" a="1"/>
  <c r="F29" i="2"/>
  <c r="H29" i="2"/>
  <c r="I29" i="2"/>
  <c r="J29" i="2"/>
  <c r="N57" i="1"/>
  <c r="S57" i="1"/>
  <c r="T57" i="1"/>
  <c r="U57" i="1"/>
  <c r="Y57" i="1"/>
  <c r="Z57" i="1"/>
  <c r="AA57" i="1" a="1"/>
  <c r="AB61" i="1"/>
  <c r="B61" i="1" s="1"/>
  <c r="Y61" i="1" s="1"/>
  <c r="AB60" i="1"/>
  <c r="B60" i="1" s="1"/>
  <c r="Y60" i="1" s="1"/>
  <c r="N86" i="1"/>
  <c r="S86" i="1"/>
  <c r="T86" i="1"/>
  <c r="U86" i="1"/>
  <c r="Y86" i="1"/>
  <c r="Z86" i="1"/>
  <c r="AA86" i="1" a="1"/>
  <c r="N85" i="1"/>
  <c r="S85" i="1"/>
  <c r="T85" i="1"/>
  <c r="U85" i="1"/>
  <c r="Y85" i="1"/>
  <c r="Z85" i="1"/>
  <c r="AA85" i="1" a="1"/>
  <c r="M165" i="1"/>
  <c r="G165" i="1" s="1"/>
  <c r="M163" i="1"/>
  <c r="M160" i="1"/>
  <c r="G160" i="1" s="1"/>
  <c r="M149" i="1"/>
  <c r="G149" i="1" s="1"/>
  <c r="M158" i="1"/>
  <c r="G158" i="1" s="1"/>
  <c r="M144" i="1"/>
  <c r="G144" i="1" s="1"/>
  <c r="M140" i="1"/>
  <c r="G140" i="1" s="1"/>
  <c r="M132" i="1"/>
  <c r="G132" i="1" s="1"/>
  <c r="M131" i="1"/>
  <c r="G131" i="1" s="1"/>
  <c r="M130" i="1"/>
  <c r="G130" i="1" s="1"/>
  <c r="M129" i="1"/>
  <c r="G129" i="1" s="1"/>
  <c r="M128" i="1"/>
  <c r="G128" i="1" s="1"/>
  <c r="M127" i="1"/>
  <c r="G127" i="1" s="1"/>
  <c r="M126" i="1"/>
  <c r="G126" i="1" s="1"/>
  <c r="M122" i="1"/>
  <c r="G122" i="1" s="1"/>
  <c r="M121" i="1"/>
  <c r="G121" i="1" s="1"/>
  <c r="M118" i="1"/>
  <c r="G118" i="1" s="1"/>
  <c r="M113" i="1"/>
  <c r="G113" i="1" s="1"/>
  <c r="M88" i="1"/>
  <c r="G88" i="1" s="1"/>
  <c r="M87" i="1"/>
  <c r="G87" i="1" s="1"/>
  <c r="M89" i="1"/>
  <c r="G89" i="1" s="1"/>
  <c r="M76" i="1"/>
  <c r="G76" i="1" s="1"/>
  <c r="M71" i="1"/>
  <c r="G71" i="1" s="1"/>
  <c r="M61" i="1"/>
  <c r="M60" i="1"/>
  <c r="G60" i="1" s="1"/>
  <c r="M59" i="1"/>
  <c r="G59" i="1" s="1"/>
  <c r="M56" i="1"/>
  <c r="G56" i="1" s="1"/>
  <c r="M53" i="1"/>
  <c r="G53" i="1" s="1"/>
  <c r="M52" i="1"/>
  <c r="G52" i="1" s="1"/>
  <c r="M51" i="1"/>
  <c r="G51" i="1" s="1"/>
  <c r="M50" i="1"/>
  <c r="G50" i="1" s="1"/>
  <c r="M46" i="1"/>
  <c r="G46" i="1" s="1"/>
  <c r="M44" i="1"/>
  <c r="G44" i="1" s="1"/>
  <c r="M43" i="1"/>
  <c r="G43" i="1" s="1"/>
  <c r="M40" i="1"/>
  <c r="G40" i="1" s="1"/>
  <c r="M38" i="1"/>
  <c r="G38" i="1" s="1"/>
  <c r="M37" i="1"/>
  <c r="G37" i="1" s="1"/>
  <c r="M27" i="1"/>
  <c r="G27" i="1" s="1"/>
  <c r="M26" i="1"/>
  <c r="G26" i="1" s="1"/>
  <c r="M23" i="1"/>
  <c r="G23" i="1" s="1"/>
  <c r="M22" i="1"/>
  <c r="G22" i="1" s="1"/>
  <c r="M15" i="1"/>
  <c r="G15" i="1" s="1"/>
  <c r="M14" i="1"/>
  <c r="G14" i="1" s="1"/>
  <c r="M12" i="1"/>
  <c r="G12" i="1" s="1"/>
  <c r="M11" i="1"/>
  <c r="G11" i="1" s="1"/>
  <c r="M9" i="1"/>
  <c r="G9" i="1" s="1"/>
  <c r="M8" i="1"/>
  <c r="G8" i="1" s="1"/>
  <c r="M21" i="1"/>
  <c r="G21" i="1" s="1"/>
  <c r="M7" i="1"/>
  <c r="G7" i="1" s="1"/>
  <c r="M16" i="1"/>
  <c r="G16" i="1" s="1"/>
  <c r="M6" i="1"/>
  <c r="G6" i="1" s="1"/>
  <c r="M5" i="1"/>
  <c r="G5" i="1" s="1"/>
  <c r="M4" i="1"/>
  <c r="G4" i="1" s="1"/>
  <c r="AA133" i="1" a="1"/>
  <c r="Z133" i="1"/>
  <c r="Y133" i="1"/>
  <c r="U133" i="1"/>
  <c r="T133" i="1"/>
  <c r="S133" i="1"/>
  <c r="N133" i="1"/>
  <c r="N61" i="1"/>
  <c r="S61" i="1"/>
  <c r="T61" i="1"/>
  <c r="U61" i="1"/>
  <c r="Z61" i="1"/>
  <c r="AA61" i="1" a="1"/>
  <c r="N163" i="1"/>
  <c r="S163" i="1"/>
  <c r="T163" i="1"/>
  <c r="U163" i="1"/>
  <c r="Y163" i="1"/>
  <c r="Z163" i="1"/>
  <c r="AA163" i="1" a="1"/>
  <c r="N60" i="1"/>
  <c r="S60" i="1"/>
  <c r="T60" i="1"/>
  <c r="U60" i="1"/>
  <c r="Z60" i="1"/>
  <c r="AA60" i="1" a="1"/>
  <c r="I124" i="1"/>
  <c r="I106" i="1"/>
  <c r="I202" i="1"/>
  <c r="I169" i="1"/>
  <c r="F67" i="2"/>
  <c r="H67" i="2"/>
  <c r="I67" i="2"/>
  <c r="J67" i="2"/>
  <c r="F41" i="2"/>
  <c r="F42" i="2"/>
  <c r="H41" i="2"/>
  <c r="H42" i="2"/>
  <c r="I41" i="2"/>
  <c r="I42" i="2"/>
  <c r="J41" i="2"/>
  <c r="J42" i="2"/>
  <c r="F159" i="2"/>
  <c r="F160" i="2"/>
  <c r="H159" i="2"/>
  <c r="H160" i="2"/>
  <c r="I159" i="2"/>
  <c r="I160" i="2"/>
  <c r="J159" i="2"/>
  <c r="J160" i="2"/>
  <c r="N195" i="1"/>
  <c r="S195" i="1"/>
  <c r="T195" i="1"/>
  <c r="U195" i="1"/>
  <c r="Y195" i="1"/>
  <c r="Z195" i="1"/>
  <c r="AA195" i="1" a="1"/>
  <c r="N137" i="1"/>
  <c r="S137" i="1"/>
  <c r="T137" i="1"/>
  <c r="U137" i="1"/>
  <c r="Z137" i="1"/>
  <c r="AA137" i="1" a="1"/>
  <c r="AB137" i="1"/>
  <c r="I87" i="1"/>
  <c r="AB87" i="1"/>
  <c r="AA202" i="1" a="1"/>
  <c r="AA200" i="1" a="1"/>
  <c r="AA198" i="1" a="1"/>
  <c r="AA196" i="1" a="1"/>
  <c r="AA194" i="1" a="1"/>
  <c r="AA193" i="1" a="1"/>
  <c r="AA191" i="1" a="1"/>
  <c r="AA190" i="1" a="1"/>
  <c r="AA189" i="1" a="1"/>
  <c r="AA188" i="1" a="1"/>
  <c r="AA187" i="1" a="1"/>
  <c r="AA185" i="1" a="1"/>
  <c r="AA184" i="1" a="1"/>
  <c r="AA183" i="1" a="1"/>
  <c r="AA182" i="1" a="1"/>
  <c r="AA181" i="1" a="1"/>
  <c r="AA180" i="1" a="1"/>
  <c r="AA179" i="1" a="1"/>
  <c r="AA145" i="1" a="1"/>
  <c r="AA132" i="1" a="1"/>
  <c r="AA131" i="1" a="1"/>
  <c r="AA130" i="1" a="1"/>
  <c r="AA175" i="1" a="1"/>
  <c r="AA174" i="1" a="1"/>
  <c r="AA173" i="1" a="1"/>
  <c r="AA172" i="1" a="1"/>
  <c r="AA171" i="1" a="1"/>
  <c r="AA170" i="1" a="1"/>
  <c r="AA169" i="1" a="1"/>
  <c r="AA168" i="1" a="1"/>
  <c r="AA167" i="1" a="1"/>
  <c r="AA166" i="1" a="1"/>
  <c r="AA165" i="1" a="1"/>
  <c r="AA164" i="1" a="1"/>
  <c r="AA162" i="1" a="1"/>
  <c r="AA161" i="1" a="1"/>
  <c r="AA160" i="1" a="1"/>
  <c r="AA159" i="1" a="1"/>
  <c r="AA157" i="1" a="1"/>
  <c r="AA155" i="1" a="1"/>
  <c r="AA151" i="1" a="1"/>
  <c r="AA149" i="1" a="1"/>
  <c r="AA148" i="1" a="1"/>
  <c r="AA147" i="1" a="1"/>
  <c r="AA158" i="1" a="1"/>
  <c r="AA144" i="1" a="1"/>
  <c r="AA143" i="1" a="1"/>
  <c r="AA142" i="1" a="1"/>
  <c r="AA141" i="1" a="1"/>
  <c r="AA140" i="1" a="1"/>
  <c r="AA139" i="1" a="1"/>
  <c r="AA138" i="1" a="1"/>
  <c r="AA135" i="1" a="1"/>
  <c r="AA134" i="1" a="1"/>
  <c r="AA129" i="1" a="1"/>
  <c r="AA128" i="1" a="1"/>
  <c r="AA127" i="1" a="1"/>
  <c r="AA126" i="1" a="1"/>
  <c r="AA125" i="1" a="1"/>
  <c r="AA124" i="1" a="1"/>
  <c r="AA123" i="1" a="1"/>
  <c r="AA122" i="1" a="1"/>
  <c r="AA121" i="1" a="1"/>
  <c r="AA120" i="1" a="1"/>
  <c r="AA119" i="1" a="1"/>
  <c r="AA118" i="1" a="1"/>
  <c r="AA117" i="1" a="1"/>
  <c r="AA116" i="1" a="1"/>
  <c r="AA115" i="1" a="1"/>
  <c r="AA114" i="1" a="1"/>
  <c r="AA113" i="1" a="1"/>
  <c r="AA112" i="1" a="1"/>
  <c r="AA111" i="1" a="1"/>
  <c r="AA110" i="1" a="1"/>
  <c r="AA108" i="1" a="1"/>
  <c r="AA106" i="1" a="1"/>
  <c r="AA105" i="1" a="1"/>
  <c r="AA104" i="1" a="1"/>
  <c r="AA103" i="1" a="1"/>
  <c r="AA102" i="1" a="1"/>
  <c r="AA101" i="1" a="1"/>
  <c r="AA100" i="1" a="1"/>
  <c r="AA99" i="1" a="1"/>
  <c r="AA98" i="1" a="1"/>
  <c r="AA97" i="1" a="1"/>
  <c r="AA96" i="1" a="1"/>
  <c r="AA95" i="1" a="1"/>
  <c r="AA94" i="1" a="1"/>
  <c r="AA93" i="1" a="1"/>
  <c r="AA92" i="1" a="1"/>
  <c r="AA91" i="1" a="1"/>
  <c r="AA90" i="1" a="1"/>
  <c r="AA88" i="1" a="1"/>
  <c r="AA87" i="1" a="1"/>
  <c r="AA89" i="1" a="1"/>
  <c r="AA84" i="1" a="1"/>
  <c r="AA83" i="1" a="1"/>
  <c r="AA76" i="1" a="1"/>
  <c r="AA75" i="1" a="1"/>
  <c r="AA74" i="1" a="1"/>
  <c r="AA72" i="1" a="1"/>
  <c r="AA71" i="1" a="1"/>
  <c r="AA70" i="1" a="1"/>
  <c r="AA59" i="1" a="1"/>
  <c r="AA58" i="1" a="1"/>
  <c r="AA56" i="1" a="1"/>
  <c r="AA53" i="1" a="1"/>
  <c r="AA52" i="1" a="1"/>
  <c r="AA51" i="1" a="1"/>
  <c r="AA50" i="1" a="1"/>
  <c r="AA49" i="1" a="1"/>
  <c r="AA48" i="1" a="1"/>
  <c r="AA47" i="1" a="1"/>
  <c r="AA46" i="1" a="1"/>
  <c r="AA44" i="1" a="1"/>
  <c r="AA43" i="1" a="1"/>
  <c r="AA42" i="1" a="1"/>
  <c r="AA41" i="1" a="1"/>
  <c r="AA40" i="1" a="1"/>
  <c r="AA39" i="1" a="1"/>
  <c r="AA38" i="1" a="1"/>
  <c r="AA37" i="1" a="1"/>
  <c r="AA36" i="1" a="1"/>
  <c r="AA33" i="1" a="1"/>
  <c r="AA31" i="1" a="1"/>
  <c r="AA30" i="1" a="1"/>
  <c r="AA29" i="1" a="1"/>
  <c r="AA27" i="1" a="1"/>
  <c r="AA26" i="1" a="1"/>
  <c r="AA25" i="1" a="1"/>
  <c r="AA24" i="1" a="1"/>
  <c r="AA23" i="1" a="1"/>
  <c r="AA22" i="1" a="1"/>
  <c r="AA19" i="1" a="1"/>
  <c r="AA18" i="1" a="1"/>
  <c r="AA15" i="1" a="1"/>
  <c r="AA14" i="1" a="1"/>
  <c r="AA20" i="1" a="1"/>
  <c r="AA13" i="1" a="1"/>
  <c r="AA12" i="1" a="1"/>
  <c r="AA11" i="1" a="1"/>
  <c r="AA10" i="1" a="1"/>
  <c r="AA9" i="1" a="1"/>
  <c r="AA8" i="1" a="1"/>
  <c r="AA21" i="1" a="1"/>
  <c r="AA7" i="1" a="1"/>
  <c r="AA16" i="1" a="1"/>
  <c r="AA6" i="1" a="1"/>
  <c r="AA5" i="1" a="1"/>
  <c r="AA4" i="1" a="1"/>
  <c r="AA3" i="1" a="1"/>
  <c r="AA2" i="1" a="1"/>
  <c r="S87" i="1"/>
  <c r="T87" i="1"/>
  <c r="U87" i="1"/>
  <c r="Z87" i="1"/>
  <c r="N198" i="1"/>
  <c r="S198" i="1"/>
  <c r="T198" i="1"/>
  <c r="U198" i="1"/>
  <c r="Y198" i="1"/>
  <c r="Z198" i="1"/>
  <c r="N189" i="1"/>
  <c r="S189" i="1"/>
  <c r="T189" i="1"/>
  <c r="U189" i="1"/>
  <c r="Y189" i="1"/>
  <c r="Z189" i="1"/>
  <c r="N126" i="1"/>
  <c r="S126" i="1"/>
  <c r="T126" i="1"/>
  <c r="U126" i="1"/>
  <c r="Y126" i="1"/>
  <c r="Z126" i="1"/>
  <c r="N190" i="1"/>
  <c r="S190" i="1"/>
  <c r="T190" i="1"/>
  <c r="U190" i="1"/>
  <c r="Z190" i="1"/>
  <c r="AB190" i="1"/>
  <c r="B190" i="1" s="1"/>
  <c r="N99" i="1"/>
  <c r="S99" i="1"/>
  <c r="T99" i="1"/>
  <c r="U99" i="1"/>
  <c r="Y99" i="1"/>
  <c r="Z99" i="1"/>
  <c r="N134" i="1"/>
  <c r="S134" i="1"/>
  <c r="T134" i="1"/>
  <c r="U134" i="1"/>
  <c r="Z134" i="1"/>
  <c r="V28" i="1" l="1"/>
  <c r="W28" i="1" s="1"/>
  <c r="R28" i="1" s="1"/>
  <c r="J28" i="1" s="1"/>
  <c r="V176" i="1"/>
  <c r="W176" i="1" s="1"/>
  <c r="R176" i="1" s="1"/>
  <c r="J176" i="1" s="1"/>
  <c r="V150" i="1"/>
  <c r="W150" i="1" s="1"/>
  <c r="R150" i="1" s="1"/>
  <c r="J150" i="1" s="1"/>
  <c r="V201" i="1"/>
  <c r="W201" i="1" s="1"/>
  <c r="R201" i="1" s="1"/>
  <c r="J201" i="1" s="1"/>
  <c r="V186" i="1"/>
  <c r="W186" i="1" s="1"/>
  <c r="R186" i="1" s="1"/>
  <c r="J186" i="1" s="1"/>
  <c r="V192" i="1"/>
  <c r="W192" i="1" s="1"/>
  <c r="R192" i="1" s="1"/>
  <c r="J192" i="1" s="1"/>
  <c r="V73" i="1"/>
  <c r="W73" i="1" s="1"/>
  <c r="R73" i="1" s="1"/>
  <c r="J73" i="1" s="1"/>
  <c r="V54" i="1"/>
  <c r="W54" i="1" s="1"/>
  <c r="R54" i="1" s="1"/>
  <c r="J54" i="1" s="1"/>
  <c r="V67" i="1"/>
  <c r="W67" i="1" s="1"/>
  <c r="R67" i="1" s="1"/>
  <c r="J67" i="1" s="1"/>
  <c r="V154" i="1"/>
  <c r="W154" i="1" s="1"/>
  <c r="R154" i="1" s="1"/>
  <c r="J154" i="1" s="1"/>
  <c r="V152" i="1"/>
  <c r="W152" i="1" s="1"/>
  <c r="R152" i="1" s="1"/>
  <c r="J152" i="1" s="1"/>
  <c r="V133" i="1"/>
  <c r="W133" i="1" s="1"/>
  <c r="R133" i="1" s="1"/>
  <c r="J133" i="1" s="1"/>
  <c r="V64" i="1"/>
  <c r="W64" i="1" s="1"/>
  <c r="R64" i="1" s="1"/>
  <c r="J64" i="1" s="1"/>
  <c r="V199" i="1"/>
  <c r="W199" i="1" s="1"/>
  <c r="R199" i="1" s="1"/>
  <c r="J199" i="1" s="1"/>
  <c r="V65" i="1"/>
  <c r="W65" i="1" s="1"/>
  <c r="R65" i="1" s="1"/>
  <c r="J65" i="1" s="1"/>
  <c r="V63" i="1"/>
  <c r="W63" i="1" s="1"/>
  <c r="R63" i="1" s="1"/>
  <c r="J63" i="1" s="1"/>
  <c r="V68" i="1"/>
  <c r="W68" i="1" s="1"/>
  <c r="R68" i="1" s="1"/>
  <c r="J68" i="1" s="1"/>
  <c r="V66" i="1"/>
  <c r="W66" i="1" s="1"/>
  <c r="R66" i="1" s="1"/>
  <c r="J66" i="1" s="1"/>
  <c r="V69" i="1"/>
  <c r="W69" i="1" s="1"/>
  <c r="R69" i="1" s="1"/>
  <c r="J69" i="1" s="1"/>
  <c r="V55" i="1"/>
  <c r="W55" i="1" s="1"/>
  <c r="R55" i="1" s="1"/>
  <c r="J55" i="1" s="1"/>
  <c r="V203" i="1"/>
  <c r="W203" i="1" s="1"/>
  <c r="R203" i="1" s="1"/>
  <c r="J203" i="1" s="1"/>
  <c r="V177" i="1"/>
  <c r="W177" i="1" s="1"/>
  <c r="R177" i="1" s="1"/>
  <c r="J177" i="1" s="1"/>
  <c r="V85" i="1"/>
  <c r="W85" i="1" s="1"/>
  <c r="R85" i="1" s="1"/>
  <c r="J85" i="1" s="1"/>
  <c r="V57" i="1"/>
  <c r="W57" i="1" s="1"/>
  <c r="R57" i="1" s="1"/>
  <c r="J57" i="1" s="1"/>
  <c r="V86" i="1"/>
  <c r="W86" i="1" s="1"/>
  <c r="R86" i="1" s="1"/>
  <c r="J86" i="1" s="1"/>
  <c r="V163" i="1"/>
  <c r="W163" i="1" s="1"/>
  <c r="R163" i="1" s="1"/>
  <c r="J163" i="1" s="1"/>
  <c r="V61" i="1"/>
  <c r="W61" i="1" s="1"/>
  <c r="R61" i="1" s="1"/>
  <c r="J61" i="1" s="1"/>
  <c r="V60" i="1"/>
  <c r="W60" i="1" s="1"/>
  <c r="R60" i="1" s="1"/>
  <c r="J60" i="1" s="1"/>
  <c r="V195" i="1"/>
  <c r="Y137" i="1"/>
  <c r="V137" i="1"/>
  <c r="W137" i="1" s="1"/>
  <c r="R137" i="1" s="1"/>
  <c r="B87" i="1"/>
  <c r="N87" i="1"/>
  <c r="V87" i="1"/>
  <c r="V198" i="1"/>
  <c r="V189" i="1"/>
  <c r="V126" i="1"/>
  <c r="W126" i="1" s="1"/>
  <c r="R126" i="1" s="1"/>
  <c r="Y190" i="1"/>
  <c r="V190" i="1"/>
  <c r="W190" i="1" s="1"/>
  <c r="R190" i="1" s="1"/>
  <c r="J190" i="1" s="1"/>
  <c r="V99" i="1"/>
  <c r="W99" i="1" s="1"/>
  <c r="R99" i="1" s="1"/>
  <c r="J99" i="1" s="1"/>
  <c r="V134" i="1"/>
  <c r="W134" i="1" s="1"/>
  <c r="R134" i="1" s="1"/>
  <c r="J134" i="1" s="1"/>
  <c r="W195" i="1" l="1"/>
  <c r="R195" i="1" s="1"/>
  <c r="J137" i="1"/>
  <c r="Y87" i="1"/>
  <c r="J126" i="1"/>
  <c r="W87" i="1"/>
  <c r="R87" i="1" s="1"/>
  <c r="J87" i="1" s="1"/>
  <c r="W198" i="1"/>
  <c r="R198" i="1" s="1"/>
  <c r="J198" i="1" s="1"/>
  <c r="W189" i="1"/>
  <c r="R189" i="1" s="1"/>
  <c r="J189" i="1" s="1"/>
  <c r="Y70" i="1"/>
  <c r="N70" i="1"/>
  <c r="S70" i="1"/>
  <c r="T70" i="1"/>
  <c r="U70" i="1"/>
  <c r="Z70" i="1"/>
  <c r="N129" i="1"/>
  <c r="S129" i="1"/>
  <c r="T129" i="1"/>
  <c r="U129" i="1"/>
  <c r="Y129" i="1"/>
  <c r="Z129" i="1"/>
  <c r="N180" i="1"/>
  <c r="S180" i="1"/>
  <c r="T180" i="1"/>
  <c r="U180" i="1"/>
  <c r="Y180" i="1"/>
  <c r="Z180" i="1"/>
  <c r="Y149" i="1"/>
  <c r="N117" i="1"/>
  <c r="S117" i="1"/>
  <c r="T117" i="1"/>
  <c r="U117" i="1"/>
  <c r="Y117" i="1"/>
  <c r="Z117" i="1"/>
  <c r="N149" i="1"/>
  <c r="S149" i="1"/>
  <c r="T149" i="1"/>
  <c r="U149" i="1"/>
  <c r="Z149" i="1"/>
  <c r="Y124" i="1"/>
  <c r="N124" i="1"/>
  <c r="S124" i="1"/>
  <c r="T124" i="1"/>
  <c r="U124" i="1"/>
  <c r="Z124" i="1"/>
  <c r="AB140" i="1"/>
  <c r="B140" i="1" s="1"/>
  <c r="Y140" i="1" s="1"/>
  <c r="Z140" i="1"/>
  <c r="U140" i="1"/>
  <c r="T140" i="1"/>
  <c r="S140" i="1"/>
  <c r="N140" i="1"/>
  <c r="N16" i="1"/>
  <c r="S16" i="1"/>
  <c r="T16" i="1"/>
  <c r="U16" i="1"/>
  <c r="Y16" i="1"/>
  <c r="Z16" i="1"/>
  <c r="J195" i="1" l="1"/>
  <c r="V70" i="1"/>
  <c r="W70" i="1" s="1"/>
  <c r="R70" i="1" s="1"/>
  <c r="J70" i="1" s="1"/>
  <c r="V129" i="1"/>
  <c r="W129" i="1" s="1"/>
  <c r="R129" i="1" s="1"/>
  <c r="J129" i="1" s="1"/>
  <c r="V180" i="1"/>
  <c r="W180" i="1" s="1"/>
  <c r="R180" i="1" s="1"/>
  <c r="J180" i="1" s="1"/>
  <c r="V16" i="1"/>
  <c r="W16" i="1" s="1"/>
  <c r="R16" i="1" s="1"/>
  <c r="J16" i="1" s="1"/>
  <c r="V117" i="1"/>
  <c r="W117" i="1" s="1"/>
  <c r="R117" i="1" s="1"/>
  <c r="J117" i="1" s="1"/>
  <c r="V149" i="1"/>
  <c r="W149" i="1" s="1"/>
  <c r="R149" i="1" s="1"/>
  <c r="J149" i="1" s="1"/>
  <c r="V124" i="1"/>
  <c r="W124" i="1" s="1"/>
  <c r="R124" i="1" s="1"/>
  <c r="J124" i="1" s="1"/>
  <c r="V140" i="1"/>
  <c r="W140" i="1" s="1"/>
  <c r="R140" i="1" s="1"/>
  <c r="J140" i="1" s="1"/>
  <c r="F44" i="2" l="1"/>
  <c r="H44" i="2"/>
  <c r="I44" i="2"/>
  <c r="J44" i="2"/>
  <c r="F2" i="2" l="1"/>
  <c r="G8" i="2" s="1"/>
  <c r="H139" i="2"/>
  <c r="H140" i="2"/>
  <c r="H141" i="2"/>
  <c r="H142" i="2"/>
  <c r="H143" i="2"/>
  <c r="I139" i="2"/>
  <c r="I140" i="2"/>
  <c r="I141" i="2"/>
  <c r="I142" i="2"/>
  <c r="I143" i="2"/>
  <c r="J139" i="2"/>
  <c r="J140" i="2"/>
  <c r="J141" i="2"/>
  <c r="J142" i="2"/>
  <c r="J143" i="2"/>
  <c r="F139" i="2"/>
  <c r="F140" i="2"/>
  <c r="F141" i="2"/>
  <c r="F142" i="2"/>
  <c r="F143" i="2"/>
  <c r="G2" i="2" l="1"/>
  <c r="Z145" i="1"/>
  <c r="Y145" i="1"/>
  <c r="U145" i="1"/>
  <c r="T145" i="1"/>
  <c r="S145" i="1"/>
  <c r="N145" i="1"/>
  <c r="N131" i="1"/>
  <c r="S131" i="1"/>
  <c r="T131" i="1"/>
  <c r="U131" i="1"/>
  <c r="Y131" i="1"/>
  <c r="Z131" i="1"/>
  <c r="N132" i="1"/>
  <c r="S132" i="1"/>
  <c r="T132" i="1"/>
  <c r="U132" i="1"/>
  <c r="Y132" i="1"/>
  <c r="Z132" i="1"/>
  <c r="Y147" i="1"/>
  <c r="N147" i="1"/>
  <c r="S147" i="1"/>
  <c r="T147" i="1"/>
  <c r="U147" i="1"/>
  <c r="Z147" i="1"/>
  <c r="N170" i="1"/>
  <c r="S170" i="1"/>
  <c r="T170" i="1"/>
  <c r="U170" i="1"/>
  <c r="Y170" i="1"/>
  <c r="Z170" i="1"/>
  <c r="Z158" i="1"/>
  <c r="Y158" i="1"/>
  <c r="U158" i="1"/>
  <c r="T158" i="1"/>
  <c r="S158" i="1"/>
  <c r="N158" i="1"/>
  <c r="AB139" i="1"/>
  <c r="B139" i="1" s="1"/>
  <c r="AB138" i="1"/>
  <c r="B138" i="1" s="1"/>
  <c r="N112" i="1"/>
  <c r="S112" i="1"/>
  <c r="T112" i="1"/>
  <c r="U112" i="1"/>
  <c r="Y112" i="1"/>
  <c r="Z112" i="1"/>
  <c r="N104" i="1"/>
  <c r="S104" i="1"/>
  <c r="T104" i="1"/>
  <c r="U104" i="1"/>
  <c r="Y104" i="1"/>
  <c r="Z104" i="1"/>
  <c r="N122" i="1"/>
  <c r="S122" i="1"/>
  <c r="T122" i="1"/>
  <c r="U122" i="1"/>
  <c r="Y122" i="1"/>
  <c r="Z122" i="1"/>
  <c r="N123" i="1"/>
  <c r="S123" i="1"/>
  <c r="T123" i="1"/>
  <c r="U123" i="1"/>
  <c r="Y123" i="1"/>
  <c r="Z123" i="1"/>
  <c r="Z115" i="1"/>
  <c r="Z116" i="1"/>
  <c r="Y115" i="1"/>
  <c r="Y116" i="1"/>
  <c r="U115" i="1"/>
  <c r="U116" i="1"/>
  <c r="T115" i="1"/>
  <c r="T116" i="1"/>
  <c r="S115" i="1"/>
  <c r="S116" i="1"/>
  <c r="N115" i="1"/>
  <c r="N116" i="1"/>
  <c r="Z169" i="1"/>
  <c r="Y169" i="1"/>
  <c r="U169" i="1"/>
  <c r="T169" i="1"/>
  <c r="S169" i="1"/>
  <c r="N169" i="1"/>
  <c r="Z120" i="1"/>
  <c r="Y120" i="1"/>
  <c r="U120" i="1"/>
  <c r="T120" i="1"/>
  <c r="S120" i="1"/>
  <c r="N120" i="1"/>
  <c r="N119" i="1"/>
  <c r="S119" i="1"/>
  <c r="T119" i="1"/>
  <c r="U119" i="1"/>
  <c r="Y119" i="1"/>
  <c r="Z119" i="1"/>
  <c r="N88" i="1"/>
  <c r="S88" i="1"/>
  <c r="T88" i="1"/>
  <c r="U88" i="1"/>
  <c r="Y88" i="1"/>
  <c r="Z88" i="1"/>
  <c r="N93" i="1"/>
  <c r="S93" i="1"/>
  <c r="T93" i="1"/>
  <c r="U93" i="1"/>
  <c r="Y93" i="1"/>
  <c r="Z93" i="1"/>
  <c r="Z181" i="1"/>
  <c r="Z179" i="1"/>
  <c r="V119" i="1" l="1"/>
  <c r="W119" i="1" s="1"/>
  <c r="V145" i="1"/>
  <c r="W145" i="1" s="1"/>
  <c r="V131" i="1"/>
  <c r="W131" i="1" s="1"/>
  <c r="V132" i="1"/>
  <c r="W132" i="1" s="1"/>
  <c r="V112" i="1"/>
  <c r="W112" i="1" s="1"/>
  <c r="V170" i="1"/>
  <c r="W170" i="1" s="1"/>
  <c r="V158" i="1"/>
  <c r="W158" i="1" s="1"/>
  <c r="V147" i="1"/>
  <c r="W147" i="1" s="1"/>
  <c r="V115" i="1"/>
  <c r="W115" i="1" s="1"/>
  <c r="V120" i="1"/>
  <c r="W120" i="1" s="1"/>
  <c r="V88" i="1"/>
  <c r="W88" i="1" s="1"/>
  <c r="V123" i="1"/>
  <c r="W123" i="1" s="1"/>
  <c r="V122" i="1"/>
  <c r="W122" i="1" s="1"/>
  <c r="V104" i="1"/>
  <c r="W104" i="1" s="1"/>
  <c r="V116" i="1"/>
  <c r="W116" i="1" s="1"/>
  <c r="V169" i="1"/>
  <c r="W169" i="1" s="1"/>
  <c r="V93" i="1"/>
  <c r="W93" i="1" s="1"/>
  <c r="R88" i="1" l="1"/>
  <c r="J88" i="1" s="1"/>
  <c r="R112" i="1"/>
  <c r="J112" i="1" s="1"/>
  <c r="R145" i="1"/>
  <c r="J145" i="1" s="1"/>
  <c r="R93" i="1"/>
  <c r="J93" i="1" s="1"/>
  <c r="R132" i="1"/>
  <c r="J132" i="1" s="1"/>
  <c r="R120" i="1"/>
  <c r="J120" i="1" s="1"/>
  <c r="R119" i="1"/>
  <c r="J119" i="1" s="1"/>
  <c r="R158" i="1"/>
  <c r="J158" i="1" s="1"/>
  <c r="R131" i="1"/>
  <c r="J131" i="1" s="1"/>
  <c r="R115" i="1"/>
  <c r="J115" i="1" s="1"/>
  <c r="R169" i="1"/>
  <c r="J169" i="1" s="1"/>
  <c r="R116" i="1"/>
  <c r="J116" i="1" s="1"/>
  <c r="R123" i="1"/>
  <c r="J123" i="1" s="1"/>
  <c r="R104" i="1"/>
  <c r="J104" i="1" s="1"/>
  <c r="R147" i="1"/>
  <c r="J147" i="1" s="1"/>
  <c r="R122" i="1"/>
  <c r="J122" i="1" s="1"/>
  <c r="R170" i="1"/>
  <c r="J170" i="1" s="1"/>
  <c r="AB59" i="1"/>
  <c r="B59" i="1" s="1"/>
  <c r="N37" i="1"/>
  <c r="S37" i="1"/>
  <c r="T37" i="1"/>
  <c r="U37" i="1"/>
  <c r="Y37" i="1"/>
  <c r="Z37" i="1"/>
  <c r="N38" i="1"/>
  <c r="S38" i="1"/>
  <c r="T38" i="1"/>
  <c r="U38" i="1"/>
  <c r="Y38" i="1"/>
  <c r="Z38" i="1"/>
  <c r="Z13" i="1"/>
  <c r="Y13" i="1"/>
  <c r="U13" i="1"/>
  <c r="T13" i="1"/>
  <c r="S13" i="1"/>
  <c r="N13" i="1"/>
  <c r="V38" i="1" l="1"/>
  <c r="W38" i="1" s="1"/>
  <c r="V37" i="1"/>
  <c r="W37" i="1" s="1"/>
  <c r="V13" i="1"/>
  <c r="W13" i="1" s="1"/>
  <c r="AB14" i="1"/>
  <c r="B14" i="1" s="1"/>
  <c r="R13" i="1" l="1"/>
  <c r="J13" i="1" s="1"/>
  <c r="R37" i="1"/>
  <c r="J37" i="1" s="1"/>
  <c r="R38" i="1"/>
  <c r="J38" i="1" s="1"/>
  <c r="N2" i="1"/>
  <c r="S2" i="1"/>
  <c r="T2" i="1"/>
  <c r="U2" i="1"/>
  <c r="Y2" i="1"/>
  <c r="Z2" i="1"/>
  <c r="N3" i="1"/>
  <c r="S3" i="1"/>
  <c r="T3" i="1"/>
  <c r="U3" i="1"/>
  <c r="Y3" i="1"/>
  <c r="Z3" i="1"/>
  <c r="N4" i="1"/>
  <c r="S4" i="1"/>
  <c r="T4" i="1"/>
  <c r="U4" i="1"/>
  <c r="Y4" i="1"/>
  <c r="Z4" i="1"/>
  <c r="N15" i="1"/>
  <c r="S15" i="1"/>
  <c r="T15" i="1"/>
  <c r="U15" i="1"/>
  <c r="Y15" i="1"/>
  <c r="Z15" i="1"/>
  <c r="N6" i="1"/>
  <c r="S6" i="1"/>
  <c r="T6" i="1"/>
  <c r="U6" i="1"/>
  <c r="Y6" i="1"/>
  <c r="Z6" i="1"/>
  <c r="N5" i="1"/>
  <c r="S5" i="1"/>
  <c r="T5" i="1"/>
  <c r="U5" i="1"/>
  <c r="Y5" i="1"/>
  <c r="Z5" i="1"/>
  <c r="N7" i="1"/>
  <c r="S7" i="1"/>
  <c r="T7" i="1"/>
  <c r="U7" i="1"/>
  <c r="Y7" i="1"/>
  <c r="Z7" i="1"/>
  <c r="N21" i="1"/>
  <c r="S21" i="1"/>
  <c r="T21" i="1"/>
  <c r="U21" i="1"/>
  <c r="Y21" i="1"/>
  <c r="Z21" i="1"/>
  <c r="N8" i="1"/>
  <c r="S8" i="1"/>
  <c r="T8" i="1"/>
  <c r="U8" i="1"/>
  <c r="Y8" i="1"/>
  <c r="Z8" i="1"/>
  <c r="N10" i="1"/>
  <c r="S10" i="1"/>
  <c r="T10" i="1"/>
  <c r="U10" i="1"/>
  <c r="Y10" i="1"/>
  <c r="Z10" i="1"/>
  <c r="N11" i="1"/>
  <c r="S11" i="1"/>
  <c r="T11" i="1"/>
  <c r="U11" i="1"/>
  <c r="Y11" i="1"/>
  <c r="Z11" i="1"/>
  <c r="N12" i="1"/>
  <c r="S12" i="1"/>
  <c r="T12" i="1"/>
  <c r="U12" i="1"/>
  <c r="Y12" i="1"/>
  <c r="Z12" i="1"/>
  <c r="N17" i="1"/>
  <c r="S17" i="1"/>
  <c r="T17" i="1"/>
  <c r="U17" i="1"/>
  <c r="Y17" i="1"/>
  <c r="Z17" i="1"/>
  <c r="N20" i="1"/>
  <c r="S20" i="1"/>
  <c r="T20" i="1"/>
  <c r="U20" i="1"/>
  <c r="Y20" i="1"/>
  <c r="Z20" i="1"/>
  <c r="N14" i="1"/>
  <c r="S14" i="1"/>
  <c r="T14" i="1"/>
  <c r="U14" i="1"/>
  <c r="Y14" i="1"/>
  <c r="Z14" i="1"/>
  <c r="N18" i="1"/>
  <c r="S18" i="1"/>
  <c r="T18" i="1"/>
  <c r="U18" i="1"/>
  <c r="Y18" i="1"/>
  <c r="Z18" i="1"/>
  <c r="N19" i="1"/>
  <c r="S19" i="1"/>
  <c r="T19" i="1"/>
  <c r="U19" i="1"/>
  <c r="Y19" i="1"/>
  <c r="Z19" i="1"/>
  <c r="N22" i="1"/>
  <c r="S22" i="1"/>
  <c r="T22" i="1"/>
  <c r="U22" i="1"/>
  <c r="Y22" i="1"/>
  <c r="Z22" i="1"/>
  <c r="N23" i="1"/>
  <c r="S23" i="1"/>
  <c r="T23" i="1"/>
  <c r="U23" i="1"/>
  <c r="Y23" i="1"/>
  <c r="Z23" i="1"/>
  <c r="N24" i="1"/>
  <c r="S24" i="1"/>
  <c r="T24" i="1"/>
  <c r="U24" i="1"/>
  <c r="Y24" i="1"/>
  <c r="Z24" i="1"/>
  <c r="N25" i="1"/>
  <c r="S25" i="1"/>
  <c r="T25" i="1"/>
  <c r="U25" i="1"/>
  <c r="Y25" i="1"/>
  <c r="Z25" i="1"/>
  <c r="N26" i="1"/>
  <c r="S26" i="1"/>
  <c r="T26" i="1"/>
  <c r="U26" i="1"/>
  <c r="Y26" i="1"/>
  <c r="Z26" i="1"/>
  <c r="N27" i="1"/>
  <c r="S27" i="1"/>
  <c r="T27" i="1"/>
  <c r="U27" i="1"/>
  <c r="Y27" i="1"/>
  <c r="Z27" i="1"/>
  <c r="N29" i="1"/>
  <c r="S29" i="1"/>
  <c r="T29" i="1"/>
  <c r="U29" i="1"/>
  <c r="Y29" i="1"/>
  <c r="Z29" i="1"/>
  <c r="N30" i="1"/>
  <c r="S30" i="1"/>
  <c r="T30" i="1"/>
  <c r="U30" i="1"/>
  <c r="Y30" i="1"/>
  <c r="Z30" i="1"/>
  <c r="N31" i="1"/>
  <c r="S31" i="1"/>
  <c r="T31" i="1"/>
  <c r="U31" i="1"/>
  <c r="Y31" i="1"/>
  <c r="Z31" i="1"/>
  <c r="N33" i="1"/>
  <c r="S33" i="1"/>
  <c r="T33" i="1"/>
  <c r="U33" i="1"/>
  <c r="Y33" i="1"/>
  <c r="Z33" i="1"/>
  <c r="N36" i="1"/>
  <c r="S36" i="1"/>
  <c r="T36" i="1"/>
  <c r="U36" i="1"/>
  <c r="Y36" i="1"/>
  <c r="Z36" i="1"/>
  <c r="N39" i="1"/>
  <c r="S39" i="1"/>
  <c r="T39" i="1"/>
  <c r="U39" i="1"/>
  <c r="Y39" i="1"/>
  <c r="Z39" i="1"/>
  <c r="N40" i="1"/>
  <c r="S40" i="1"/>
  <c r="T40" i="1"/>
  <c r="U40" i="1"/>
  <c r="Y40" i="1"/>
  <c r="Z40" i="1"/>
  <c r="N41" i="1"/>
  <c r="S41" i="1"/>
  <c r="T41" i="1"/>
  <c r="U41" i="1"/>
  <c r="Y41" i="1"/>
  <c r="Z41" i="1"/>
  <c r="N42" i="1"/>
  <c r="S42" i="1"/>
  <c r="T42" i="1"/>
  <c r="U42" i="1"/>
  <c r="Y42" i="1"/>
  <c r="Z42" i="1"/>
  <c r="N9" i="1"/>
  <c r="S9" i="1"/>
  <c r="T9" i="1"/>
  <c r="U9" i="1"/>
  <c r="Y9" i="1"/>
  <c r="Z9" i="1"/>
  <c r="N43" i="1"/>
  <c r="S43" i="1"/>
  <c r="T43" i="1"/>
  <c r="U43" i="1"/>
  <c r="Y43" i="1"/>
  <c r="Z43" i="1"/>
  <c r="N44" i="1"/>
  <c r="S44" i="1"/>
  <c r="T44" i="1"/>
  <c r="U44" i="1"/>
  <c r="Y44" i="1"/>
  <c r="Z44" i="1"/>
  <c r="N46" i="1"/>
  <c r="S46" i="1"/>
  <c r="T46" i="1"/>
  <c r="U46" i="1"/>
  <c r="Y46" i="1"/>
  <c r="Z46" i="1"/>
  <c r="N47" i="1"/>
  <c r="S47" i="1"/>
  <c r="T47" i="1"/>
  <c r="U47" i="1"/>
  <c r="Y47" i="1"/>
  <c r="Z47" i="1"/>
  <c r="N48" i="1"/>
  <c r="S48" i="1"/>
  <c r="T48" i="1"/>
  <c r="U48" i="1"/>
  <c r="Y48" i="1"/>
  <c r="Z48" i="1"/>
  <c r="N49" i="1"/>
  <c r="S49" i="1"/>
  <c r="T49" i="1"/>
  <c r="U49" i="1"/>
  <c r="Y49" i="1"/>
  <c r="Z49" i="1"/>
  <c r="N130" i="1"/>
  <c r="S130" i="1"/>
  <c r="T130" i="1"/>
  <c r="U130" i="1"/>
  <c r="Y130" i="1"/>
  <c r="Z130" i="1"/>
  <c r="N50" i="1"/>
  <c r="S50" i="1"/>
  <c r="T50" i="1"/>
  <c r="U50" i="1"/>
  <c r="Y50" i="1"/>
  <c r="Z50" i="1"/>
  <c r="N51" i="1"/>
  <c r="S51" i="1"/>
  <c r="T51" i="1"/>
  <c r="U51" i="1"/>
  <c r="Y51" i="1"/>
  <c r="Z51" i="1"/>
  <c r="N52" i="1"/>
  <c r="S52" i="1"/>
  <c r="T52" i="1"/>
  <c r="U52" i="1"/>
  <c r="Y52" i="1"/>
  <c r="Z52" i="1"/>
  <c r="N53" i="1"/>
  <c r="S53" i="1"/>
  <c r="T53" i="1"/>
  <c r="U53" i="1"/>
  <c r="Y53" i="1"/>
  <c r="Z53" i="1"/>
  <c r="N56" i="1"/>
  <c r="S56" i="1"/>
  <c r="T56" i="1"/>
  <c r="U56" i="1"/>
  <c r="Y56" i="1"/>
  <c r="Z56" i="1"/>
  <c r="N58" i="1"/>
  <c r="S58" i="1"/>
  <c r="T58" i="1"/>
  <c r="U58" i="1"/>
  <c r="Y58" i="1"/>
  <c r="Z58" i="1"/>
  <c r="N59" i="1"/>
  <c r="S59" i="1"/>
  <c r="T59" i="1"/>
  <c r="U59" i="1"/>
  <c r="Y59" i="1"/>
  <c r="Z59" i="1"/>
  <c r="N71" i="1"/>
  <c r="S71" i="1"/>
  <c r="T71" i="1"/>
  <c r="U71" i="1"/>
  <c r="Y71" i="1"/>
  <c r="Z71" i="1"/>
  <c r="N72" i="1"/>
  <c r="S72" i="1"/>
  <c r="T72" i="1"/>
  <c r="U72" i="1"/>
  <c r="Y72" i="1"/>
  <c r="Z72" i="1"/>
  <c r="N74" i="1"/>
  <c r="S74" i="1"/>
  <c r="T74" i="1"/>
  <c r="U74" i="1"/>
  <c r="Y74" i="1"/>
  <c r="Z74" i="1"/>
  <c r="N75" i="1"/>
  <c r="S75" i="1"/>
  <c r="T75" i="1"/>
  <c r="U75" i="1"/>
  <c r="Y75" i="1"/>
  <c r="Z75" i="1"/>
  <c r="N76" i="1"/>
  <c r="S76" i="1"/>
  <c r="T76" i="1"/>
  <c r="U76" i="1"/>
  <c r="Y76" i="1"/>
  <c r="Z76" i="1"/>
  <c r="N83" i="1"/>
  <c r="S83" i="1"/>
  <c r="T83" i="1"/>
  <c r="U83" i="1"/>
  <c r="Y83" i="1"/>
  <c r="Z83" i="1"/>
  <c r="N84" i="1"/>
  <c r="S84" i="1"/>
  <c r="T84" i="1"/>
  <c r="U84" i="1"/>
  <c r="Y84" i="1"/>
  <c r="Z84" i="1"/>
  <c r="N89" i="1"/>
  <c r="S89" i="1"/>
  <c r="T89" i="1"/>
  <c r="U89" i="1"/>
  <c r="Y89" i="1"/>
  <c r="Z89" i="1"/>
  <c r="N96" i="1"/>
  <c r="S96" i="1"/>
  <c r="T96" i="1"/>
  <c r="U96" i="1"/>
  <c r="Y96" i="1"/>
  <c r="Z96" i="1"/>
  <c r="N90" i="1"/>
  <c r="S90" i="1"/>
  <c r="T90" i="1"/>
  <c r="U90" i="1"/>
  <c r="Y90" i="1"/>
  <c r="Z90" i="1"/>
  <c r="N91" i="1"/>
  <c r="S91" i="1"/>
  <c r="T91" i="1"/>
  <c r="U91" i="1"/>
  <c r="Y91" i="1"/>
  <c r="Z91" i="1"/>
  <c r="N92" i="1"/>
  <c r="S92" i="1"/>
  <c r="T92" i="1"/>
  <c r="U92" i="1"/>
  <c r="Y92" i="1"/>
  <c r="Z92" i="1"/>
  <c r="N95" i="1"/>
  <c r="S95" i="1"/>
  <c r="T95" i="1"/>
  <c r="U95" i="1"/>
  <c r="Y95" i="1"/>
  <c r="Z95" i="1"/>
  <c r="N94" i="1"/>
  <c r="S94" i="1"/>
  <c r="T94" i="1"/>
  <c r="U94" i="1"/>
  <c r="Y94" i="1"/>
  <c r="Z94" i="1"/>
  <c r="N97" i="1"/>
  <c r="S97" i="1"/>
  <c r="T97" i="1"/>
  <c r="U97" i="1"/>
  <c r="Y97" i="1"/>
  <c r="Z97" i="1"/>
  <c r="N98" i="1"/>
  <c r="S98" i="1"/>
  <c r="T98" i="1"/>
  <c r="U98" i="1"/>
  <c r="Y98" i="1"/>
  <c r="Z98" i="1"/>
  <c r="N113" i="1"/>
  <c r="S113" i="1"/>
  <c r="T113" i="1"/>
  <c r="U113" i="1"/>
  <c r="Y113" i="1"/>
  <c r="Z113" i="1"/>
  <c r="N100" i="1"/>
  <c r="S100" i="1"/>
  <c r="T100" i="1"/>
  <c r="U100" i="1"/>
  <c r="Y100" i="1"/>
  <c r="Z100" i="1"/>
  <c r="N101" i="1"/>
  <c r="S101" i="1"/>
  <c r="T101" i="1"/>
  <c r="U101" i="1"/>
  <c r="Y101" i="1"/>
  <c r="Z101" i="1"/>
  <c r="N102" i="1"/>
  <c r="S102" i="1"/>
  <c r="T102" i="1"/>
  <c r="U102" i="1"/>
  <c r="Y102" i="1"/>
  <c r="Z102" i="1"/>
  <c r="N103" i="1"/>
  <c r="S103" i="1"/>
  <c r="T103" i="1"/>
  <c r="U103" i="1"/>
  <c r="Y103" i="1"/>
  <c r="Z103" i="1"/>
  <c r="N114" i="1"/>
  <c r="S114" i="1"/>
  <c r="T114" i="1"/>
  <c r="U114" i="1"/>
  <c r="Y114" i="1"/>
  <c r="Z114" i="1"/>
  <c r="N155" i="1"/>
  <c r="S155" i="1"/>
  <c r="T155" i="1"/>
  <c r="U155" i="1"/>
  <c r="Y155" i="1"/>
  <c r="Z155" i="1"/>
  <c r="N141" i="1"/>
  <c r="S141" i="1"/>
  <c r="T141" i="1"/>
  <c r="U141" i="1"/>
  <c r="Y141" i="1"/>
  <c r="Z141" i="1"/>
  <c r="N159" i="1"/>
  <c r="S159" i="1"/>
  <c r="T159" i="1"/>
  <c r="U159" i="1"/>
  <c r="Y159" i="1"/>
  <c r="Z159" i="1"/>
  <c r="N110" i="1"/>
  <c r="S110" i="1"/>
  <c r="T110" i="1"/>
  <c r="U110" i="1"/>
  <c r="Y110" i="1"/>
  <c r="Z110" i="1"/>
  <c r="N111" i="1"/>
  <c r="S111" i="1"/>
  <c r="T111" i="1"/>
  <c r="U111" i="1"/>
  <c r="Y111" i="1"/>
  <c r="Z111" i="1"/>
  <c r="N148" i="1"/>
  <c r="S148" i="1"/>
  <c r="T148" i="1"/>
  <c r="U148" i="1"/>
  <c r="Y148" i="1"/>
  <c r="Z148" i="1"/>
  <c r="N168" i="1"/>
  <c r="S168" i="1"/>
  <c r="T168" i="1"/>
  <c r="U168" i="1"/>
  <c r="Y168" i="1"/>
  <c r="Z168" i="1"/>
  <c r="N106" i="1"/>
  <c r="S106" i="1"/>
  <c r="T106" i="1"/>
  <c r="U106" i="1"/>
  <c r="Y106" i="1"/>
  <c r="Z106" i="1"/>
  <c r="N108" i="1"/>
  <c r="S108" i="1"/>
  <c r="T108" i="1"/>
  <c r="U108" i="1"/>
  <c r="Y108" i="1"/>
  <c r="Z108" i="1"/>
  <c r="N165" i="1"/>
  <c r="S165" i="1"/>
  <c r="T165" i="1"/>
  <c r="U165" i="1"/>
  <c r="Y165" i="1"/>
  <c r="Z165" i="1"/>
  <c r="N125" i="1"/>
  <c r="S125" i="1"/>
  <c r="T125" i="1"/>
  <c r="U125" i="1"/>
  <c r="Y125" i="1"/>
  <c r="Z125" i="1"/>
  <c r="N127" i="1"/>
  <c r="S127" i="1"/>
  <c r="T127" i="1"/>
  <c r="U127" i="1"/>
  <c r="Y127" i="1"/>
  <c r="Z127" i="1"/>
  <c r="N128" i="1"/>
  <c r="S128" i="1"/>
  <c r="T128" i="1"/>
  <c r="U128" i="1"/>
  <c r="Y128" i="1"/>
  <c r="Z128" i="1"/>
  <c r="N135" i="1"/>
  <c r="S135" i="1"/>
  <c r="T135" i="1"/>
  <c r="U135" i="1"/>
  <c r="Y135" i="1"/>
  <c r="Z135" i="1"/>
  <c r="N118" i="1"/>
  <c r="S118" i="1"/>
  <c r="T118" i="1"/>
  <c r="U118" i="1"/>
  <c r="Y118" i="1"/>
  <c r="Z118" i="1"/>
  <c r="N138" i="1"/>
  <c r="S138" i="1"/>
  <c r="T138" i="1"/>
  <c r="U138" i="1"/>
  <c r="Y138" i="1"/>
  <c r="Z138" i="1"/>
  <c r="N139" i="1"/>
  <c r="S139" i="1"/>
  <c r="T139" i="1"/>
  <c r="U139" i="1"/>
  <c r="Y139" i="1"/>
  <c r="Z139" i="1"/>
  <c r="N142" i="1"/>
  <c r="S142" i="1"/>
  <c r="T142" i="1"/>
  <c r="U142" i="1"/>
  <c r="Y142" i="1"/>
  <c r="Z142" i="1"/>
  <c r="N143" i="1"/>
  <c r="S143" i="1"/>
  <c r="T143" i="1"/>
  <c r="U143" i="1"/>
  <c r="Y143" i="1"/>
  <c r="Z143" i="1"/>
  <c r="N144" i="1"/>
  <c r="S144" i="1"/>
  <c r="T144" i="1"/>
  <c r="U144" i="1"/>
  <c r="Y144" i="1"/>
  <c r="Z144" i="1"/>
  <c r="N157" i="1"/>
  <c r="S157" i="1"/>
  <c r="T157" i="1"/>
  <c r="U157" i="1"/>
  <c r="Y157" i="1"/>
  <c r="Z157" i="1"/>
  <c r="N105" i="1"/>
  <c r="S105" i="1"/>
  <c r="T105" i="1"/>
  <c r="U105" i="1"/>
  <c r="Y105" i="1"/>
  <c r="Z105" i="1"/>
  <c r="N167" i="1"/>
  <c r="S167" i="1"/>
  <c r="T167" i="1"/>
  <c r="U167" i="1"/>
  <c r="Y167" i="1"/>
  <c r="Z167" i="1"/>
  <c r="N171" i="1"/>
  <c r="S171" i="1"/>
  <c r="T171" i="1"/>
  <c r="U171" i="1"/>
  <c r="Y171" i="1"/>
  <c r="Z171" i="1"/>
  <c r="N172" i="1"/>
  <c r="S172" i="1"/>
  <c r="T172" i="1"/>
  <c r="U172" i="1"/>
  <c r="Y172" i="1"/>
  <c r="Z172" i="1"/>
  <c r="N151" i="1"/>
  <c r="S151" i="1"/>
  <c r="T151" i="1"/>
  <c r="U151" i="1"/>
  <c r="Y151" i="1"/>
  <c r="Z151" i="1"/>
  <c r="N173" i="1"/>
  <c r="S173" i="1"/>
  <c r="T173" i="1"/>
  <c r="U173" i="1"/>
  <c r="Y173" i="1"/>
  <c r="Z173" i="1"/>
  <c r="N164" i="1"/>
  <c r="S164" i="1"/>
  <c r="T164" i="1"/>
  <c r="U164" i="1"/>
  <c r="Y164" i="1"/>
  <c r="Z164" i="1"/>
  <c r="N160" i="1"/>
  <c r="S160" i="1"/>
  <c r="T160" i="1"/>
  <c r="U160" i="1"/>
  <c r="Y160" i="1"/>
  <c r="Z160" i="1"/>
  <c r="N161" i="1"/>
  <c r="S161" i="1"/>
  <c r="T161" i="1"/>
  <c r="U161" i="1"/>
  <c r="Y161" i="1"/>
  <c r="Z161" i="1"/>
  <c r="N162" i="1"/>
  <c r="S162" i="1"/>
  <c r="T162" i="1"/>
  <c r="U162" i="1"/>
  <c r="Y162" i="1"/>
  <c r="Z162" i="1"/>
  <c r="N166" i="1"/>
  <c r="S166" i="1"/>
  <c r="T166" i="1"/>
  <c r="U166" i="1"/>
  <c r="Y166" i="1"/>
  <c r="Z166" i="1"/>
  <c r="N121" i="1"/>
  <c r="S121" i="1"/>
  <c r="T121" i="1"/>
  <c r="U121" i="1"/>
  <c r="Y121" i="1"/>
  <c r="Z121" i="1"/>
  <c r="N174" i="1"/>
  <c r="S174" i="1"/>
  <c r="T174" i="1"/>
  <c r="U174" i="1"/>
  <c r="Y174" i="1"/>
  <c r="Z174" i="1"/>
  <c r="N175" i="1"/>
  <c r="S175" i="1"/>
  <c r="T175" i="1"/>
  <c r="U175" i="1"/>
  <c r="Y175" i="1"/>
  <c r="Z175" i="1"/>
  <c r="N179" i="1"/>
  <c r="S179" i="1"/>
  <c r="T179" i="1"/>
  <c r="U179" i="1"/>
  <c r="Y179" i="1"/>
  <c r="N181" i="1"/>
  <c r="S181" i="1"/>
  <c r="T181" i="1"/>
  <c r="U181" i="1"/>
  <c r="Y181" i="1"/>
  <c r="N182" i="1"/>
  <c r="S182" i="1"/>
  <c r="T182" i="1"/>
  <c r="U182" i="1"/>
  <c r="Y182" i="1"/>
  <c r="Z182" i="1"/>
  <c r="N183" i="1"/>
  <c r="S183" i="1"/>
  <c r="T183" i="1"/>
  <c r="U183" i="1"/>
  <c r="Y183" i="1"/>
  <c r="Z183" i="1"/>
  <c r="N184" i="1"/>
  <c r="S184" i="1"/>
  <c r="T184" i="1"/>
  <c r="U184" i="1"/>
  <c r="Y184" i="1"/>
  <c r="Z184" i="1"/>
  <c r="N185" i="1"/>
  <c r="S185" i="1"/>
  <c r="T185" i="1"/>
  <c r="U185" i="1"/>
  <c r="Y185" i="1"/>
  <c r="Z185" i="1"/>
  <c r="N187" i="1"/>
  <c r="S187" i="1"/>
  <c r="T187" i="1"/>
  <c r="U187" i="1"/>
  <c r="Y187" i="1"/>
  <c r="Z187" i="1"/>
  <c r="N188" i="1"/>
  <c r="S188" i="1"/>
  <c r="T188" i="1"/>
  <c r="U188" i="1"/>
  <c r="Y188" i="1"/>
  <c r="Z188" i="1"/>
  <c r="N191" i="1"/>
  <c r="S191" i="1"/>
  <c r="T191" i="1"/>
  <c r="U191" i="1"/>
  <c r="Y191" i="1"/>
  <c r="Z191" i="1"/>
  <c r="N193" i="1"/>
  <c r="S193" i="1"/>
  <c r="T193" i="1"/>
  <c r="U193" i="1"/>
  <c r="Y193" i="1"/>
  <c r="Z193" i="1"/>
  <c r="N194" i="1"/>
  <c r="S194" i="1"/>
  <c r="T194" i="1"/>
  <c r="U194" i="1"/>
  <c r="Y194" i="1"/>
  <c r="Z194" i="1"/>
  <c r="N196" i="1"/>
  <c r="S196" i="1"/>
  <c r="T196" i="1"/>
  <c r="U196" i="1"/>
  <c r="Y196" i="1"/>
  <c r="Z196" i="1"/>
  <c r="N200" i="1"/>
  <c r="S200" i="1"/>
  <c r="T200" i="1"/>
  <c r="U200" i="1"/>
  <c r="Y200" i="1"/>
  <c r="Z200" i="1"/>
  <c r="N202" i="1"/>
  <c r="S202" i="1"/>
  <c r="T202" i="1"/>
  <c r="U202" i="1"/>
  <c r="Y202" i="1"/>
  <c r="Z202" i="1"/>
  <c r="V155" i="1" l="1"/>
  <c r="W155" i="1" s="1"/>
  <c r="V24" i="1"/>
  <c r="W24" i="1" s="1"/>
  <c r="V95" i="1"/>
  <c r="W95" i="1" s="1"/>
  <c r="V50" i="1"/>
  <c r="W50" i="1" s="1"/>
  <c r="V51" i="1"/>
  <c r="W51" i="1" s="1"/>
  <c r="V59" i="1"/>
  <c r="W59" i="1" s="1"/>
  <c r="V196" i="1"/>
  <c r="W196" i="1" s="1"/>
  <c r="V193" i="1"/>
  <c r="W193" i="1" s="1"/>
  <c r="V106" i="1"/>
  <c r="W106" i="1" s="1"/>
  <c r="V98" i="1"/>
  <c r="W98" i="1" s="1"/>
  <c r="V46" i="1"/>
  <c r="W46" i="1" s="1"/>
  <c r="V25" i="1"/>
  <c r="W25" i="1" s="1"/>
  <c r="V114" i="1"/>
  <c r="W114" i="1" s="1"/>
  <c r="V141" i="1"/>
  <c r="W141" i="1" s="1"/>
  <c r="V187" i="1"/>
  <c r="W187" i="1" s="1"/>
  <c r="V144" i="1"/>
  <c r="W144" i="1" s="1"/>
  <c r="V127" i="1"/>
  <c r="W127" i="1" s="1"/>
  <c r="V113" i="1"/>
  <c r="W113" i="1" s="1"/>
  <c r="V31" i="1"/>
  <c r="W31" i="1" s="1"/>
  <c r="V18" i="1"/>
  <c r="W18" i="1" s="1"/>
  <c r="V2" i="1"/>
  <c r="W2" i="1" s="1"/>
  <c r="V71" i="1"/>
  <c r="W71" i="1" s="1"/>
  <c r="V111" i="1"/>
  <c r="W111" i="1" s="1"/>
  <c r="V200" i="1"/>
  <c r="W200" i="1" s="1"/>
  <c r="V125" i="1"/>
  <c r="W125" i="1" s="1"/>
  <c r="V183" i="1"/>
  <c r="W183" i="1" s="1"/>
  <c r="V185" i="1"/>
  <c r="W185" i="1" s="1"/>
  <c r="V89" i="1"/>
  <c r="W89" i="1" s="1"/>
  <c r="V76" i="1"/>
  <c r="W76" i="1" s="1"/>
  <c r="V8" i="1"/>
  <c r="W8" i="1" s="1"/>
  <c r="V100" i="1"/>
  <c r="W100" i="1" s="1"/>
  <c r="V40" i="1"/>
  <c r="W40" i="1" s="1"/>
  <c r="V84" i="1"/>
  <c r="W84" i="1" s="1"/>
  <c r="V41" i="1"/>
  <c r="W41" i="1" s="1"/>
  <c r="V121" i="1"/>
  <c r="W121" i="1" s="1"/>
  <c r="V162" i="1"/>
  <c r="W162" i="1" s="1"/>
  <c r="V143" i="1"/>
  <c r="W143" i="1" s="1"/>
  <c r="V148" i="1"/>
  <c r="W148" i="1" s="1"/>
  <c r="V9" i="1"/>
  <c r="W9" i="1" s="1"/>
  <c r="V11" i="1"/>
  <c r="W11" i="1" s="1"/>
  <c r="V164" i="1"/>
  <c r="W164" i="1" s="1"/>
  <c r="V44" i="1"/>
  <c r="W44" i="1" s="1"/>
  <c r="V151" i="1"/>
  <c r="W151" i="1" s="1"/>
  <c r="V139" i="1"/>
  <c r="W139" i="1" s="1"/>
  <c r="V191" i="1"/>
  <c r="W191" i="1" s="1"/>
  <c r="V90" i="1"/>
  <c r="W90" i="1" s="1"/>
  <c r="V108" i="1"/>
  <c r="W108" i="1" s="1"/>
  <c r="V175" i="1"/>
  <c r="W175" i="1" s="1"/>
  <c r="V74" i="1"/>
  <c r="W74" i="1" s="1"/>
  <c r="V58" i="1"/>
  <c r="W58" i="1" s="1"/>
  <c r="V96" i="1"/>
  <c r="W96" i="1" s="1"/>
  <c r="V130" i="1"/>
  <c r="W130" i="1" s="1"/>
  <c r="V94" i="1"/>
  <c r="W94" i="1" s="1"/>
  <c r="V6" i="1"/>
  <c r="W6" i="1" s="1"/>
  <c r="V33" i="1"/>
  <c r="W33" i="1" s="1"/>
  <c r="V118" i="1"/>
  <c r="W118" i="1" s="1"/>
  <c r="V160" i="1"/>
  <c r="W160" i="1" s="1"/>
  <c r="V91" i="1"/>
  <c r="W91" i="1" s="1"/>
  <c r="V181" i="1"/>
  <c r="W181" i="1" s="1"/>
  <c r="V128" i="1"/>
  <c r="W128" i="1" s="1"/>
  <c r="V97" i="1"/>
  <c r="W97" i="1" s="1"/>
  <c r="V52" i="1"/>
  <c r="W52" i="1" s="1"/>
  <c r="V42" i="1"/>
  <c r="W42" i="1" s="1"/>
  <c r="V21" i="1"/>
  <c r="W21" i="1" s="1"/>
  <c r="V5" i="1"/>
  <c r="W5" i="1" s="1"/>
  <c r="V157" i="1"/>
  <c r="W157" i="1" s="1"/>
  <c r="V75" i="1"/>
  <c r="W75" i="1" s="1"/>
  <c r="V10" i="1"/>
  <c r="W10" i="1" s="1"/>
  <c r="V172" i="1"/>
  <c r="W172" i="1" s="1"/>
  <c r="V36" i="1"/>
  <c r="W36" i="1" s="1"/>
  <c r="V188" i="1"/>
  <c r="W188" i="1" s="1"/>
  <c r="V105" i="1"/>
  <c r="W105" i="1" s="1"/>
  <c r="V138" i="1"/>
  <c r="W138" i="1" s="1"/>
  <c r="V135" i="1"/>
  <c r="W135" i="1" s="1"/>
  <c r="V43" i="1"/>
  <c r="W43" i="1" s="1"/>
  <c r="V12" i="1"/>
  <c r="W12" i="1" s="1"/>
  <c r="V142" i="1"/>
  <c r="W142" i="1" s="1"/>
  <c r="V102" i="1"/>
  <c r="W102" i="1" s="1"/>
  <c r="V83" i="1"/>
  <c r="W83" i="1" s="1"/>
  <c r="V56" i="1"/>
  <c r="W56" i="1" s="1"/>
  <c r="V27" i="1"/>
  <c r="W27" i="1" s="1"/>
  <c r="V14" i="1"/>
  <c r="W14" i="1" s="1"/>
  <c r="V202" i="1"/>
  <c r="W202" i="1" s="1"/>
  <c r="V171" i="1"/>
  <c r="W171" i="1" s="1"/>
  <c r="V165" i="1"/>
  <c r="W165" i="1" s="1"/>
  <c r="V20" i="1"/>
  <c r="W20" i="1" s="1"/>
  <c r="V4" i="1"/>
  <c r="W4" i="1" s="1"/>
  <c r="V173" i="1"/>
  <c r="W173" i="1" s="1"/>
  <c r="V166" i="1"/>
  <c r="W166" i="1" s="1"/>
  <c r="V110" i="1"/>
  <c r="W110" i="1" s="1"/>
  <c r="V179" i="1"/>
  <c r="W179" i="1" s="1"/>
  <c r="V48" i="1"/>
  <c r="W48" i="1" s="1"/>
  <c r="V30" i="1"/>
  <c r="W30" i="1" s="1"/>
  <c r="V19" i="1"/>
  <c r="W19" i="1" s="1"/>
  <c r="V7" i="1"/>
  <c r="W7" i="1" s="1"/>
  <c r="V103" i="1"/>
  <c r="W103" i="1" s="1"/>
  <c r="V49" i="1"/>
  <c r="W49" i="1" s="1"/>
  <c r="V161" i="1"/>
  <c r="W161" i="1" s="1"/>
  <c r="V159" i="1"/>
  <c r="W159" i="1" s="1"/>
  <c r="V92" i="1"/>
  <c r="W92" i="1" s="1"/>
  <c r="V72" i="1"/>
  <c r="W72" i="1" s="1"/>
  <c r="V23" i="1"/>
  <c r="W23" i="1" s="1"/>
  <c r="V15" i="1"/>
  <c r="W15" i="1" s="1"/>
  <c r="V22" i="1"/>
  <c r="W22" i="1" s="1"/>
  <c r="V184" i="1"/>
  <c r="W184" i="1" s="1"/>
  <c r="V182" i="1"/>
  <c r="W182" i="1" s="1"/>
  <c r="V39" i="1"/>
  <c r="W39" i="1" s="1"/>
  <c r="V174" i="1"/>
  <c r="W174" i="1" s="1"/>
  <c r="V167" i="1"/>
  <c r="W167" i="1" s="1"/>
  <c r="V168" i="1"/>
  <c r="W168" i="1" s="1"/>
  <c r="V53" i="1"/>
  <c r="W53" i="1" s="1"/>
  <c r="V47" i="1"/>
  <c r="W47" i="1" s="1"/>
  <c r="V26" i="1"/>
  <c r="W26" i="1" s="1"/>
  <c r="V17" i="1"/>
  <c r="W17" i="1" s="1"/>
  <c r="V194" i="1"/>
  <c r="W194" i="1" s="1"/>
  <c r="V101" i="1"/>
  <c r="W101" i="1" s="1"/>
  <c r="V29" i="1"/>
  <c r="W29" i="1" s="1"/>
  <c r="V3" i="1"/>
  <c r="W3" i="1" s="1"/>
  <c r="R148" i="1" l="1"/>
  <c r="J148" i="1" s="1"/>
  <c r="R200" i="1"/>
  <c r="J200" i="1" s="1"/>
  <c r="R111" i="1"/>
  <c r="J111" i="1" s="1"/>
  <c r="R181" i="1"/>
  <c r="J181" i="1" s="1"/>
  <c r="R196" i="1"/>
  <c r="J196" i="1" s="1"/>
  <c r="R110" i="1"/>
  <c r="J110" i="1" s="1"/>
  <c r="R12" i="1"/>
  <c r="J12" i="1" s="1"/>
  <c r="R43" i="1"/>
  <c r="J43" i="1" s="1"/>
  <c r="R58" i="1"/>
  <c r="J58" i="1" s="1"/>
  <c r="R128" i="1"/>
  <c r="J128" i="1" s="1"/>
  <c r="R17" i="1"/>
  <c r="J17" i="1" s="1"/>
  <c r="R171" i="1"/>
  <c r="J171" i="1" s="1"/>
  <c r="R138" i="1"/>
  <c r="J138" i="1" s="1"/>
  <c r="R108" i="1"/>
  <c r="J108" i="1" s="1"/>
  <c r="R84" i="1"/>
  <c r="J84" i="1" s="1"/>
  <c r="R18" i="1"/>
  <c r="J18" i="1" s="1"/>
  <c r="R59" i="1"/>
  <c r="J59" i="1" s="1"/>
  <c r="R29" i="1"/>
  <c r="J29" i="1" s="1"/>
  <c r="R106" i="1"/>
  <c r="J106" i="1" s="1"/>
  <c r="R47" i="1"/>
  <c r="J47" i="1" s="1"/>
  <c r="R90" i="1"/>
  <c r="J90" i="1" s="1"/>
  <c r="R40" i="1"/>
  <c r="J40" i="1" s="1"/>
  <c r="R31" i="1"/>
  <c r="J31" i="1" s="1"/>
  <c r="R130" i="1"/>
  <c r="J130" i="1" s="1"/>
  <c r="R42" i="1"/>
  <c r="J42" i="1" s="1"/>
  <c r="R194" i="1"/>
  <c r="J194" i="1" s="1"/>
  <c r="R175" i="1"/>
  <c r="J175" i="1" s="1"/>
  <c r="R103" i="1"/>
  <c r="J103" i="1" s="1"/>
  <c r="R188" i="1"/>
  <c r="J188" i="1" s="1"/>
  <c r="R160" i="1"/>
  <c r="J160" i="1" s="1"/>
  <c r="R191" i="1"/>
  <c r="J191" i="1" s="1"/>
  <c r="R100" i="1"/>
  <c r="J100" i="1" s="1"/>
  <c r="R23" i="1"/>
  <c r="J23" i="1" s="1"/>
  <c r="R72" i="1"/>
  <c r="J72" i="1" s="1"/>
  <c r="R97" i="1"/>
  <c r="J97" i="1" s="1"/>
  <c r="R159" i="1"/>
  <c r="J159" i="1" s="1"/>
  <c r="R41" i="1"/>
  <c r="J41" i="1" s="1"/>
  <c r="R14" i="1"/>
  <c r="J14" i="1" s="1"/>
  <c r="R36" i="1"/>
  <c r="J36" i="1" s="1"/>
  <c r="R139" i="1"/>
  <c r="J139" i="1" s="1"/>
  <c r="R8" i="1"/>
  <c r="J8" i="1" s="1"/>
  <c r="R113" i="1"/>
  <c r="J113" i="1" s="1"/>
  <c r="R51" i="1"/>
  <c r="J51" i="1" s="1"/>
  <c r="R21" i="1"/>
  <c r="J21" i="1" s="1"/>
  <c r="R98" i="1"/>
  <c r="J98" i="1" s="1"/>
  <c r="R101" i="1"/>
  <c r="J101" i="1" s="1"/>
  <c r="R193" i="1"/>
  <c r="J193" i="1" s="1"/>
  <c r="R49" i="1"/>
  <c r="J49" i="1" s="1"/>
  <c r="R19" i="1"/>
  <c r="J19" i="1" s="1"/>
  <c r="R172" i="1"/>
  <c r="J172" i="1" s="1"/>
  <c r="R151" i="1"/>
  <c r="J151" i="1" s="1"/>
  <c r="R76" i="1"/>
  <c r="J76" i="1" s="1"/>
  <c r="R127" i="1"/>
  <c r="J127" i="1" s="1"/>
  <c r="R50" i="1"/>
  <c r="J50" i="1" s="1"/>
  <c r="R96" i="1"/>
  <c r="J96" i="1" s="1"/>
  <c r="R74" i="1"/>
  <c r="J74" i="1" s="1"/>
  <c r="R135" i="1"/>
  <c r="J135" i="1" s="1"/>
  <c r="R91" i="1"/>
  <c r="J91" i="1" s="1"/>
  <c r="R27" i="1"/>
  <c r="J27" i="1" s="1"/>
  <c r="R118" i="1"/>
  <c r="J118" i="1" s="1"/>
  <c r="R89" i="1"/>
  <c r="J89" i="1" s="1"/>
  <c r="R144" i="1"/>
  <c r="J144" i="1" s="1"/>
  <c r="R95" i="1"/>
  <c r="J95" i="1" s="1"/>
  <c r="R173" i="1"/>
  <c r="J173" i="1" s="1"/>
  <c r="R162" i="1"/>
  <c r="J162" i="1" s="1"/>
  <c r="R121" i="1"/>
  <c r="J121" i="1" s="1"/>
  <c r="R161" i="1"/>
  <c r="J161" i="1" s="1"/>
  <c r="R39" i="1"/>
  <c r="J39" i="1" s="1"/>
  <c r="R164" i="1"/>
  <c r="J164" i="1" s="1"/>
  <c r="R185" i="1"/>
  <c r="J185" i="1" s="1"/>
  <c r="R187" i="1"/>
  <c r="J187" i="1" s="1"/>
  <c r="R166" i="1"/>
  <c r="J166" i="1" s="1"/>
  <c r="R52" i="1"/>
  <c r="J52" i="1" s="1"/>
  <c r="R4" i="1"/>
  <c r="J4" i="1" s="1"/>
  <c r="R71" i="1"/>
  <c r="J71" i="1" s="1"/>
  <c r="R26" i="1"/>
  <c r="J26" i="1" s="1"/>
  <c r="R53" i="1"/>
  <c r="J53" i="1" s="1"/>
  <c r="R167" i="1"/>
  <c r="J167" i="1" s="1"/>
  <c r="R56" i="1"/>
  <c r="J56" i="1" s="1"/>
  <c r="R44" i="1"/>
  <c r="J44" i="1" s="1"/>
  <c r="R48" i="1"/>
  <c r="J48" i="1" s="1"/>
  <c r="R10" i="1"/>
  <c r="J10" i="1" s="1"/>
  <c r="R182" i="1"/>
  <c r="J182" i="1" s="1"/>
  <c r="R83" i="1"/>
  <c r="J83" i="1" s="1"/>
  <c r="R75" i="1"/>
  <c r="J75" i="1" s="1"/>
  <c r="R33" i="1"/>
  <c r="J33" i="1" s="1"/>
  <c r="R11" i="1"/>
  <c r="J11" i="1" s="1"/>
  <c r="R183" i="1"/>
  <c r="J183" i="1" s="1"/>
  <c r="R141" i="1"/>
  <c r="J141" i="1" s="1"/>
  <c r="R24" i="1"/>
  <c r="J24" i="1" s="1"/>
  <c r="R46" i="1"/>
  <c r="J46" i="1" s="1"/>
  <c r="R143" i="1"/>
  <c r="J143" i="1" s="1"/>
  <c r="R92" i="1"/>
  <c r="J92" i="1" s="1"/>
  <c r="R20" i="1"/>
  <c r="J20" i="1" s="1"/>
  <c r="R202" i="1"/>
  <c r="J202" i="1" s="1"/>
  <c r="R7" i="1"/>
  <c r="J7" i="1" s="1"/>
  <c r="R30" i="1"/>
  <c r="J30" i="1" s="1"/>
  <c r="R184" i="1"/>
  <c r="J184" i="1" s="1"/>
  <c r="R102" i="1"/>
  <c r="J102" i="1" s="1"/>
  <c r="R157" i="1"/>
  <c r="J157" i="1" s="1"/>
  <c r="R6" i="1"/>
  <c r="J6" i="1" s="1"/>
  <c r="R9" i="1"/>
  <c r="J9" i="1" s="1"/>
  <c r="R125" i="1"/>
  <c r="J125" i="1" s="1"/>
  <c r="R114" i="1"/>
  <c r="J114" i="1" s="1"/>
  <c r="R155" i="1"/>
  <c r="J155" i="1" s="1"/>
  <c r="R15" i="1"/>
  <c r="J15" i="1" s="1"/>
  <c r="R3" i="1"/>
  <c r="J3" i="1" s="1"/>
  <c r="R165" i="1"/>
  <c r="J165" i="1" s="1"/>
  <c r="R105" i="1"/>
  <c r="J105" i="1" s="1"/>
  <c r="R168" i="1"/>
  <c r="J168" i="1" s="1"/>
  <c r="R174" i="1"/>
  <c r="J174" i="1" s="1"/>
  <c r="R22" i="1"/>
  <c r="J22" i="1" s="1"/>
  <c r="R179" i="1"/>
  <c r="J179" i="1" s="1"/>
  <c r="R142" i="1"/>
  <c r="J142" i="1" s="1"/>
  <c r="R5" i="1"/>
  <c r="J5" i="1" s="1"/>
  <c r="R94" i="1"/>
  <c r="J94" i="1" s="1"/>
  <c r="R25" i="1"/>
  <c r="J25" i="1" s="1"/>
  <c r="R2" i="1"/>
  <c r="J2" i="1" s="1"/>
  <c r="C4" i="12" a="1"/>
  <c r="F3" i="2"/>
  <c r="F4" i="2"/>
  <c r="G87" i="2" s="1"/>
  <c r="F5" i="2"/>
  <c r="G11" i="2" s="1"/>
  <c r="F6" i="2"/>
  <c r="G12" i="2" s="1"/>
  <c r="F7" i="2"/>
  <c r="G13" i="2" s="1"/>
  <c r="F14" i="2"/>
  <c r="F15" i="2"/>
  <c r="F16" i="2"/>
  <c r="F17" i="2"/>
  <c r="G17" i="2" s="1"/>
  <c r="F18" i="2"/>
  <c r="F19" i="2"/>
  <c r="F20" i="2"/>
  <c r="F21" i="2"/>
  <c r="F22" i="2"/>
  <c r="F23" i="2"/>
  <c r="F24" i="2"/>
  <c r="F25" i="2"/>
  <c r="F26" i="2"/>
  <c r="F27" i="2"/>
  <c r="F28" i="2"/>
  <c r="G28" i="2" s="1"/>
  <c r="F30" i="2"/>
  <c r="F31" i="2"/>
  <c r="F45" i="2"/>
  <c r="F46" i="2"/>
  <c r="F47" i="2"/>
  <c r="F48" i="2"/>
  <c r="F51" i="2"/>
  <c r="F52" i="2"/>
  <c r="F53" i="2"/>
  <c r="F54" i="2"/>
  <c r="F55" i="2"/>
  <c r="F56" i="2"/>
  <c r="F57" i="2"/>
  <c r="F58" i="2"/>
  <c r="F59" i="2"/>
  <c r="R20" i="15" s="1"/>
  <c r="F60" i="2"/>
  <c r="F61" i="2"/>
  <c r="F65" i="2"/>
  <c r="F66" i="2"/>
  <c r="F73" i="2"/>
  <c r="F74" i="2"/>
  <c r="F75" i="2"/>
  <c r="F78" i="2"/>
  <c r="F79" i="2"/>
  <c r="F80" i="2"/>
  <c r="F82" i="2"/>
  <c r="F83" i="2"/>
  <c r="F84" i="2"/>
  <c r="F86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9" i="2"/>
  <c r="F130" i="2"/>
  <c r="F131" i="2"/>
  <c r="F132" i="2"/>
  <c r="F133" i="2"/>
  <c r="F134" i="2"/>
  <c r="F135" i="2"/>
  <c r="F136" i="2"/>
  <c r="F137" i="2"/>
  <c r="F138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62" i="2"/>
  <c r="F163" i="2"/>
  <c r="F164" i="2"/>
  <c r="F165" i="2"/>
  <c r="F166" i="2"/>
  <c r="F167" i="2"/>
  <c r="F168" i="2"/>
  <c r="F169" i="2"/>
  <c r="F170" i="2"/>
  <c r="G170" i="2" s="1"/>
  <c r="F171" i="2"/>
  <c r="G171" i="2" s="1"/>
  <c r="F172" i="2"/>
  <c r="G172" i="2" s="1"/>
  <c r="F173" i="2"/>
  <c r="G173" i="2" s="1"/>
  <c r="F175" i="2"/>
  <c r="F176" i="2"/>
  <c r="F177" i="2"/>
  <c r="G177" i="2" s="1"/>
  <c r="H123" i="2"/>
  <c r="I123" i="2"/>
  <c r="J123" i="2"/>
  <c r="G175" i="2" l="1"/>
  <c r="R496" i="15"/>
  <c r="R511" i="15"/>
  <c r="R495" i="15"/>
  <c r="R507" i="15"/>
  <c r="R505" i="15"/>
  <c r="R491" i="15"/>
  <c r="R484" i="15"/>
  <c r="R500" i="15"/>
  <c r="R479" i="15"/>
  <c r="R480" i="15"/>
  <c r="R492" i="15"/>
  <c r="R509" i="15"/>
  <c r="R483" i="15"/>
  <c r="R499" i="15"/>
  <c r="R503" i="15"/>
  <c r="R513" i="15"/>
  <c r="R488" i="15"/>
  <c r="R487" i="15"/>
  <c r="G176" i="2"/>
  <c r="R485" i="15"/>
  <c r="R501" i="15"/>
  <c r="R504" i="15"/>
  <c r="R508" i="15"/>
  <c r="R498" i="15"/>
  <c r="R486" i="15"/>
  <c r="R512" i="15"/>
  <c r="R510" i="15"/>
  <c r="R482" i="15"/>
  <c r="R502" i="15"/>
  <c r="R514" i="15"/>
  <c r="R494" i="15"/>
  <c r="R490" i="15"/>
  <c r="R497" i="15"/>
  <c r="R506" i="15"/>
  <c r="R481" i="15"/>
  <c r="R489" i="15"/>
  <c r="R493" i="15"/>
  <c r="G9" i="2"/>
  <c r="G85" i="2"/>
  <c r="R344" i="15"/>
  <c r="R401" i="15"/>
  <c r="R201" i="15"/>
  <c r="R242" i="15"/>
  <c r="R398" i="15"/>
  <c r="R290" i="15"/>
  <c r="R341" i="15"/>
  <c r="R395" i="15"/>
  <c r="R266" i="15"/>
  <c r="R308" i="15"/>
  <c r="R233" i="15"/>
  <c r="R359" i="15"/>
  <c r="R338" i="15"/>
  <c r="R356" i="15"/>
  <c r="R263" i="15"/>
  <c r="R353" i="15"/>
  <c r="R204" i="15"/>
  <c r="R198" i="15"/>
  <c r="R335" i="15"/>
  <c r="R239" i="15"/>
  <c r="R323" i="15"/>
  <c r="R284" i="15"/>
  <c r="R281" i="15"/>
  <c r="R257" i="15"/>
  <c r="R254" i="15"/>
  <c r="R260" i="15"/>
  <c r="R221" i="15"/>
  <c r="R147" i="15"/>
  <c r="R144" i="15"/>
  <c r="R278" i="15"/>
  <c r="R195" i="15"/>
  <c r="R380" i="15"/>
  <c r="R302" i="15"/>
  <c r="R230" i="15"/>
  <c r="R377" i="15"/>
  <c r="R272" i="15"/>
  <c r="R299" i="15"/>
  <c r="R374" i="15"/>
  <c r="R287" i="15"/>
  <c r="R251" i="15"/>
  <c r="R371" i="15"/>
  <c r="R218" i="15"/>
  <c r="R296" i="15"/>
  <c r="R150" i="15"/>
  <c r="R224" i="15"/>
  <c r="R236" i="15"/>
  <c r="R293" i="15"/>
  <c r="R245" i="15"/>
  <c r="R326" i="15"/>
  <c r="R320" i="15"/>
  <c r="R314" i="15"/>
  <c r="R207" i="15"/>
  <c r="R215" i="15"/>
  <c r="R78" i="15"/>
  <c r="R227" i="15"/>
  <c r="R347" i="15"/>
  <c r="R311" i="15"/>
  <c r="R275" i="15"/>
  <c r="R269" i="15"/>
  <c r="R192" i="15"/>
  <c r="R189" i="15"/>
  <c r="R186" i="15"/>
  <c r="R183" i="15"/>
  <c r="R180" i="15"/>
  <c r="R177" i="15"/>
  <c r="R81" i="15"/>
  <c r="R174" i="15"/>
  <c r="R171" i="15"/>
  <c r="R168" i="15"/>
  <c r="R165" i="15"/>
  <c r="R162" i="15"/>
  <c r="R159" i="15"/>
  <c r="R156" i="15"/>
  <c r="R153" i="15"/>
  <c r="R141" i="15"/>
  <c r="R138" i="15"/>
  <c r="R135" i="15"/>
  <c r="R132" i="15"/>
  <c r="R129" i="15"/>
  <c r="R126" i="15"/>
  <c r="R123" i="15"/>
  <c r="R120" i="15"/>
  <c r="R117" i="15"/>
  <c r="R114" i="15"/>
  <c r="R111" i="15"/>
  <c r="R108" i="15"/>
  <c r="R105" i="15"/>
  <c r="R102" i="15"/>
  <c r="R99" i="15"/>
  <c r="R96" i="15"/>
  <c r="R93" i="15"/>
  <c r="R305" i="15"/>
  <c r="R90" i="15"/>
  <c r="R87" i="15"/>
  <c r="R84" i="15"/>
  <c r="R75" i="15"/>
  <c r="R72" i="15"/>
  <c r="R69" i="15"/>
  <c r="R66" i="15"/>
  <c r="R63" i="15"/>
  <c r="R60" i="15"/>
  <c r="R57" i="15"/>
  <c r="R54" i="15"/>
  <c r="R51" i="15"/>
  <c r="R48" i="15"/>
  <c r="R45" i="15"/>
  <c r="R42" i="15"/>
  <c r="R39" i="15"/>
  <c r="R36" i="15"/>
  <c r="R33" i="15"/>
  <c r="R24" i="15"/>
  <c r="R27" i="15"/>
  <c r="R30" i="15"/>
  <c r="R392" i="15"/>
  <c r="R389" i="15"/>
  <c r="R386" i="15"/>
  <c r="R383" i="15"/>
  <c r="R368" i="15"/>
  <c r="R365" i="15"/>
  <c r="R362" i="15"/>
  <c r="R350" i="15"/>
  <c r="R332" i="15"/>
  <c r="R329" i="15"/>
  <c r="R317" i="15"/>
  <c r="R248" i="15"/>
  <c r="R210" i="15"/>
  <c r="R402" i="15"/>
  <c r="R193" i="15"/>
  <c r="R399" i="15"/>
  <c r="R190" i="15"/>
  <c r="R267" i="15"/>
  <c r="R187" i="15"/>
  <c r="R396" i="15"/>
  <c r="R184" i="15"/>
  <c r="R393" i="15"/>
  <c r="R181" i="15"/>
  <c r="R196" i="15"/>
  <c r="R178" i="15"/>
  <c r="R264" i="15"/>
  <c r="R351" i="15"/>
  <c r="R175" i="15"/>
  <c r="R148" i="15"/>
  <c r="R172" i="15"/>
  <c r="R327" i="15"/>
  <c r="R169" i="15"/>
  <c r="R261" i="15"/>
  <c r="R166" i="15"/>
  <c r="R255" i="15"/>
  <c r="R163" i="15"/>
  <c r="R381" i="15"/>
  <c r="R160" i="15"/>
  <c r="R252" i="15"/>
  <c r="R157" i="15"/>
  <c r="R378" i="15"/>
  <c r="R154" i="15"/>
  <c r="R216" i="15"/>
  <c r="R142" i="15"/>
  <c r="R375" i="15"/>
  <c r="R211" i="15"/>
  <c r="R136" i="15"/>
  <c r="R372" i="15"/>
  <c r="R133" i="15"/>
  <c r="R369" i="15"/>
  <c r="R130" i="15"/>
  <c r="R366" i="15"/>
  <c r="R127" i="15"/>
  <c r="R139" i="15"/>
  <c r="R124" i="15"/>
  <c r="R357" i="15"/>
  <c r="R121" i="15"/>
  <c r="R354" i="15"/>
  <c r="R118" i="15"/>
  <c r="R246" i="15"/>
  <c r="R115" i="15"/>
  <c r="R318" i="15"/>
  <c r="R112" i="15"/>
  <c r="R79" i="15"/>
  <c r="R109" i="15"/>
  <c r="R348" i="15"/>
  <c r="R106" i="15"/>
  <c r="R243" i="15"/>
  <c r="R103" i="15"/>
  <c r="R345" i="15"/>
  <c r="R100" i="15"/>
  <c r="R342" i="15"/>
  <c r="R97" i="15"/>
  <c r="R199" i="15"/>
  <c r="R94" i="15"/>
  <c r="R339" i="15"/>
  <c r="R240" i="15"/>
  <c r="R91" i="15"/>
  <c r="R336" i="15"/>
  <c r="R88" i="15"/>
  <c r="R333" i="15"/>
  <c r="R85" i="15"/>
  <c r="R330" i="15"/>
  <c r="R76" i="15"/>
  <c r="R208" i="15"/>
  <c r="R73" i="15"/>
  <c r="R324" i="15"/>
  <c r="R70" i="15"/>
  <c r="R321" i="15"/>
  <c r="R67" i="15"/>
  <c r="R237" i="15"/>
  <c r="R64" i="15"/>
  <c r="R282" i="15"/>
  <c r="R61" i="15"/>
  <c r="R258" i="15"/>
  <c r="R58" i="15"/>
  <c r="R249" i="15"/>
  <c r="R55" i="15"/>
  <c r="R219" i="15"/>
  <c r="R52" i="15"/>
  <c r="R151" i="15"/>
  <c r="R49" i="15"/>
  <c r="R82" i="15"/>
  <c r="R46" i="15"/>
  <c r="R312" i="15"/>
  <c r="R43" i="15"/>
  <c r="R234" i="15"/>
  <c r="R40" i="15"/>
  <c r="R309" i="15"/>
  <c r="R37" i="15"/>
  <c r="R306" i="15"/>
  <c r="R34" i="15"/>
  <c r="R231" i="15"/>
  <c r="R303" i="15"/>
  <c r="R25" i="15"/>
  <c r="R300" i="15"/>
  <c r="R28" i="15"/>
  <c r="R205" i="15"/>
  <c r="R31" i="15"/>
  <c r="R297" i="15"/>
  <c r="R390" i="15"/>
  <c r="R228" i="15"/>
  <c r="R387" i="15"/>
  <c r="R294" i="15"/>
  <c r="R384" i="15"/>
  <c r="R291" i="15"/>
  <c r="R288" i="15"/>
  <c r="R285" i="15"/>
  <c r="R363" i="15"/>
  <c r="R225" i="15"/>
  <c r="R360" i="15"/>
  <c r="R279" i="15"/>
  <c r="R276" i="15"/>
  <c r="R222" i="15"/>
  <c r="R273" i="15"/>
  <c r="R315" i="15"/>
  <c r="R202" i="15"/>
  <c r="R270" i="15"/>
  <c r="R145" i="15"/>
  <c r="R122" i="15"/>
  <c r="R265" i="15"/>
  <c r="R262" i="15"/>
  <c r="R119" i="15"/>
  <c r="R259" i="15"/>
  <c r="R244" i="15"/>
  <c r="R116" i="15"/>
  <c r="R241" i="15"/>
  <c r="R238" i="15"/>
  <c r="R113" i="15"/>
  <c r="R235" i="15"/>
  <c r="R232" i="15"/>
  <c r="R110" i="15"/>
  <c r="R229" i="15"/>
  <c r="R226" i="15"/>
  <c r="R107" i="15"/>
  <c r="R223" i="15"/>
  <c r="R220" i="15"/>
  <c r="R68" i="15"/>
  <c r="R104" i="15"/>
  <c r="R217" i="15"/>
  <c r="R143" i="15"/>
  <c r="R101" i="15"/>
  <c r="R209" i="15"/>
  <c r="R206" i="15"/>
  <c r="R98" i="15"/>
  <c r="R203" i="15"/>
  <c r="R200" i="15"/>
  <c r="R95" i="15"/>
  <c r="R197" i="15"/>
  <c r="R149" i="15"/>
  <c r="R400" i="15"/>
  <c r="R397" i="15"/>
  <c r="R191" i="15"/>
  <c r="R89" i="15"/>
  <c r="R394" i="15"/>
  <c r="R364" i="15"/>
  <c r="R86" i="15"/>
  <c r="R188" i="15"/>
  <c r="R358" i="15"/>
  <c r="R77" i="15"/>
  <c r="R355" i="15"/>
  <c r="R185" i="15"/>
  <c r="R74" i="15"/>
  <c r="R331" i="15"/>
  <c r="R325" i="15"/>
  <c r="R71" i="15"/>
  <c r="R182" i="15"/>
  <c r="R250" i="15"/>
  <c r="R83" i="15"/>
  <c r="R179" i="15"/>
  <c r="R65" i="15"/>
  <c r="R382" i="15"/>
  <c r="R379" i="15"/>
  <c r="R62" i="15"/>
  <c r="R376" i="15"/>
  <c r="R176" i="15"/>
  <c r="R59" i="15"/>
  <c r="R373" i="15"/>
  <c r="R361" i="15"/>
  <c r="R56" i="15"/>
  <c r="R173" i="15"/>
  <c r="R352" i="15"/>
  <c r="R53" i="15"/>
  <c r="R349" i="15"/>
  <c r="R170" i="15"/>
  <c r="R50" i="15"/>
  <c r="R247" i="15"/>
  <c r="R346" i="15"/>
  <c r="R47" i="15"/>
  <c r="R167" i="15"/>
  <c r="R343" i="15"/>
  <c r="R44" i="15"/>
  <c r="R340" i="15"/>
  <c r="R164" i="15"/>
  <c r="R41" i="15"/>
  <c r="R337" i="15"/>
  <c r="R334" i="15"/>
  <c r="R92" i="15"/>
  <c r="R161" i="15"/>
  <c r="R328" i="15"/>
  <c r="R35" i="15"/>
  <c r="R316" i="15"/>
  <c r="R158" i="15"/>
  <c r="R146" i="15"/>
  <c r="R313" i="15"/>
  <c r="R26" i="15"/>
  <c r="R155" i="15"/>
  <c r="R310" i="15"/>
  <c r="R29" i="15"/>
  <c r="R307" i="15"/>
  <c r="R152" i="15"/>
  <c r="R32" i="15"/>
  <c r="R403" i="15"/>
  <c r="R391" i="15"/>
  <c r="R304" i="15"/>
  <c r="R140" i="15"/>
  <c r="R388" i="15"/>
  <c r="R194" i="15"/>
  <c r="R301" i="15"/>
  <c r="R385" i="15"/>
  <c r="R137" i="15"/>
  <c r="R298" i="15"/>
  <c r="R370" i="15"/>
  <c r="R295" i="15"/>
  <c r="R367" i="15"/>
  <c r="R134" i="15"/>
  <c r="R292" i="15"/>
  <c r="R289" i="15"/>
  <c r="R131" i="15"/>
  <c r="R256" i="15"/>
  <c r="R280" i="15"/>
  <c r="R128" i="15"/>
  <c r="R322" i="15"/>
  <c r="R319" i="15"/>
  <c r="R277" i="15"/>
  <c r="R274" i="15"/>
  <c r="R286" i="15"/>
  <c r="R283" i="15"/>
  <c r="R253" i="15"/>
  <c r="R125" i="15"/>
  <c r="R212" i="15"/>
  <c r="R271" i="15"/>
  <c r="R268" i="15"/>
  <c r="R80" i="15"/>
  <c r="R38" i="15"/>
  <c r="G174" i="2"/>
  <c r="G10" i="2"/>
  <c r="R6" i="15"/>
  <c r="R9" i="15"/>
  <c r="R3" i="15"/>
  <c r="R7" i="15"/>
  <c r="R10" i="15"/>
  <c r="R4" i="15"/>
  <c r="R11" i="15"/>
  <c r="R16" i="15"/>
  <c r="R13" i="15"/>
  <c r="R14" i="15"/>
  <c r="R19" i="15"/>
  <c r="R17" i="15"/>
  <c r="R18" i="15"/>
  <c r="R15" i="15"/>
  <c r="R12" i="15"/>
  <c r="R5" i="15"/>
  <c r="R8" i="15"/>
  <c r="R21" i="15"/>
  <c r="G107" i="2"/>
  <c r="G131" i="2"/>
  <c r="G90" i="2"/>
  <c r="G103" i="2"/>
  <c r="G121" i="2"/>
  <c r="G104" i="2"/>
  <c r="G105" i="2"/>
  <c r="G106" i="2"/>
  <c r="G122" i="2"/>
  <c r="G153" i="2"/>
  <c r="G154" i="2"/>
  <c r="G156" i="2"/>
  <c r="G81" i="2"/>
  <c r="G149" i="2"/>
  <c r="G150" i="2"/>
  <c r="G151" i="2"/>
  <c r="G152" i="2"/>
  <c r="G76" i="2"/>
  <c r="G89" i="2"/>
  <c r="G158" i="2"/>
  <c r="G157" i="2"/>
  <c r="G88" i="2"/>
  <c r="G50" i="2"/>
  <c r="G77" i="2"/>
  <c r="G16" i="2"/>
  <c r="G86" i="2"/>
  <c r="G36" i="2"/>
  <c r="G49" i="2"/>
  <c r="G48" i="2"/>
  <c r="G130" i="2"/>
  <c r="G123" i="2"/>
  <c r="G129" i="2"/>
  <c r="G31" i="2"/>
  <c r="G39" i="2"/>
  <c r="G68" i="2"/>
  <c r="G69" i="2"/>
  <c r="G71" i="2"/>
  <c r="G72" i="2"/>
  <c r="G70" i="2"/>
  <c r="G127" i="2"/>
  <c r="G128" i="2"/>
  <c r="G14" i="2"/>
  <c r="G133" i="2"/>
  <c r="G15" i="2"/>
  <c r="G108" i="2"/>
  <c r="G132" i="2"/>
  <c r="G55" i="2"/>
  <c r="G56" i="2"/>
  <c r="G109" i="2"/>
  <c r="G134" i="2"/>
  <c r="G147" i="2"/>
  <c r="G148" i="2"/>
  <c r="G155" i="2"/>
  <c r="G6" i="2"/>
  <c r="G124" i="2"/>
  <c r="G169" i="2"/>
  <c r="G91" i="2"/>
  <c r="G7" i="2"/>
  <c r="G125" i="2"/>
  <c r="G126" i="2"/>
  <c r="G57" i="2"/>
  <c r="G58" i="2"/>
  <c r="G115" i="2"/>
  <c r="G168" i="2"/>
  <c r="G24" i="2"/>
  <c r="G25" i="2"/>
  <c r="G61" i="2"/>
  <c r="G66" i="2"/>
  <c r="G93" i="2"/>
  <c r="G94" i="2"/>
  <c r="G146" i="2"/>
  <c r="G26" i="2"/>
  <c r="G27" i="2"/>
  <c r="G59" i="2"/>
  <c r="K20" i="15" s="1"/>
  <c r="G92" i="2"/>
  <c r="G112" i="2"/>
  <c r="G5" i="2"/>
  <c r="G40" i="2"/>
  <c r="G60" i="2"/>
  <c r="G135" i="2"/>
  <c r="G38" i="2"/>
  <c r="G37" i="2"/>
  <c r="G45" i="2"/>
  <c r="G46" i="2"/>
  <c r="G47" i="2"/>
  <c r="G73" i="2"/>
  <c r="G74" i="2"/>
  <c r="G75" i="2"/>
  <c r="G95" i="2"/>
  <c r="G96" i="2"/>
  <c r="G114" i="2"/>
  <c r="G137" i="2"/>
  <c r="G144" i="2"/>
  <c r="G165" i="2"/>
  <c r="G167" i="2"/>
  <c r="G30" i="2"/>
  <c r="G65" i="2"/>
  <c r="G113" i="2"/>
  <c r="G136" i="2"/>
  <c r="G162" i="2"/>
  <c r="G18" i="2"/>
  <c r="G19" i="2"/>
  <c r="G51" i="2"/>
  <c r="G53" i="2"/>
  <c r="G78" i="2"/>
  <c r="G80" i="2"/>
  <c r="G97" i="2"/>
  <c r="G98" i="2"/>
  <c r="G99" i="2"/>
  <c r="G116" i="2"/>
  <c r="G117" i="2"/>
  <c r="G163" i="2"/>
  <c r="G164" i="2"/>
  <c r="G140" i="2"/>
  <c r="G139" i="2"/>
  <c r="G32" i="2"/>
  <c r="G33" i="2"/>
  <c r="G63" i="2"/>
  <c r="G159" i="2"/>
  <c r="G67" i="2"/>
  <c r="G41" i="2"/>
  <c r="G160" i="2"/>
  <c r="G111" i="2"/>
  <c r="G44" i="2"/>
  <c r="G21" i="2"/>
  <c r="G20" i="2"/>
  <c r="G52" i="2"/>
  <c r="G79" i="2"/>
  <c r="G22" i="2"/>
  <c r="G82" i="2"/>
  <c r="G83" i="2"/>
  <c r="G100" i="2"/>
  <c r="G120" i="2"/>
  <c r="G138" i="2"/>
  <c r="G23" i="2"/>
  <c r="G54" i="2"/>
  <c r="G166" i="2"/>
  <c r="G35" i="2"/>
  <c r="G34" i="2"/>
  <c r="G84" i="2"/>
  <c r="G101" i="2"/>
  <c r="G102" i="2"/>
  <c r="G118" i="2"/>
  <c r="G119" i="2"/>
  <c r="G145" i="2"/>
  <c r="G3" i="2"/>
  <c r="G43" i="2"/>
  <c r="G29" i="2"/>
  <c r="G110" i="2"/>
  <c r="G62" i="2"/>
  <c r="G4" i="2"/>
  <c r="G142" i="2"/>
  <c r="G42" i="2"/>
  <c r="G64" i="2"/>
  <c r="G161" i="2"/>
  <c r="G143" i="2"/>
  <c r="G141" i="2"/>
  <c r="H65" i="2"/>
  <c r="H66" i="2"/>
  <c r="I65" i="2"/>
  <c r="I66" i="2"/>
  <c r="J65" i="2"/>
  <c r="J66" i="2"/>
  <c r="K492" i="15" l="1"/>
  <c r="K483" i="15"/>
  <c r="K491" i="15"/>
  <c r="K495" i="15"/>
  <c r="K496" i="15"/>
  <c r="K488" i="15"/>
  <c r="K500" i="15"/>
  <c r="K505" i="15"/>
  <c r="K479" i="15"/>
  <c r="K507" i="15"/>
  <c r="K509" i="15"/>
  <c r="K484" i="15"/>
  <c r="K480" i="15"/>
  <c r="K487" i="15"/>
  <c r="K499" i="15"/>
  <c r="K503" i="15"/>
  <c r="K511" i="15"/>
  <c r="K513" i="15"/>
  <c r="K512" i="15"/>
  <c r="K485" i="15"/>
  <c r="K489" i="15"/>
  <c r="K481" i="15"/>
  <c r="K506" i="15"/>
  <c r="K497" i="15"/>
  <c r="K498" i="15"/>
  <c r="K501" i="15"/>
  <c r="K482" i="15"/>
  <c r="K508" i="15"/>
  <c r="K490" i="15"/>
  <c r="K486" i="15"/>
  <c r="K493" i="15"/>
  <c r="K494" i="15"/>
  <c r="K514" i="15"/>
  <c r="K502" i="15"/>
  <c r="K504" i="15"/>
  <c r="K510" i="15"/>
  <c r="K26" i="15"/>
  <c r="K170" i="15"/>
  <c r="K355" i="15"/>
  <c r="K113" i="15"/>
  <c r="K358" i="15"/>
  <c r="K397" i="15"/>
  <c r="K271" i="15"/>
  <c r="K394" i="15"/>
  <c r="K173" i="15"/>
  <c r="K403" i="15"/>
  <c r="K391" i="15"/>
  <c r="K116" i="15"/>
  <c r="K400" i="15"/>
  <c r="K388" i="15"/>
  <c r="K268" i="15"/>
  <c r="K280" i="15"/>
  <c r="K385" i="15"/>
  <c r="K80" i="15"/>
  <c r="K197" i="15"/>
  <c r="K370" i="15"/>
  <c r="K119" i="15"/>
  <c r="K167" i="15"/>
  <c r="K367" i="15"/>
  <c r="K265" i="15"/>
  <c r="K176" i="15"/>
  <c r="K83" i="15"/>
  <c r="K361" i="15"/>
  <c r="K277" i="15"/>
  <c r="K122" i="15"/>
  <c r="K223" i="15"/>
  <c r="K322" i="15"/>
  <c r="K319" i="15"/>
  <c r="K86" i="15"/>
  <c r="K316" i="15"/>
  <c r="K262" i="15"/>
  <c r="K274" i="15"/>
  <c r="K352" i="15"/>
  <c r="K217" i="15"/>
  <c r="K209" i="15"/>
  <c r="K125" i="15"/>
  <c r="K328" i="15"/>
  <c r="K382" i="15"/>
  <c r="K128" i="15"/>
  <c r="K325" i="15"/>
  <c r="K379" i="15"/>
  <c r="K250" i="15"/>
  <c r="K256" i="15"/>
  <c r="K376" i="15"/>
  <c r="K188" i="15"/>
  <c r="K32" i="15"/>
  <c r="K373" i="15"/>
  <c r="K149" i="15"/>
  <c r="K29" i="15"/>
  <c r="K364" i="15"/>
  <c r="K220" i="15"/>
  <c r="K179" i="15"/>
  <c r="K331" i="15"/>
  <c r="K131" i="15"/>
  <c r="K134" i="15"/>
  <c r="K286" i="15"/>
  <c r="K35" i="15"/>
  <c r="K206" i="15"/>
  <c r="K137" i="15"/>
  <c r="K253" i="15"/>
  <c r="K244" i="15"/>
  <c r="K212" i="15"/>
  <c r="K38" i="15"/>
  <c r="K41" i="15"/>
  <c r="K143" i="15"/>
  <c r="K349" i="15"/>
  <c r="K283" i="15"/>
  <c r="K346" i="15"/>
  <c r="K140" i="15"/>
  <c r="K44" i="15"/>
  <c r="K343" i="15"/>
  <c r="K241" i="15"/>
  <c r="K47" i="15"/>
  <c r="K340" i="15"/>
  <c r="K182" i="15"/>
  <c r="K50" i="15"/>
  <c r="K337" i="15"/>
  <c r="K152" i="15"/>
  <c r="K53" i="15"/>
  <c r="K334" i="15"/>
  <c r="K238" i="15"/>
  <c r="K56" i="15"/>
  <c r="K59" i="15"/>
  <c r="K62" i="15"/>
  <c r="K65" i="15"/>
  <c r="K203" i="15"/>
  <c r="K155" i="15"/>
  <c r="K235" i="15"/>
  <c r="K194" i="15"/>
  <c r="K247" i="15"/>
  <c r="K71" i="15"/>
  <c r="K313" i="15"/>
  <c r="K158" i="15"/>
  <c r="K74" i="15"/>
  <c r="K310" i="15"/>
  <c r="K232" i="15"/>
  <c r="K77" i="15"/>
  <c r="K307" i="15"/>
  <c r="K185" i="15"/>
  <c r="K89" i="15"/>
  <c r="K304" i="15"/>
  <c r="K161" i="15"/>
  <c r="K92" i="15"/>
  <c r="K301" i="15"/>
  <c r="K229" i="15"/>
  <c r="K95" i="15"/>
  <c r="K298" i="15"/>
  <c r="K200" i="15"/>
  <c r="K98" i="15"/>
  <c r="K295" i="15"/>
  <c r="K164" i="15"/>
  <c r="K101" i="15"/>
  <c r="K292" i="15"/>
  <c r="K226" i="15"/>
  <c r="K104" i="15"/>
  <c r="K289" i="15"/>
  <c r="K259" i="15"/>
  <c r="K68" i="15"/>
  <c r="K191" i="15"/>
  <c r="K107" i="15"/>
  <c r="K146" i="15"/>
  <c r="K110" i="15"/>
  <c r="K470" i="15"/>
  <c r="K456" i="15"/>
  <c r="K458" i="15"/>
  <c r="K460" i="15"/>
  <c r="K462" i="15"/>
  <c r="K464" i="15"/>
  <c r="K466" i="15"/>
  <c r="K468" i="15"/>
  <c r="K472" i="15"/>
  <c r="K474" i="15"/>
  <c r="K476" i="15"/>
  <c r="K454" i="15"/>
  <c r="K452" i="15"/>
  <c r="K25" i="15"/>
  <c r="K390" i="15"/>
  <c r="K387" i="15"/>
  <c r="K384" i="15"/>
  <c r="K369" i="15"/>
  <c r="K366" i="15"/>
  <c r="K363" i="15"/>
  <c r="K330" i="15"/>
  <c r="K315" i="15"/>
  <c r="K211" i="15"/>
  <c r="K151" i="15"/>
  <c r="K381" i="15"/>
  <c r="K378" i="15"/>
  <c r="K375" i="15"/>
  <c r="K360" i="15"/>
  <c r="K351" i="15"/>
  <c r="K324" i="15"/>
  <c r="K288" i="15"/>
  <c r="K282" i="15"/>
  <c r="K258" i="15"/>
  <c r="K219" i="15"/>
  <c r="K348" i="15"/>
  <c r="K345" i="15"/>
  <c r="K342" i="15"/>
  <c r="K339" i="15"/>
  <c r="K336" i="15"/>
  <c r="K333" i="15"/>
  <c r="K318" i="15"/>
  <c r="K285" i="15"/>
  <c r="K255" i="15"/>
  <c r="K252" i="15"/>
  <c r="K312" i="15"/>
  <c r="K309" i="15"/>
  <c r="K306" i="15"/>
  <c r="K303" i="15"/>
  <c r="K300" i="15"/>
  <c r="K297" i="15"/>
  <c r="K294" i="15"/>
  <c r="K291" i="15"/>
  <c r="K249" i="15"/>
  <c r="K279" i="15"/>
  <c r="K276" i="15"/>
  <c r="K273" i="15"/>
  <c r="K270" i="15"/>
  <c r="K267" i="15"/>
  <c r="K264" i="15"/>
  <c r="K261" i="15"/>
  <c r="K222" i="15"/>
  <c r="K145" i="15"/>
  <c r="K246" i="15"/>
  <c r="K243" i="15"/>
  <c r="K240" i="15"/>
  <c r="K237" i="15"/>
  <c r="K234" i="15"/>
  <c r="K231" i="15"/>
  <c r="K228" i="15"/>
  <c r="K225" i="15"/>
  <c r="K208" i="15"/>
  <c r="K205" i="15"/>
  <c r="K202" i="15"/>
  <c r="K199" i="15"/>
  <c r="K196" i="15"/>
  <c r="K193" i="15"/>
  <c r="K372" i="15"/>
  <c r="K190" i="15"/>
  <c r="K187" i="15"/>
  <c r="K184" i="15"/>
  <c r="K181" i="15"/>
  <c r="K178" i="15"/>
  <c r="K148" i="15"/>
  <c r="K175" i="15"/>
  <c r="K172" i="15"/>
  <c r="K169" i="15"/>
  <c r="K166" i="15"/>
  <c r="K163" i="15"/>
  <c r="K160" i="15"/>
  <c r="K157" i="15"/>
  <c r="K154" i="15"/>
  <c r="K82" i="15"/>
  <c r="K142" i="15"/>
  <c r="K139" i="15"/>
  <c r="K136" i="15"/>
  <c r="K133" i="15"/>
  <c r="K130" i="15"/>
  <c r="K127" i="15"/>
  <c r="K124" i="15"/>
  <c r="K121" i="15"/>
  <c r="K118" i="15"/>
  <c r="K115" i="15"/>
  <c r="K112" i="15"/>
  <c r="K88" i="15"/>
  <c r="K85" i="15"/>
  <c r="K79" i="15"/>
  <c r="K109" i="15"/>
  <c r="K106" i="15"/>
  <c r="K103" i="15"/>
  <c r="K100" i="15"/>
  <c r="K97" i="15"/>
  <c r="K94" i="15"/>
  <c r="K91" i="15"/>
  <c r="K76" i="15"/>
  <c r="K73" i="15"/>
  <c r="K70" i="15"/>
  <c r="K67" i="15"/>
  <c r="K64" i="15"/>
  <c r="K61" i="15"/>
  <c r="K58" i="15"/>
  <c r="K55" i="15"/>
  <c r="K52" i="15"/>
  <c r="K49" i="15"/>
  <c r="K46" i="15"/>
  <c r="K43" i="15"/>
  <c r="K40" i="15"/>
  <c r="K37" i="15"/>
  <c r="K34" i="15"/>
  <c r="K31" i="15"/>
  <c r="K357" i="15"/>
  <c r="K354" i="15"/>
  <c r="K402" i="15"/>
  <c r="K399" i="15"/>
  <c r="K327" i="15"/>
  <c r="K396" i="15"/>
  <c r="K321" i="15"/>
  <c r="K393" i="15"/>
  <c r="K216" i="15"/>
  <c r="K28" i="15"/>
  <c r="K475" i="15"/>
  <c r="K473" i="15"/>
  <c r="K471" i="15"/>
  <c r="K451" i="15"/>
  <c r="K453" i="15"/>
  <c r="K455" i="15"/>
  <c r="K457" i="15"/>
  <c r="K459" i="15"/>
  <c r="K461" i="15"/>
  <c r="K463" i="15"/>
  <c r="K465" i="15"/>
  <c r="K467" i="15"/>
  <c r="K469" i="15"/>
  <c r="K24" i="15"/>
  <c r="K87" i="15"/>
  <c r="K275" i="15"/>
  <c r="K227" i="15"/>
  <c r="K278" i="15"/>
  <c r="K198" i="15"/>
  <c r="K84" i="15"/>
  <c r="K162" i="15"/>
  <c r="K108" i="15"/>
  <c r="K221" i="15"/>
  <c r="K230" i="15"/>
  <c r="K105" i="15"/>
  <c r="K254" i="15"/>
  <c r="K290" i="15"/>
  <c r="K180" i="15"/>
  <c r="K102" i="15"/>
  <c r="K293" i="15"/>
  <c r="K159" i="15"/>
  <c r="K99" i="15"/>
  <c r="K296" i="15"/>
  <c r="K233" i="15"/>
  <c r="K96" i="15"/>
  <c r="K299" i="15"/>
  <c r="K207" i="15"/>
  <c r="K93" i="15"/>
  <c r="K302" i="15"/>
  <c r="K156" i="15"/>
  <c r="K90" i="15"/>
  <c r="K305" i="15"/>
  <c r="K308" i="15"/>
  <c r="K236" i="15"/>
  <c r="K75" i="15"/>
  <c r="K311" i="15"/>
  <c r="K195" i="15"/>
  <c r="K72" i="15"/>
  <c r="K314" i="15"/>
  <c r="K153" i="15"/>
  <c r="K69" i="15"/>
  <c r="K239" i="15"/>
  <c r="K66" i="15"/>
  <c r="K320" i="15"/>
  <c r="K144" i="15"/>
  <c r="K63" i="15"/>
  <c r="K323" i="15"/>
  <c r="K186" i="15"/>
  <c r="K60" i="15"/>
  <c r="K326" i="15"/>
  <c r="K177" i="15"/>
  <c r="K57" i="15"/>
  <c r="K332" i="15"/>
  <c r="K141" i="15"/>
  <c r="K54" i="15"/>
  <c r="K335" i="15"/>
  <c r="K242" i="15"/>
  <c r="K51" i="15"/>
  <c r="K338" i="15"/>
  <c r="K201" i="15"/>
  <c r="K48" i="15"/>
  <c r="K341" i="15"/>
  <c r="K138" i="15"/>
  <c r="K45" i="15"/>
  <c r="K344" i="15"/>
  <c r="K245" i="15"/>
  <c r="K347" i="15"/>
  <c r="K42" i="15"/>
  <c r="K147" i="15"/>
  <c r="K174" i="15"/>
  <c r="K39" i="15"/>
  <c r="K210" i="15"/>
  <c r="K135" i="15"/>
  <c r="K36" i="15"/>
  <c r="K284" i="15"/>
  <c r="K78" i="15"/>
  <c r="K33" i="15"/>
  <c r="K27" i="15"/>
  <c r="K192" i="15"/>
  <c r="K365" i="15"/>
  <c r="K30" i="15"/>
  <c r="K150" i="15"/>
  <c r="K374" i="15"/>
  <c r="K377" i="15"/>
  <c r="K263" i="15"/>
  <c r="K380" i="15"/>
  <c r="K183" i="15"/>
  <c r="K383" i="15"/>
  <c r="K120" i="15"/>
  <c r="K248" i="15"/>
  <c r="K287" i="15"/>
  <c r="K317" i="15"/>
  <c r="K329" i="15"/>
  <c r="K350" i="15"/>
  <c r="K362" i="15"/>
  <c r="K368" i="15"/>
  <c r="K371" i="15"/>
  <c r="K266" i="15"/>
  <c r="K168" i="15"/>
  <c r="K117" i="15"/>
  <c r="K269" i="15"/>
  <c r="K224" i="15"/>
  <c r="K114" i="15"/>
  <c r="K272" i="15"/>
  <c r="K204" i="15"/>
  <c r="K111" i="15"/>
  <c r="K165" i="15"/>
  <c r="K386" i="15"/>
  <c r="K389" i="15"/>
  <c r="K392" i="15"/>
  <c r="K395" i="15"/>
  <c r="K359" i="15"/>
  <c r="K398" i="15"/>
  <c r="K132" i="15"/>
  <c r="K356" i="15"/>
  <c r="K401" i="15"/>
  <c r="K81" i="15"/>
  <c r="K353" i="15"/>
  <c r="K189" i="15"/>
  <c r="K129" i="15"/>
  <c r="K257" i="15"/>
  <c r="K171" i="15"/>
  <c r="K126" i="15"/>
  <c r="K281" i="15"/>
  <c r="K260" i="15"/>
  <c r="K251" i="15"/>
  <c r="K218" i="15"/>
  <c r="K215" i="15"/>
  <c r="K123" i="15"/>
  <c r="K10" i="15"/>
  <c r="K7" i="15"/>
  <c r="K4" i="15"/>
  <c r="K13" i="15"/>
  <c r="K16" i="15"/>
  <c r="K11" i="15"/>
  <c r="K19" i="15"/>
  <c r="K17" i="15"/>
  <c r="K14" i="15"/>
  <c r="K21" i="15"/>
  <c r="K12" i="15"/>
  <c r="K8" i="15"/>
  <c r="K5" i="15"/>
  <c r="K18" i="15"/>
  <c r="K15" i="15"/>
  <c r="K9" i="15"/>
  <c r="K6" i="15"/>
  <c r="K3" i="15"/>
  <c r="H16" i="2"/>
  <c r="H17" i="2"/>
  <c r="H18" i="2"/>
  <c r="H19" i="2"/>
  <c r="H20" i="2"/>
  <c r="I16" i="2"/>
  <c r="I17" i="2"/>
  <c r="I18" i="2"/>
  <c r="I19" i="2"/>
  <c r="I20" i="2"/>
  <c r="J16" i="2"/>
  <c r="J17" i="2"/>
  <c r="J18" i="2"/>
  <c r="J19" i="2"/>
  <c r="J20" i="2"/>
  <c r="H57" i="2" l="1"/>
  <c r="H58" i="2"/>
  <c r="H59" i="2"/>
  <c r="H60" i="2"/>
  <c r="I57" i="2"/>
  <c r="I58" i="2"/>
  <c r="I59" i="2"/>
  <c r="I60" i="2"/>
  <c r="J57" i="2"/>
  <c r="J58" i="2"/>
  <c r="J59" i="2"/>
  <c r="J60" i="2"/>
  <c r="H54" i="2"/>
  <c r="H55" i="2"/>
  <c r="H56" i="2"/>
  <c r="H61" i="2"/>
  <c r="I54" i="2"/>
  <c r="I55" i="2"/>
  <c r="I56" i="2"/>
  <c r="I61" i="2"/>
  <c r="J54" i="2"/>
  <c r="J55" i="2"/>
  <c r="J56" i="2"/>
  <c r="J61" i="2"/>
  <c r="H21" i="2" l="1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30" i="2"/>
  <c r="I30" i="2"/>
  <c r="J30" i="2"/>
  <c r="H31" i="2"/>
  <c r="I31" i="2"/>
  <c r="J31" i="2"/>
  <c r="H45" i="2"/>
  <c r="I45" i="2"/>
  <c r="J45" i="2"/>
  <c r="H46" i="2"/>
  <c r="I46" i="2"/>
  <c r="J46" i="2"/>
  <c r="H47" i="2"/>
  <c r="I47" i="2"/>
  <c r="J47" i="2"/>
  <c r="H48" i="2"/>
  <c r="I48" i="2"/>
  <c r="J48" i="2"/>
  <c r="H51" i="2"/>
  <c r="I51" i="2"/>
  <c r="J51" i="2"/>
  <c r="H52" i="2"/>
  <c r="I52" i="2"/>
  <c r="J52" i="2"/>
  <c r="H53" i="2"/>
  <c r="I53" i="2"/>
  <c r="J53" i="2"/>
  <c r="H73" i="2"/>
  <c r="I73" i="2"/>
  <c r="J73" i="2"/>
  <c r="H74" i="2"/>
  <c r="I74" i="2"/>
  <c r="J74" i="2"/>
  <c r="H75" i="2"/>
  <c r="I75" i="2"/>
  <c r="J75" i="2"/>
  <c r="H78" i="2"/>
  <c r="I78" i="2"/>
  <c r="J78" i="2"/>
  <c r="H79" i="2"/>
  <c r="I79" i="2"/>
  <c r="J79" i="2"/>
  <c r="H80" i="2"/>
  <c r="I80" i="2"/>
  <c r="J80" i="2"/>
  <c r="H82" i="2"/>
  <c r="I82" i="2"/>
  <c r="J82" i="2"/>
  <c r="H83" i="2"/>
  <c r="I83" i="2"/>
  <c r="J83" i="2"/>
  <c r="H84" i="2"/>
  <c r="I84" i="2"/>
  <c r="J84" i="2"/>
  <c r="H86" i="2"/>
  <c r="I86" i="2"/>
  <c r="J86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5" i="2"/>
  <c r="I175" i="2"/>
  <c r="J175" i="2"/>
  <c r="H176" i="2"/>
  <c r="I176" i="2"/>
  <c r="J176" i="2"/>
  <c r="H177" i="2"/>
  <c r="I177" i="2"/>
  <c r="J177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14" i="2"/>
  <c r="I14" i="2"/>
  <c r="J14" i="2"/>
  <c r="H15" i="2"/>
  <c r="I15" i="2"/>
  <c r="J15" i="2"/>
  <c r="J2" i="2"/>
  <c r="I2" i="2"/>
  <c r="H2" i="2"/>
  <c r="B7" i="7" l="1"/>
  <c r="D7" i="7" s="1"/>
  <c r="B6" i="7"/>
  <c r="D6" i="7" s="1"/>
  <c r="B5" i="7"/>
  <c r="B4" i="7"/>
  <c r="D4" i="7" s="1"/>
  <c r="B3" i="7"/>
  <c r="D5" i="7" l="1"/>
  <c r="M86" i="1"/>
  <c r="M153" i="1"/>
  <c r="G153" i="1" s="1"/>
  <c r="D3" i="7"/>
  <c r="M109" i="1"/>
  <c r="G109" i="1" s="1"/>
  <c r="M78" i="1"/>
  <c r="G78" i="1" s="1"/>
  <c r="M34" i="1"/>
  <c r="G34" i="1" s="1"/>
  <c r="M32" i="1"/>
  <c r="G32" i="1" s="1"/>
  <c r="C7" i="7"/>
  <c r="M197" i="1"/>
  <c r="M79" i="1"/>
  <c r="G79" i="1" s="1"/>
  <c r="M80" i="1"/>
  <c r="G80" i="1" s="1"/>
  <c r="M81" i="1"/>
  <c r="G81" i="1" s="1"/>
  <c r="M82" i="1"/>
  <c r="G82" i="1" s="1"/>
  <c r="M62" i="1"/>
  <c r="G62" i="1" s="1"/>
  <c r="C5" i="7"/>
  <c r="M186" i="1"/>
  <c r="C6" i="7"/>
  <c r="L197" i="1" s="1" a="1"/>
  <c r="M136" i="1"/>
  <c r="G136" i="1" s="1"/>
  <c r="M156" i="1"/>
  <c r="G156" i="1" s="1"/>
  <c r="C4" i="7"/>
  <c r="M146" i="1"/>
  <c r="G146" i="1" s="1"/>
  <c r="C3" i="7"/>
  <c r="L109" i="1" s="1" a="1"/>
  <c r="M150" i="1"/>
  <c r="G150" i="1" s="1"/>
  <c r="M123" i="1"/>
  <c r="G123" i="1" s="1"/>
  <c r="M203" i="1"/>
  <c r="M192" i="1"/>
  <c r="M2" i="1"/>
  <c r="G2" i="1" s="1"/>
  <c r="M177" i="1"/>
  <c r="G177" i="1" s="1"/>
  <c r="M73" i="1"/>
  <c r="G73" i="1" s="1"/>
  <c r="M199" i="1"/>
  <c r="M201" i="1"/>
  <c r="M67" i="1"/>
  <c r="M68" i="1"/>
  <c r="M69" i="1"/>
  <c r="M154" i="1"/>
  <c r="G154" i="1" s="1"/>
  <c r="M10" i="1"/>
  <c r="G10" i="1" s="1"/>
  <c r="M64" i="1"/>
  <c r="G64" i="1" s="1"/>
  <c r="M63" i="1"/>
  <c r="G63" i="1" s="1"/>
  <c r="M133" i="1"/>
  <c r="G133" i="1" s="1"/>
  <c r="M70" i="1"/>
  <c r="M57" i="1"/>
  <c r="M200" i="1"/>
  <c r="M195" i="1"/>
  <c r="M196" i="1"/>
  <c r="M101" i="1"/>
  <c r="G101" i="1" s="1"/>
  <c r="M198" i="1"/>
  <c r="M194" i="1"/>
  <c r="M202" i="1"/>
  <c r="M183" i="1"/>
  <c r="M191" i="1"/>
  <c r="M189" i="1"/>
  <c r="M185" i="1"/>
  <c r="M182" i="1"/>
  <c r="M179" i="1"/>
  <c r="M187" i="1"/>
  <c r="M190" i="1"/>
  <c r="M188" i="1"/>
  <c r="M184" i="1"/>
  <c r="M181" i="1"/>
  <c r="M193" i="1"/>
  <c r="M180" i="1"/>
  <c r="M137" i="1"/>
  <c r="G137" i="1" s="1"/>
  <c r="M117" i="1"/>
  <c r="G117" i="1" s="1"/>
  <c r="M49" i="1"/>
  <c r="G49" i="1" s="1"/>
  <c r="M138" i="1"/>
  <c r="G138" i="1" s="1"/>
  <c r="M97" i="1"/>
  <c r="G97" i="1" s="1"/>
  <c r="M161" i="1"/>
  <c r="G161" i="1" s="1"/>
  <c r="M174" i="1"/>
  <c r="G174" i="1" s="1"/>
  <c r="M115" i="1"/>
  <c r="G115" i="1" s="1"/>
  <c r="M169" i="1"/>
  <c r="G169" i="1" s="1"/>
  <c r="M155" i="1"/>
  <c r="G155" i="1" s="1"/>
  <c r="M106" i="1"/>
  <c r="G106" i="1" s="1"/>
  <c r="M139" i="1"/>
  <c r="G139" i="1" s="1"/>
  <c r="M175" i="1"/>
  <c r="G175" i="1" s="1"/>
  <c r="M124" i="1"/>
  <c r="G124" i="1" s="1"/>
  <c r="M116" i="1"/>
  <c r="G116" i="1" s="1"/>
  <c r="M100" i="1"/>
  <c r="G100" i="1" s="1"/>
  <c r="M99" i="1"/>
  <c r="G99" i="1" s="1"/>
  <c r="M98" i="1"/>
  <c r="G98" i="1" s="1"/>
  <c r="M25" i="1"/>
  <c r="G25" i="1" s="1"/>
  <c r="M173" i="1"/>
  <c r="G173" i="1" s="1"/>
  <c r="M170" i="1"/>
  <c r="G170" i="1" s="1"/>
  <c r="M168" i="1"/>
  <c r="G168" i="1" s="1"/>
  <c r="M164" i="1"/>
  <c r="G164" i="1" s="1"/>
  <c r="M111" i="1"/>
  <c r="G111" i="1" s="1"/>
  <c r="M105" i="1"/>
  <c r="G105" i="1" s="1"/>
  <c r="M93" i="1"/>
  <c r="G93" i="1" s="1"/>
  <c r="M91" i="1"/>
  <c r="G91" i="1" s="1"/>
  <c r="M72" i="1"/>
  <c r="G72" i="1" s="1"/>
  <c r="M151" i="1"/>
  <c r="G151" i="1" s="1"/>
  <c r="M134" i="1"/>
  <c r="G134" i="1" s="1"/>
  <c r="M114" i="1"/>
  <c r="G114" i="1" s="1"/>
  <c r="M110" i="1"/>
  <c r="G110" i="1" s="1"/>
  <c r="M41" i="1"/>
  <c r="G41" i="1" s="1"/>
  <c r="M31" i="1"/>
  <c r="G31" i="1" s="1"/>
  <c r="M18" i="1"/>
  <c r="G18" i="1" s="1"/>
  <c r="M42" i="1"/>
  <c r="G42" i="1" s="1"/>
  <c r="M24" i="1"/>
  <c r="G24" i="1" s="1"/>
  <c r="M13" i="1"/>
  <c r="G13" i="1" s="1"/>
  <c r="M172" i="1"/>
  <c r="G172" i="1" s="1"/>
  <c r="M157" i="1"/>
  <c r="G157" i="1" s="1"/>
  <c r="M135" i="1"/>
  <c r="G135" i="1" s="1"/>
  <c r="M120" i="1"/>
  <c r="G120" i="1" s="1"/>
  <c r="M112" i="1"/>
  <c r="G112" i="1" s="1"/>
  <c r="M104" i="1"/>
  <c r="G104" i="1" s="1"/>
  <c r="M119" i="1"/>
  <c r="G119" i="1" s="1"/>
  <c r="M94" i="1"/>
  <c r="G94" i="1" s="1"/>
  <c r="M92" i="1"/>
  <c r="G92" i="1" s="1"/>
  <c r="M75" i="1"/>
  <c r="G75" i="1" s="1"/>
  <c r="M47" i="1"/>
  <c r="G47" i="1" s="1"/>
  <c r="M39" i="1"/>
  <c r="G39" i="1" s="1"/>
  <c r="M36" i="1"/>
  <c r="G36" i="1" s="1"/>
  <c r="M29" i="1"/>
  <c r="G29" i="1" s="1"/>
  <c r="M142" i="1"/>
  <c r="G142" i="1" s="1"/>
  <c r="M17" i="1"/>
  <c r="G17" i="1" s="1"/>
  <c r="M159" i="1"/>
  <c r="G159" i="1" s="1"/>
  <c r="M143" i="1"/>
  <c r="G143" i="1" s="1"/>
  <c r="M147" i="1"/>
  <c r="G147" i="1" s="1"/>
  <c r="M125" i="1"/>
  <c r="G125" i="1" s="1"/>
  <c r="M145" i="1"/>
  <c r="G145" i="1" s="1"/>
  <c r="M108" i="1"/>
  <c r="G108" i="1" s="1"/>
  <c r="M102" i="1"/>
  <c r="G102" i="1" s="1"/>
  <c r="M96" i="1"/>
  <c r="G96" i="1" s="1"/>
  <c r="M90" i="1"/>
  <c r="G90" i="1" s="1"/>
  <c r="M84" i="1"/>
  <c r="G84" i="1" s="1"/>
  <c r="M83" i="1"/>
  <c r="G83" i="1" s="1"/>
  <c r="M74" i="1"/>
  <c r="G74" i="1" s="1"/>
  <c r="M58" i="1"/>
  <c r="G58" i="1" s="1"/>
  <c r="M95" i="1"/>
  <c r="G95" i="1" s="1"/>
  <c r="M30" i="1"/>
  <c r="G30" i="1" s="1"/>
  <c r="M19" i="1"/>
  <c r="G19" i="1" s="1"/>
  <c r="M103" i="1"/>
  <c r="G103" i="1" s="1"/>
  <c r="M162" i="1"/>
  <c r="G162" i="1" s="1"/>
  <c r="M48" i="1"/>
  <c r="G48" i="1" s="1"/>
  <c r="M33" i="1"/>
  <c r="G33" i="1" s="1"/>
  <c r="M166" i="1"/>
  <c r="G166" i="1" s="1"/>
  <c r="M171" i="1"/>
  <c r="G171" i="1" s="1"/>
  <c r="M167" i="1"/>
  <c r="G167" i="1" s="1"/>
  <c r="M148" i="1"/>
  <c r="G148" i="1" s="1"/>
  <c r="M141" i="1"/>
  <c r="G141" i="1" s="1"/>
  <c r="M20" i="1"/>
  <c r="G20" i="1" s="1"/>
  <c r="A7" i="7"/>
  <c r="A6" i="7"/>
  <c r="A5" i="7"/>
  <c r="A4" i="7"/>
  <c r="A3" i="7"/>
  <c r="A2" i="7"/>
  <c r="G5" i="7"/>
  <c r="L153" i="1" l="1" a="1"/>
  <c r="L45" i="1" a="1"/>
  <c r="L35" i="1" a="1"/>
  <c r="L77" i="1" a="1"/>
  <c r="L34" i="1" a="1"/>
  <c r="L78" i="1" a="1"/>
  <c r="L32" i="1" a="1"/>
  <c r="G70" i="1"/>
  <c r="L70" i="1" s="1" a="1"/>
  <c r="B4" i="11" a="1"/>
  <c r="L82" i="1" a="1"/>
  <c r="L81" i="1" a="1"/>
  <c r="L80" i="1" a="1"/>
  <c r="L79" i="1" a="1"/>
  <c r="L62" i="1" a="1"/>
  <c r="L156" i="1" a="1"/>
  <c r="L146" i="1" a="1"/>
  <c r="L136" i="1" a="1"/>
  <c r="L107" i="1" a="1"/>
  <c r="L150" i="1" a="1"/>
  <c r="L73" i="1" a="1"/>
  <c r="L176" i="1" a="1"/>
  <c r="L28" i="1" a="1"/>
  <c r="L186" i="1" a="1"/>
  <c r="L192" i="1" a="1"/>
  <c r="L54" i="1" a="1"/>
  <c r="L201" i="1" a="1"/>
  <c r="L152" i="1" a="1"/>
  <c r="L154" i="1" a="1"/>
  <c r="L63" i="1" a="1"/>
  <c r="L68" i="1" a="1"/>
  <c r="L69" i="1" a="1"/>
  <c r="L64" i="1" a="1"/>
  <c r="L67" i="1" a="1"/>
  <c r="L65" i="1" a="1"/>
  <c r="L66" i="1" a="1"/>
  <c r="L2" i="1" a="1"/>
  <c r="L3" i="1" a="1"/>
  <c r="L37" i="1" a="1"/>
  <c r="L12" i="1" a="1"/>
  <c r="L11" i="1" a="1"/>
  <c r="L23" i="1" a="1"/>
  <c r="L43" i="1" a="1"/>
  <c r="L51" i="1" a="1"/>
  <c r="L71" i="1" a="1"/>
  <c r="L87" i="1" a="1"/>
  <c r="L160" i="1" a="1"/>
  <c r="L7" i="1" a="1"/>
  <c r="L14" i="1" a="1"/>
  <c r="L127" i="1" a="1"/>
  <c r="L140" i="1" a="1"/>
  <c r="L60" i="1" a="1"/>
  <c r="L16" i="1" a="1"/>
  <c r="L53" i="1" a="1"/>
  <c r="L55" i="1" a="1"/>
  <c r="L56" i="1" a="1"/>
  <c r="L88" i="1" a="1"/>
  <c r="L130" i="1" a="1"/>
  <c r="L76" i="1" a="1"/>
  <c r="L15" i="1" a="1"/>
  <c r="L144" i="1" a="1"/>
  <c r="L133" i="1" a="1"/>
  <c r="L9" i="1" a="1"/>
  <c r="L21" i="1" a="1"/>
  <c r="L26" i="1" a="1"/>
  <c r="L27" i="1" a="1"/>
  <c r="L113" i="1" a="1"/>
  <c r="L44" i="1" a="1"/>
  <c r="L40" i="1" a="1"/>
  <c r="L50" i="1" a="1"/>
  <c r="L149" i="1" a="1"/>
  <c r="L118" i="1" a="1"/>
  <c r="L89" i="1" a="1"/>
  <c r="L132" i="1" a="1"/>
  <c r="L158" i="1" a="1"/>
  <c r="L46" i="1" a="1"/>
  <c r="L163" i="1" a="1"/>
  <c r="L128" i="1" a="1"/>
  <c r="L165" i="1" a="1"/>
  <c r="L123" i="1" a="1"/>
  <c r="L129" i="1" a="1"/>
  <c r="L126" i="1" a="1"/>
  <c r="L5" i="1" a="1"/>
  <c r="L22" i="1" a="1"/>
  <c r="L6" i="1" a="1"/>
  <c r="L122" i="1" a="1"/>
  <c r="L4" i="1" a="1"/>
  <c r="L38" i="1" a="1"/>
  <c r="L61" i="1" a="1"/>
  <c r="L121" i="1" a="1"/>
  <c r="L131" i="1" a="1"/>
  <c r="L8" i="1" a="1"/>
  <c r="L52" i="1" a="1"/>
  <c r="L179" i="1" a="1"/>
  <c r="L181" i="1" a="1"/>
  <c r="L190" i="1" a="1"/>
  <c r="L185" i="1" a="1"/>
  <c r="L203" i="1" a="1"/>
  <c r="L195" i="1" a="1"/>
  <c r="L188" i="1" a="1"/>
  <c r="L194" i="1" a="1"/>
  <c r="L189" i="1" a="1"/>
  <c r="L202" i="1" a="1"/>
  <c r="L198" i="1" a="1"/>
  <c r="L180" i="1" a="1"/>
  <c r="L196" i="1" a="1"/>
  <c r="L183" i="1" a="1"/>
  <c r="L191" i="1" a="1"/>
  <c r="L193" i="1" a="1"/>
  <c r="L200" i="1" a="1"/>
  <c r="L187" i="1" a="1"/>
  <c r="L199" i="1" a="1"/>
  <c r="L182" i="1" a="1"/>
  <c r="L184" i="1" a="1"/>
  <c r="L86" i="1" a="1"/>
  <c r="L177" i="1" a="1"/>
  <c r="L106" i="1" a="1"/>
  <c r="L57" i="1" a="1"/>
  <c r="L98" i="1" a="1"/>
  <c r="L137" i="1" a="1"/>
  <c r="L124" i="1" a="1"/>
  <c r="L169" i="1" a="1"/>
  <c r="L91" i="1" a="1"/>
  <c r="L10" i="1" a="1"/>
  <c r="L92" i="1" a="1"/>
  <c r="L84" i="1" a="1"/>
  <c r="L85" i="1" a="1"/>
  <c r="L135" i="1" a="1"/>
  <c r="L145" i="1" a="1"/>
  <c r="L134" i="1" a="1"/>
  <c r="L117" i="1" a="1"/>
  <c r="L172" i="1" a="1"/>
  <c r="L171" i="1" a="1"/>
  <c r="L138" i="1" a="1"/>
  <c r="L49" i="1" a="1"/>
  <c r="L99" i="1" a="1"/>
  <c r="L58" i="1" a="1"/>
  <c r="L115" i="1" a="1"/>
  <c r="L116" i="1" a="1"/>
  <c r="L170" i="1" a="1"/>
  <c r="L112" i="1" a="1"/>
  <c r="L147" i="1" a="1"/>
  <c r="L119" i="1" a="1"/>
  <c r="L120" i="1" a="1"/>
  <c r="L104" i="1" a="1"/>
  <c r="L93" i="1" a="1"/>
  <c r="L95" i="1" a="1"/>
  <c r="L75" i="1" a="1"/>
  <c r="L103" i="1" a="1"/>
  <c r="L94" i="1" a="1"/>
  <c r="L157" i="1" a="1"/>
  <c r="L142" i="1" a="1"/>
  <c r="L101" i="1" a="1"/>
  <c r="L97" i="1" a="1"/>
  <c r="L155" i="1" a="1"/>
  <c r="L108" i="1" a="1"/>
  <c r="L19" i="1" a="1"/>
  <c r="L164" i="1" a="1"/>
  <c r="L90" i="1" a="1"/>
  <c r="L83" i="1" a="1"/>
  <c r="L148" i="1" a="1"/>
  <c r="L42" i="1" a="1"/>
  <c r="L48" i="1" a="1"/>
  <c r="L159" i="1" a="1"/>
  <c r="L110" i="1" a="1"/>
  <c r="L31" i="1" a="1"/>
  <c r="L20" i="1" a="1"/>
  <c r="L162" i="1" a="1"/>
  <c r="L24" i="1" a="1"/>
  <c r="L36" i="1" a="1"/>
  <c r="L174" i="1" a="1"/>
  <c r="L105" i="1" a="1"/>
  <c r="L173" i="1" a="1"/>
  <c r="L111" i="1" a="1"/>
  <c r="L41" i="1" a="1"/>
  <c r="L114" i="1" a="1"/>
  <c r="L25" i="1" a="1"/>
  <c r="L47" i="1" a="1"/>
  <c r="L143" i="1" a="1"/>
  <c r="L175" i="1" a="1"/>
  <c r="L29" i="1" a="1"/>
  <c r="L100" i="1" a="1"/>
  <c r="L72" i="1" a="1"/>
  <c r="L168" i="1" a="1"/>
  <c r="L30" i="1" a="1"/>
  <c r="L17" i="1" a="1"/>
  <c r="L74" i="1" a="1"/>
  <c r="L139" i="1" a="1"/>
  <c r="L166" i="1" a="1"/>
  <c r="L125" i="1" a="1"/>
  <c r="L33" i="1" a="1"/>
  <c r="L151" i="1" a="1"/>
  <c r="L161" i="1" a="1"/>
  <c r="L96" i="1" a="1"/>
  <c r="L167" i="1" a="1"/>
  <c r="L141" i="1" a="1"/>
  <c r="L13" i="1" a="1"/>
  <c r="L59" i="1" a="1"/>
  <c r="L18" i="1" a="1"/>
  <c r="L102" i="1" a="1"/>
  <c r="L39" i="1" a="1"/>
  <c r="G47" i="11"/>
  <c r="G48" i="11"/>
  <c r="G49" i="11"/>
  <c r="G50" i="11"/>
  <c r="G51" i="11"/>
  <c r="AA3" i="11" a="1"/>
  <c r="I4" i="12" a="1"/>
  <c r="G4" i="12" a="1"/>
  <c r="E4" i="12" a="1"/>
  <c r="F4" i="12" l="1" a="1"/>
  <c r="D4" i="12" a="1"/>
  <c r="K4" i="11" a="1"/>
  <c r="F4" i="11" a="1"/>
  <c r="J4" i="11" a="1"/>
  <c r="I4" i="11" a="1"/>
  <c r="H4" i="11" a="1"/>
  <c r="E4" i="11" a="1"/>
  <c r="D4" i="11" a="1"/>
  <c r="C4" i="11" a="1"/>
  <c r="G43" i="11" l="1"/>
  <c r="G44" i="11"/>
  <c r="G45" i="11"/>
  <c r="G46" i="11"/>
  <c r="G42" i="11"/>
  <c r="G31" i="11"/>
  <c r="G39" i="11"/>
  <c r="G35" i="11"/>
  <c r="G32" i="11"/>
  <c r="G33" i="11"/>
  <c r="G37" i="11"/>
  <c r="G41" i="11"/>
  <c r="G38" i="11"/>
  <c r="G34" i="11"/>
  <c r="G36" i="11"/>
  <c r="G40" i="11"/>
  <c r="G30" i="11"/>
  <c r="G28" i="11"/>
  <c r="G27" i="11"/>
  <c r="G26" i="11"/>
  <c r="G10" i="11"/>
  <c r="G21" i="11"/>
  <c r="G9" i="11"/>
  <c r="G20" i="11"/>
  <c r="G8" i="11"/>
  <c r="G19" i="11"/>
  <c r="G13" i="11"/>
  <c r="G24" i="11"/>
  <c r="G25" i="11"/>
  <c r="G18" i="11"/>
  <c r="G16" i="11"/>
  <c r="G17" i="11"/>
  <c r="G15" i="11"/>
  <c r="G23" i="11"/>
  <c r="G11" i="11"/>
  <c r="G22" i="11"/>
  <c r="G7" i="11"/>
  <c r="G5" i="11"/>
  <c r="G29" i="11"/>
  <c r="G12" i="11"/>
  <c r="G14" i="11"/>
  <c r="G6" i="11"/>
  <c r="H4" i="12" a="1"/>
  <c r="J4" i="12" l="1" a="1"/>
  <c r="C52" i="11" l="1"/>
  <c r="N7" i="11"/>
  <c r="G4" i="11"/>
  <c r="G52" i="11" s="1"/>
  <c r="M6" i="12" a="1"/>
  <c r="M4" i="12" a="1"/>
  <c r="M5" i="12" a="1"/>
  <c r="C63" i="12" a="1"/>
  <c r="N4" i="11"/>
  <c r="N5" i="11"/>
  <c r="N6" i="11"/>
  <c r="E4" i="13" a="1"/>
  <c r="J4" i="13" a="1"/>
  <c r="D4" i="13" a="1"/>
  <c r="B4" i="13" a="1"/>
  <c r="N4" i="13" a="1"/>
  <c r="G4" i="13" a="1"/>
  <c r="M4" i="13" a="1"/>
  <c r="F4" i="13" a="1"/>
  <c r="I4" i="13" a="1"/>
  <c r="C4" i="13" a="1"/>
  <c r="H130" i="13" l="1"/>
  <c r="K130" i="13"/>
  <c r="L130" i="13" s="1"/>
  <c r="Q6" i="13"/>
  <c r="Q4" i="13"/>
  <c r="K67" i="13"/>
  <c r="L67" i="13" s="1"/>
  <c r="K65" i="13"/>
  <c r="L65" i="13" s="1"/>
  <c r="K38" i="13"/>
  <c r="L38" i="13" s="1"/>
  <c r="K41" i="13"/>
  <c r="L41" i="13" s="1"/>
  <c r="K8" i="13"/>
  <c r="L8" i="13" s="1"/>
  <c r="K14" i="13"/>
  <c r="L14" i="13" s="1"/>
  <c r="K7" i="13"/>
  <c r="L7" i="13" s="1"/>
  <c r="K35" i="13"/>
  <c r="L35" i="13" s="1"/>
  <c r="K62" i="13"/>
  <c r="L62" i="13" s="1"/>
  <c r="K53" i="13"/>
  <c r="L53" i="13" s="1"/>
  <c r="K12" i="13"/>
  <c r="L12" i="13" s="1"/>
  <c r="K21" i="13"/>
  <c r="L21" i="13" s="1"/>
  <c r="K27" i="13"/>
  <c r="L27" i="13" s="1"/>
  <c r="K86" i="13"/>
  <c r="L86" i="13" s="1"/>
  <c r="K81" i="13"/>
  <c r="L81" i="13" s="1"/>
  <c r="K66" i="13"/>
  <c r="L66" i="13" s="1"/>
  <c r="K59" i="13"/>
  <c r="L59" i="13" s="1"/>
  <c r="K50" i="13"/>
  <c r="L50" i="13" s="1"/>
  <c r="K71" i="13"/>
  <c r="L71" i="13" s="1"/>
  <c r="K9" i="13"/>
  <c r="L9" i="13" s="1"/>
  <c r="K56" i="13"/>
  <c r="L56" i="13" s="1"/>
  <c r="K10" i="13"/>
  <c r="L10" i="13" s="1"/>
  <c r="K70" i="13"/>
  <c r="L70" i="13" s="1"/>
  <c r="K37" i="13"/>
  <c r="L37" i="13" s="1"/>
  <c r="K47" i="13"/>
  <c r="L47" i="13" s="1"/>
  <c r="K46" i="13"/>
  <c r="L46" i="13" s="1"/>
  <c r="K58" i="13"/>
  <c r="L58" i="13" s="1"/>
  <c r="K84" i="13"/>
  <c r="L84" i="13" s="1"/>
  <c r="K83" i="13"/>
  <c r="L83" i="13" s="1"/>
  <c r="K73" i="13"/>
  <c r="L73" i="13" s="1"/>
  <c r="K48" i="13"/>
  <c r="L48" i="13" s="1"/>
  <c r="K6" i="13"/>
  <c r="L6" i="13" s="1"/>
  <c r="K30" i="13"/>
  <c r="L30" i="13" s="1"/>
  <c r="K43" i="13"/>
  <c r="L43" i="13" s="1"/>
  <c r="K57" i="13"/>
  <c r="L57" i="13" s="1"/>
  <c r="K31" i="13"/>
  <c r="L31" i="13" s="1"/>
  <c r="K51" i="13"/>
  <c r="L51" i="13" s="1"/>
  <c r="K34" i="13"/>
  <c r="L34" i="13" s="1"/>
  <c r="K23" i="13"/>
  <c r="L23" i="13" s="1"/>
  <c r="K52" i="13"/>
  <c r="L52" i="13" s="1"/>
  <c r="K49" i="13"/>
  <c r="L49" i="13" s="1"/>
  <c r="K20" i="13"/>
  <c r="L20" i="13" s="1"/>
  <c r="K33" i="13"/>
  <c r="L33" i="13" s="1"/>
  <c r="K32" i="13"/>
  <c r="L32" i="13" s="1"/>
  <c r="K55" i="13"/>
  <c r="L55" i="13" s="1"/>
  <c r="K5" i="13"/>
  <c r="L5" i="13" s="1"/>
  <c r="K75" i="13"/>
  <c r="L75" i="13" s="1"/>
  <c r="K18" i="13"/>
  <c r="L18" i="13" s="1"/>
  <c r="K13" i="13"/>
  <c r="L13" i="13" s="1"/>
  <c r="K85" i="13"/>
  <c r="L85" i="13" s="1"/>
  <c r="K82" i="13"/>
  <c r="L82" i="13" s="1"/>
  <c r="K45" i="13"/>
  <c r="L45" i="13" s="1"/>
  <c r="K29" i="13"/>
  <c r="L29" i="13" s="1"/>
  <c r="K28" i="13"/>
  <c r="L28" i="13" s="1"/>
  <c r="K15" i="13"/>
  <c r="L15" i="13" s="1"/>
  <c r="K26" i="13"/>
  <c r="L26" i="13" s="1"/>
  <c r="K16" i="13"/>
  <c r="L16" i="13" s="1"/>
  <c r="K17" i="13"/>
  <c r="L17" i="13" s="1"/>
  <c r="K72" i="13"/>
  <c r="L72" i="13" s="1"/>
  <c r="K68" i="13"/>
  <c r="L68" i="13" s="1"/>
  <c r="K69" i="13"/>
  <c r="L69" i="13" s="1"/>
  <c r="K36" i="13"/>
  <c r="L36" i="13" s="1"/>
  <c r="K24" i="13"/>
  <c r="L24" i="13" s="1"/>
  <c r="K22" i="13"/>
  <c r="L22" i="13" s="1"/>
  <c r="K63" i="13"/>
  <c r="L63" i="13" s="1"/>
  <c r="K61" i="13"/>
  <c r="L61" i="13" s="1"/>
  <c r="K11" i="13"/>
  <c r="L11" i="13" s="1"/>
  <c r="K64" i="13"/>
  <c r="L64" i="13" s="1"/>
  <c r="K40" i="13"/>
  <c r="L40" i="13" s="1"/>
  <c r="K19" i="13"/>
  <c r="L19" i="13" s="1"/>
  <c r="K74" i="13"/>
  <c r="L74" i="13" s="1"/>
  <c r="K44" i="13"/>
  <c r="L44" i="13" s="1"/>
  <c r="K42" i="13"/>
  <c r="L42" i="13" s="1"/>
  <c r="K60" i="13"/>
  <c r="L60" i="13" s="1"/>
  <c r="K39" i="13"/>
  <c r="L39" i="13" s="1"/>
  <c r="K25" i="13"/>
  <c r="L25" i="13" s="1"/>
  <c r="K54" i="13"/>
  <c r="L54" i="13" s="1"/>
  <c r="K4" i="13"/>
  <c r="L4" i="13" s="1"/>
  <c r="C131" i="13"/>
  <c r="Q5" i="13" s="1"/>
  <c r="Q7" i="13"/>
  <c r="H4" i="13" a="1"/>
  <c r="H131" i="13" l="1"/>
  <c r="L131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<sst xmlns="http://schemas.openxmlformats.org/spreadsheetml/2006/main" count="5737" uniqueCount="1007">
  <si>
    <t>Finca</t>
  </si>
  <si>
    <t>Qty</t>
  </si>
  <si>
    <t>Type of Box</t>
  </si>
  <si>
    <t>Cantidad_Min</t>
  </si>
  <si>
    <t>Cantidad_QB</t>
  </si>
  <si>
    <t>Variedad</t>
  </si>
  <si>
    <t>Nombre</t>
  </si>
  <si>
    <t>Color</t>
  </si>
  <si>
    <t>Cost</t>
  </si>
  <si>
    <t>Markup</t>
  </si>
  <si>
    <t>Precio</t>
  </si>
  <si>
    <t>Guia</t>
  </si>
  <si>
    <t>FechaEntrega</t>
  </si>
  <si>
    <t>Duties</t>
  </si>
  <si>
    <t>Origen</t>
  </si>
  <si>
    <t>Box</t>
  </si>
  <si>
    <t>img</t>
  </si>
  <si>
    <t>Transport</t>
  </si>
  <si>
    <t>Largo2</t>
  </si>
  <si>
    <t>Ancho</t>
  </si>
  <si>
    <t>Alto</t>
  </si>
  <si>
    <t>Volumen</t>
  </si>
  <si>
    <t>Transport2</t>
  </si>
  <si>
    <t>Import Duties</t>
  </si>
  <si>
    <t>Total</t>
  </si>
  <si>
    <t>FincaID</t>
  </si>
  <si>
    <t>Inventarios</t>
  </si>
  <si>
    <t>SendEmail</t>
  </si>
  <si>
    <t>Comments</t>
  </si>
  <si>
    <t>Standing Orders</t>
  </si>
  <si>
    <t>Eden QB 2</t>
  </si>
  <si>
    <t>-</t>
  </si>
  <si>
    <t>EB</t>
  </si>
  <si>
    <t>QB</t>
  </si>
  <si>
    <t>Flores Verdes</t>
  </si>
  <si>
    <t>Roses 50cm</t>
  </si>
  <si>
    <t>Y</t>
  </si>
  <si>
    <t>Mystic Flowers</t>
  </si>
  <si>
    <t>Roses 60cm</t>
  </si>
  <si>
    <t>Star Roses</t>
  </si>
  <si>
    <t>1 Paul  [Boise At it’s Best Flowers]</t>
  </si>
  <si>
    <t>Florecal</t>
  </si>
  <si>
    <t>1 Paul [Rose Al Floral]</t>
  </si>
  <si>
    <t>HB</t>
  </si>
  <si>
    <t>1 Daniel [Country Squire Florist]</t>
  </si>
  <si>
    <t>1 Daniel [The Flower Market]</t>
  </si>
  <si>
    <t>Roses 50/60cm</t>
  </si>
  <si>
    <t>1 Ralph [Allans Flowers and More]</t>
  </si>
  <si>
    <t xml:space="preserve">1 Ralph [Floral Cottage MT] </t>
  </si>
  <si>
    <t>1 Ralph [Uptown Blossoms AK]</t>
  </si>
  <si>
    <t xml:space="preserve">Roses 50cm </t>
  </si>
  <si>
    <t>1 Fausto (*Par) [Floristeria Gonzalez AL]</t>
  </si>
  <si>
    <t>1 Ben (*Impar) [Ariz Flowers SC]</t>
  </si>
  <si>
    <t>1 Paul []</t>
  </si>
  <si>
    <t>Florisol</t>
  </si>
  <si>
    <t xml:space="preserve">Garden Victorian 40cm </t>
  </si>
  <si>
    <t>Garden Victorian 40cm</t>
  </si>
  <si>
    <t>Garden Spray Roses 40cm</t>
  </si>
  <si>
    <t>Spray Roses 50cm</t>
  </si>
  <si>
    <t>1 Daniel [Campus Floral]</t>
  </si>
  <si>
    <t>Flower Village</t>
  </si>
  <si>
    <t xml:space="preserve">1 Ralph [Flowers by Zsuzsana] </t>
  </si>
  <si>
    <t>1 Paul (*Par) [A Wild Flower Shop]</t>
  </si>
  <si>
    <t>1 Ralph [Wishing Well Floral]</t>
  </si>
  <si>
    <t>EC Designer Mix</t>
  </si>
  <si>
    <t>1 Ralph [Floral Cottage MT]</t>
  </si>
  <si>
    <t>1 Daniel [Country Garden Florist]</t>
  </si>
  <si>
    <t>Hoja Verde</t>
  </si>
  <si>
    <t>1 Daniel [Benjamins Flowers and Gifts]</t>
  </si>
  <si>
    <t>Roses 40/50cm</t>
  </si>
  <si>
    <t>25 Free Spirit 40cm/25 Think Pink 50cm/25 Explorer 50cm/25 Hot Explorer 50cm/25 White 50cm</t>
  </si>
  <si>
    <t>1 Fausto [The Flower Bar WA]</t>
  </si>
  <si>
    <t>1 Fausto [Florist in the Garden WA]</t>
  </si>
  <si>
    <t>Special Mix x96</t>
  </si>
  <si>
    <t>1 Fausto [Moshannon PA]</t>
  </si>
  <si>
    <t>1 John [Summer Breeze GA]</t>
  </si>
  <si>
    <t>Verdun Mix</t>
  </si>
  <si>
    <t>3 bu 12 Red + 1 Euc + 2 Sta // 2 bu 12 Orange + 1 Euc + 2 Sta // 2 bu 12 Yellow + 1 Euc + 2 Sta // 2 bu 12 Lavender + 1 Euc + 2 Sta // 3 bu 12 Pink + 1 Euc + 2 Sta // 1 bu 12 Purple  + 1 Euc + 2 Sta // 1 bu 12 Cream  + 1 Euc + 2 Sta // 1 bu 12 White + 1 Euc + 2 Sta</t>
  </si>
  <si>
    <t>1 Daniel []</t>
  </si>
  <si>
    <t>Garden Spray Roses 50cm</t>
  </si>
  <si>
    <t>1 John [Fancy Floral ID]</t>
  </si>
  <si>
    <t>50 Explorer/ 25 Sweet Memory/ 25 Playa Blanca/ 25 Arya (T/F)</t>
  </si>
  <si>
    <t>1 John [Bliss Point Floral]</t>
  </si>
  <si>
    <t xml:space="preserve">Special Mix x144 </t>
  </si>
  <si>
    <t>1 Ralph (*Par) [Something Special]</t>
  </si>
  <si>
    <t>Ceres Farms</t>
  </si>
  <si>
    <t>1 John [Bliss Point Floral Design GA]</t>
  </si>
  <si>
    <t>Latina Farms</t>
  </si>
  <si>
    <t>50 Freedom/25 Light Pink/25 Brighton/25 Jacaranda (M/T)</t>
  </si>
  <si>
    <t>1 Joss (*Par) [Sues Creations]</t>
  </si>
  <si>
    <t>1 Joss (*Par) [B Tulips de LU]</t>
  </si>
  <si>
    <t>1 Joss (*Impar) [B Tulips de LU]</t>
  </si>
  <si>
    <t>Fortune (T/F)</t>
  </si>
  <si>
    <t>75 Rhoslyn/25 Fortune (T/F)</t>
  </si>
  <si>
    <t>75 Mondial/25 Fortune (T/F)</t>
  </si>
  <si>
    <t>0 Cesar (*Impar) []</t>
  </si>
  <si>
    <t>Wedding Mix 40/50cm</t>
  </si>
  <si>
    <t>Roses Mix 50/60cm</t>
  </si>
  <si>
    <t>Roses Mix 40/50cm</t>
  </si>
  <si>
    <t>Agrogana</t>
  </si>
  <si>
    <t>Hannas Mix</t>
  </si>
  <si>
    <t>Natalias Mix</t>
  </si>
  <si>
    <t>American Dream</t>
  </si>
  <si>
    <t>1EB x120 American Dream: 10 Focal Scoop Teaberry / 10 Scabiosa Caucasian White / 10 Scabiosa Caucasian Deep Blue / 10 Mini Gerberas pasta Rosatta / 10 Solomio Fen / 10 Solomio Imre / 10 Solomio Rose / 10 Solomio Tino / 10 Succes Cloni Charleston / 10 Elegance Pink Pastello / 10 Limonium Skylight / 10 Campanula Lavender</t>
  </si>
  <si>
    <t>Bliss Box</t>
  </si>
  <si>
    <t>1QB x120: 50 Alstro (Lavender/White/Light PInk/Hot Pink/Salmon) / 20 Gypso Xcelenc / 10 Glaminis / 20 Ruscus / 10 Oriental Lilies 3-5 / 10 Roselilies 3-5</t>
  </si>
  <si>
    <t>Sunny Mix</t>
  </si>
  <si>
    <t>20 Spray roses 50 cm $0.40 // 10 Glaminis Assorted $0.35 // 10 Gypsophilia 250 gr $0,22 // 10 Solidago select $0,20 // 10 Lepidium 70 cm $0,26 // 10 lilies 2-3 bl $0.95 // 10 lilies cualquier color (no blanco) 2-3 bl $0.95</t>
  </si>
  <si>
    <t>(Vincents Choice) Essential Mix</t>
  </si>
  <si>
    <t>Vincents Choice: 20 Alstro 80cm Mix 0,26 // 20 Seawaltz 70cm 0,49 // 20 Spray Roses 50cm Mix 0,35 // 20 Lepidium 0,24 // 20 Gypso Xlence 250g. 0,22 // 20 Soligado 70/80cm Golden Glory  0,23</t>
  </si>
  <si>
    <t>Essential Mix</t>
  </si>
  <si>
    <t>Vincents Choice</t>
  </si>
  <si>
    <t>(Florisol Mix) Harmony Box</t>
  </si>
  <si>
    <t>Florisol Mix: 20 Mums Cremon Mix 0,38 // 30 Ruscus Israeli 0,20 // 20 Oriental Lilies 2-3 blooms 0,95 // 10 Roselilies 2-3 blooms 1,40 // 20 Spray Mums 0,34</t>
  </si>
  <si>
    <t>(Piaveri Mix) Be Mine Box</t>
  </si>
  <si>
    <t>Piaveri  Mix: 20 Delphinium Mix 0,50 // 50 Alstro Mix 0,26 // 50 Spray Roses 0,35</t>
  </si>
  <si>
    <t>(Clarivel Mix) Pure Love</t>
  </si>
  <si>
    <t>Clarivel Mix: 40 Lepidium 70cm 0,26 // 40 Solidago 70cm Golden Glory 0,23 // 20 Solidago 80cm Romantic Glory 0,24 // 20 Glaminis Assorted 0,35 // 20 Gypso Xlence 250g 0,22</t>
  </si>
  <si>
    <t>Royal Mix</t>
  </si>
  <si>
    <t>Summer Vibes</t>
  </si>
  <si>
    <t>Florist Mix</t>
  </si>
  <si>
    <t>Valleflor</t>
  </si>
  <si>
    <t>Carnival Mix</t>
  </si>
  <si>
    <t>12 Aster Petit Carnival Lavender/5 Aster Duplo Carnival White/5 Aster Carnival Purple Caytlin/10 Limonium Carnival Kansas/10 Statice Carnival Purple Mystic Blue Bird/10 Statice Carnival White Starlight/5 Solidago Carnival Gold</t>
  </si>
  <si>
    <t>1 Ralph [Country Living Florist]</t>
  </si>
  <si>
    <t>Plazoleta</t>
  </si>
  <si>
    <t>QB2</t>
  </si>
  <si>
    <t>Alstroemeria Perfection</t>
  </si>
  <si>
    <t>2 Ralph [Wishing Well];1 Ralph [Uptown Blossoms AK];1 Ralph [Floral Cottage MT]</t>
  </si>
  <si>
    <t>Statice Select</t>
  </si>
  <si>
    <t>1 Ralph (*Impar) [Wishing Well];1 Ralph (*Par) [Floral Cottage MT]</t>
  </si>
  <si>
    <t>EB2</t>
  </si>
  <si>
    <t>Snapdragon Perfection</t>
  </si>
  <si>
    <t>1 Fausto [The Flower Bar WA];1 Fausto [Ninas Flowers CA]</t>
  </si>
  <si>
    <t>Flodecol</t>
  </si>
  <si>
    <t>Delphinium 70/80cm</t>
  </si>
  <si>
    <t>1 John [Filers Florsit OH]</t>
  </si>
  <si>
    <t>1 John [Summer Breeze GA];1 John [Summer Breeze GA];1 John [Summer Breeze GA];</t>
  </si>
  <si>
    <t>1 Ralph [Christys Floral and Gift Shop]</t>
  </si>
  <si>
    <t>Hydrangeas Pocket Mix</t>
  </si>
  <si>
    <t>1  Fausto [Ninas Flowers and Gifts]</t>
  </si>
  <si>
    <t>1 Ralph [Wine and Blooms]</t>
  </si>
  <si>
    <t>Neumann</t>
  </si>
  <si>
    <t>Lilies LA 2-3 Blooms</t>
  </si>
  <si>
    <t>High Garden</t>
  </si>
  <si>
    <t>Delphinium Mix</t>
  </si>
  <si>
    <t>1 Fausto [Grande Flowers Shorewood WI]</t>
  </si>
  <si>
    <t>1 Joss [Eugene s Flower Home OR]</t>
  </si>
  <si>
    <t>Alstroemeria Select 70/80cm</t>
  </si>
  <si>
    <t>1 Paul [Florafino]</t>
  </si>
  <si>
    <t>Oriental Lilies 3-5 blooms</t>
  </si>
  <si>
    <t>Mums Cremons</t>
  </si>
  <si>
    <t xml:space="preserve">Mums Cremons </t>
  </si>
  <si>
    <t>1 Ben [Blooming Box MO]</t>
  </si>
  <si>
    <t xml:space="preserve">1 Ralph [Allans Flowers and More];1 Ralph [Country Living Florist] </t>
  </si>
  <si>
    <t>1 Daniel [Flower Central];1 Daniel [Country Garden Florist]</t>
  </si>
  <si>
    <t>Tumbabirro</t>
  </si>
  <si>
    <t>Lisianthus 70cm</t>
  </si>
  <si>
    <t>1 Ralph [Flowers by Zsuzsana]</t>
  </si>
  <si>
    <t>1 Ralph [Wishing Well]</t>
  </si>
  <si>
    <t>Oriental Lilies 2-3 Blooms</t>
  </si>
  <si>
    <t>1 Daniel [Country Squire]</t>
  </si>
  <si>
    <t>Christopher Flowers</t>
  </si>
  <si>
    <t>Stock Super 70cm</t>
  </si>
  <si>
    <t>Agroprim</t>
  </si>
  <si>
    <t>Sunflower Select</t>
  </si>
  <si>
    <t>1 Daniela [The Wylde Rose CA]</t>
  </si>
  <si>
    <t>1 Joss (*Par) [Bartlet]</t>
  </si>
  <si>
    <t xml:space="preserve">Lilies LA 2-3 Blooms </t>
  </si>
  <si>
    <t>1 Ralph (*Impar) [Uptown Blossoms AK]</t>
  </si>
  <si>
    <t>Betel Flowers</t>
  </si>
  <si>
    <t>Pin Cushion 30/35cm</t>
  </si>
  <si>
    <t>1 Ralph (*Par) [Wine &amp; Blooms]</t>
  </si>
  <si>
    <t>1 Ralph (*Par) [Willow Rose ME]</t>
  </si>
  <si>
    <t xml:space="preserve">Snapdragon Perfection </t>
  </si>
  <si>
    <t>1 Daniel (*Par) [Endless Creations]</t>
  </si>
  <si>
    <t xml:space="preserve">Alstroemeria Perfection </t>
  </si>
  <si>
    <t>1 Joss (*Par) [AM Floral and Gifts MI]</t>
  </si>
  <si>
    <t>Campos de Aroma</t>
  </si>
  <si>
    <t>Lavender</t>
  </si>
  <si>
    <t>1 Fausto (*Impar) [Ninas Flowers]</t>
  </si>
  <si>
    <t xml:space="preserve">Roselilies 3-5 Blooms </t>
  </si>
  <si>
    <t>1 Joss (*Impar) [Eugenes Flowers OR]</t>
  </si>
  <si>
    <t>1 Ralph (*Impar) [Something Special]</t>
  </si>
  <si>
    <t>Oriental Lilies Mix</t>
  </si>
  <si>
    <t>1QB x60 Oriental Lilies: 30 White zambesi o Premium blond de 2/3 bl $0.95 /20 Pink sorbonne 3/5 $1.00 /10 Yellow concador 3/5 $1.00</t>
  </si>
  <si>
    <t>1 John (*Impar) [RJG flowers CT]</t>
  </si>
  <si>
    <t>Florequisa</t>
  </si>
  <si>
    <t>Carnations Minami</t>
  </si>
  <si>
    <t>1 Joss (*Impar) [Bartlett Flowers and Gifts]</t>
  </si>
  <si>
    <t xml:space="preserve">Delphinium Mix </t>
  </si>
  <si>
    <t>1 Paul (*Impar) []</t>
  </si>
  <si>
    <t>Agrirose</t>
  </si>
  <si>
    <t>Ranunculus/Anemones</t>
  </si>
  <si>
    <t>Sunflower Mix</t>
  </si>
  <si>
    <t>*Fall Colors: 2 Carolina // 1 Resoucci // 1 Bellavista // 1 Fogata // 2 Totumo // 2 Rossano Orange // 1 Salmon Oefa</t>
  </si>
  <si>
    <t>Cremons Magnum</t>
  </si>
  <si>
    <t>Gypsophilia Xlence</t>
  </si>
  <si>
    <t>Solidago 70cm</t>
  </si>
  <si>
    <t>30 White/20 Pink (T/W)</t>
  </si>
  <si>
    <t>Agrocoex</t>
  </si>
  <si>
    <t>Larkspur</t>
  </si>
  <si>
    <t>Florsani</t>
  </si>
  <si>
    <t>Eucalyptus Mix</t>
  </si>
  <si>
    <t>Mini Carnations</t>
  </si>
  <si>
    <t>Carnations Mix</t>
  </si>
  <si>
    <t>Florecot</t>
  </si>
  <si>
    <t>Hypericum</t>
  </si>
  <si>
    <t xml:space="preserve"> </t>
  </si>
  <si>
    <t>Cultivos del Norte</t>
  </si>
  <si>
    <t>CDN 70cm</t>
  </si>
  <si>
    <t>Gerberas/Mini Gerberas Mix</t>
  </si>
  <si>
    <t>25 Hearts // 25 Cold Brew // 25  Nexus ó Aloha // 25 Faith ó Shimmer</t>
  </si>
  <si>
    <t>1 Joss [Auburn]</t>
  </si>
  <si>
    <t>Garden Roses 50cm</t>
  </si>
  <si>
    <t>12 Kings Cross // 12 Mayras Bridal ó Princess Crown ó Mademoiselle // 12 Mayras Peach ó Peach Xpression // 12 Tiptop ó Antonia ó Louis</t>
  </si>
  <si>
    <t>1 Joss (*Par) [Paducah]</t>
  </si>
  <si>
    <t>Explorer (T/F)</t>
  </si>
  <si>
    <t>Freedom (T/F)</t>
  </si>
  <si>
    <t>Redvolution (T/F)</t>
  </si>
  <si>
    <t>12 Roses + 3 Fillers (T/F)</t>
  </si>
  <si>
    <t>12 Ashley/12 White Ashley/12 Ohara/12 White Ohara (T/F)</t>
  </si>
  <si>
    <t>Piano (T/F)</t>
  </si>
  <si>
    <t>75 Jessika/25 Explore/25 Tibet (T/F)</t>
  </si>
  <si>
    <t>50 Explorer/25 Mondial/25 Pink Love/25 Orange Crush (T/F)</t>
  </si>
  <si>
    <t>0 Cesar (*Par) []</t>
  </si>
  <si>
    <t>50 Freedom/25 Mondial/25 Jessica/25 Brighton (T/F)</t>
  </si>
  <si>
    <t>25 Playa Blanca/25 Quicksand/25 Barista/25 Symbol/25 Cold Brew (T/F)</t>
  </si>
  <si>
    <t>Delphinium 70cm</t>
  </si>
  <si>
    <t>20 Seawaltz/50 Skywaltz (T/F)</t>
  </si>
  <si>
    <t>1 John (*Impar) [Summer Breeze GA]</t>
  </si>
  <si>
    <t>20 Pink/20 White/20 Purple (T/F)</t>
  </si>
  <si>
    <t>250g. (T/F)</t>
  </si>
  <si>
    <t>Seawaltz/Skywaltz (T/F)</t>
  </si>
  <si>
    <t>Assorted Colors (T/F)</t>
  </si>
  <si>
    <t>Largo</t>
  </si>
  <si>
    <t>Peso</t>
  </si>
  <si>
    <t>Aprobado</t>
  </si>
  <si>
    <t>Ancho2</t>
  </si>
  <si>
    <t>Alto2</t>
  </si>
  <si>
    <t>Peso Pulgadas</t>
  </si>
  <si>
    <t>40cm</t>
  </si>
  <si>
    <t>50cm</t>
  </si>
  <si>
    <t>60cm</t>
  </si>
  <si>
    <t>70cm</t>
  </si>
  <si>
    <t>80cm</t>
  </si>
  <si>
    <t>90cm</t>
  </si>
  <si>
    <t>100cm</t>
  </si>
  <si>
    <t>Seguro</t>
  </si>
  <si>
    <t>SB</t>
  </si>
  <si>
    <t>EC QB 1</t>
  </si>
  <si>
    <t>EC QB 2</t>
  </si>
  <si>
    <t>Anthonela EB 5K</t>
  </si>
  <si>
    <t>Anthonela EB 9K</t>
  </si>
  <si>
    <t>Anthonela QB 13K</t>
  </si>
  <si>
    <t>Anthonela QB 15K</t>
  </si>
  <si>
    <t>Anthonela HB 24K</t>
  </si>
  <si>
    <t>Agrivaldani HB F1</t>
  </si>
  <si>
    <t>18-20</t>
  </si>
  <si>
    <t>16-18</t>
  </si>
  <si>
    <t>14-16</t>
  </si>
  <si>
    <t>12-14</t>
  </si>
  <si>
    <t>10</t>
  </si>
  <si>
    <t>Agrivaldani HB F2</t>
  </si>
  <si>
    <t>10-12</t>
  </si>
  <si>
    <t>8</t>
  </si>
  <si>
    <t>Agrivaldani HB F3</t>
  </si>
  <si>
    <t>12</t>
  </si>
  <si>
    <t>8-10</t>
  </si>
  <si>
    <t>6-8</t>
  </si>
  <si>
    <t>6</t>
  </si>
  <si>
    <t>Agrivaldani QB F4</t>
  </si>
  <si>
    <t>5-6</t>
  </si>
  <si>
    <t>5</t>
  </si>
  <si>
    <t>4</t>
  </si>
  <si>
    <t>Agrivaldani QB F5</t>
  </si>
  <si>
    <t>4-5</t>
  </si>
  <si>
    <t>Agrivaldani QB C1</t>
  </si>
  <si>
    <t>Agrivaldani HB C2</t>
  </si>
  <si>
    <t>24</t>
  </si>
  <si>
    <t>Agrogana SB</t>
  </si>
  <si>
    <t xml:space="preserve">Agrogana EB Auto </t>
  </si>
  <si>
    <t xml:space="preserve">Agrogana EB Ceja </t>
  </si>
  <si>
    <t xml:space="preserve">Agrogana EB Grande </t>
  </si>
  <si>
    <t>Agrogana QB Corto</t>
  </si>
  <si>
    <t>Agrogana QB Largo</t>
  </si>
  <si>
    <t>Agrogana HB Corto</t>
  </si>
  <si>
    <t>Agrogana HB Largo</t>
  </si>
  <si>
    <t>Agroprim EB</t>
  </si>
  <si>
    <t>Agroprim QB Pequeño</t>
  </si>
  <si>
    <t>Agroprim QB Mediano</t>
  </si>
  <si>
    <t>Agroprim QB Grande</t>
  </si>
  <si>
    <t>Agroprim HB</t>
  </si>
  <si>
    <t>Alinatura QB Roses + Stem</t>
  </si>
  <si>
    <t>20 st</t>
  </si>
  <si>
    <t>Alinatura HB Preservadas</t>
  </si>
  <si>
    <t>Betel EB</t>
  </si>
  <si>
    <t>Betel QB</t>
  </si>
  <si>
    <t>Casageo EB</t>
  </si>
  <si>
    <t>Casageo QB</t>
  </si>
  <si>
    <t>Casageo HB</t>
  </si>
  <si>
    <t>Casageo HB Grande</t>
  </si>
  <si>
    <t>Christopher Flowers EB</t>
  </si>
  <si>
    <t>Christopher Flowers QB</t>
  </si>
  <si>
    <t>Cultivos del Norte QB2</t>
  </si>
  <si>
    <t>Cultivos del Norte HB2 1</t>
  </si>
  <si>
    <t>Cultivos del Norte HB2 1 Ruso</t>
  </si>
  <si>
    <t>Ceres EB</t>
  </si>
  <si>
    <t>2</t>
  </si>
  <si>
    <t>Ceres QB Pequeño</t>
  </si>
  <si>
    <t>Ceres QB Mediano</t>
  </si>
  <si>
    <t>Ceres QB Grande</t>
  </si>
  <si>
    <t>Ceres HB 1 Jumbo</t>
  </si>
  <si>
    <t>Ceres HB 2 Extra Jumbo</t>
  </si>
  <si>
    <t>14</t>
  </si>
  <si>
    <t>Ceres HB 3 Super Jumbo</t>
  </si>
  <si>
    <t>22</t>
  </si>
  <si>
    <t>18</t>
  </si>
  <si>
    <t>16</t>
  </si>
  <si>
    <t>Ceres HB 4 Mega Jumbo</t>
  </si>
  <si>
    <t>30</t>
  </si>
  <si>
    <t>20</t>
  </si>
  <si>
    <t>Coop EB</t>
  </si>
  <si>
    <t>Coop QB</t>
  </si>
  <si>
    <t>Coop HB</t>
  </si>
  <si>
    <t>140</t>
  </si>
  <si>
    <t>Cultivos del Norte HB2</t>
  </si>
  <si>
    <t>250</t>
  </si>
  <si>
    <t>Dummen Orange QB</t>
  </si>
  <si>
    <t>Eden QB 1</t>
  </si>
  <si>
    <t>Eden HB E</t>
  </si>
  <si>
    <t>Eden HB A</t>
  </si>
  <si>
    <t>Eden HB J</t>
  </si>
  <si>
    <t>La Conchita QB2 Alto</t>
  </si>
  <si>
    <t>La Conchita QB2 Normal</t>
  </si>
  <si>
    <t>La Conchita EB2</t>
  </si>
  <si>
    <t>Floraroma QB</t>
  </si>
  <si>
    <t>Floraroma HB Normal</t>
  </si>
  <si>
    <t>Florisol EB</t>
  </si>
  <si>
    <t>Florisol EB Grande</t>
  </si>
  <si>
    <t>Florisol HB</t>
  </si>
  <si>
    <t>Florisol HB2</t>
  </si>
  <si>
    <t>Florecal HB 1</t>
  </si>
  <si>
    <t>Florecal HB 2 Jumbo</t>
  </si>
  <si>
    <t>Flores Verdes EB</t>
  </si>
  <si>
    <t>Flores Verdes QB Corta</t>
  </si>
  <si>
    <t>Flores Verdes QB Larga</t>
  </si>
  <si>
    <t>Flores Verdes HB 1</t>
  </si>
  <si>
    <t>Flores Verdes HB 2 Jumbo</t>
  </si>
  <si>
    <t>Florecot EB</t>
  </si>
  <si>
    <t>Florecot QB</t>
  </si>
  <si>
    <t>Florsani EB</t>
  </si>
  <si>
    <t>Florsani QB</t>
  </si>
  <si>
    <t>Florsani QBJ</t>
  </si>
  <si>
    <t>Florsani HB</t>
  </si>
  <si>
    <t>Florsani HB HE</t>
  </si>
  <si>
    <t>Florsani HB HJ</t>
  </si>
  <si>
    <t>Flower Village EB</t>
  </si>
  <si>
    <t>Flower Village QB Pequeño</t>
  </si>
  <si>
    <t>Flower Village QB Grande</t>
  </si>
  <si>
    <t>Flower Village HB Pequeño</t>
  </si>
  <si>
    <t>Flower Village HB Mediano</t>
  </si>
  <si>
    <t>Flower Village HB Grande</t>
  </si>
  <si>
    <t>Flower Party EB</t>
  </si>
  <si>
    <t>Flowers Party QB</t>
  </si>
  <si>
    <t>High Garden EB</t>
  </si>
  <si>
    <t>High Garden QB</t>
  </si>
  <si>
    <t>Hoja Verde EB</t>
  </si>
  <si>
    <t>Hoja Verde QB 96</t>
  </si>
  <si>
    <t>Hoja Verde QB 104</t>
  </si>
  <si>
    <t>3</t>
  </si>
  <si>
    <t>Hoja Verde QB 120</t>
  </si>
  <si>
    <t>Hoja Verde HB 25</t>
  </si>
  <si>
    <t>6-5</t>
  </si>
  <si>
    <t>Hoja Verde HB 30</t>
  </si>
  <si>
    <t>Hoja Verde HB 35</t>
  </si>
  <si>
    <t>Hoja Verde HB 40</t>
  </si>
  <si>
    <t>Hoja Verde HB 120</t>
  </si>
  <si>
    <t>Ikebana EB</t>
  </si>
  <si>
    <t>La Conchita HB2</t>
  </si>
  <si>
    <t>La Conchita HB2 Telestropic</t>
  </si>
  <si>
    <t>Latina Farms QB</t>
  </si>
  <si>
    <t>Latina Farms HB 100</t>
  </si>
  <si>
    <t>Latina Farms HB 110</t>
  </si>
  <si>
    <t>Latina Farms HB 120</t>
  </si>
  <si>
    <t>Latina Farms HB 130</t>
  </si>
  <si>
    <t>Lulu Display QB</t>
  </si>
  <si>
    <t>Lulu Master Box HB</t>
  </si>
  <si>
    <t>Lulu EB</t>
  </si>
  <si>
    <t>Lulu QB</t>
  </si>
  <si>
    <t>Lulu HB</t>
  </si>
  <si>
    <t>Luxus QB 104</t>
  </si>
  <si>
    <t>Luxus QB 105</t>
  </si>
  <si>
    <t>Luxus HB USA 112</t>
  </si>
  <si>
    <t>Luxus HB Jumbo 120</t>
  </si>
  <si>
    <t>Luxus HB Super Jumbo 130</t>
  </si>
  <si>
    <t>Naranjo Preserved QB</t>
  </si>
  <si>
    <t>Naranjo EB</t>
  </si>
  <si>
    <t>Naranjo QB Angeflor</t>
  </si>
  <si>
    <t>Naranjo QB Pequeño</t>
  </si>
  <si>
    <t>Naranjo QB Grande</t>
  </si>
  <si>
    <t>Naranjo HB P Angeflor</t>
  </si>
  <si>
    <t>Naranjo HB M Angeflor</t>
  </si>
  <si>
    <t>Naranjo HB Pequeña</t>
  </si>
  <si>
    <t>Naranjo HB Mediana</t>
  </si>
  <si>
    <t>Nranajo HB Grande</t>
  </si>
  <si>
    <t>Naranjo HB Extra Grande</t>
  </si>
  <si>
    <t>Naranjo HB Preserved 2</t>
  </si>
  <si>
    <t>Optimum Roses + Stem QB</t>
  </si>
  <si>
    <t>Proteas Sol Andino QB</t>
  </si>
  <si>
    <t>Proteas Sol Andino HB</t>
  </si>
  <si>
    <t>San Luis EB Pequeño</t>
  </si>
  <si>
    <t>San Luis EB Grande</t>
  </si>
  <si>
    <t>San Luis QB Pequeño</t>
  </si>
  <si>
    <t>San Luis QB Grande</t>
  </si>
  <si>
    <t>San Luis HB 1</t>
  </si>
  <si>
    <t>San Luis HB 2</t>
  </si>
  <si>
    <t>San Luis HB 3</t>
  </si>
  <si>
    <t>Star Roses EB</t>
  </si>
  <si>
    <t>Star Roses QB Kraft</t>
  </si>
  <si>
    <t>Star Roses QB Grande</t>
  </si>
  <si>
    <t xml:space="preserve">Star Roses HB USA </t>
  </si>
  <si>
    <t>Star Roses HB Rusa Corta</t>
  </si>
  <si>
    <t>Tumbabiro EB</t>
  </si>
  <si>
    <t>Tumbabiro QB</t>
  </si>
  <si>
    <t>Llegada</t>
  </si>
  <si>
    <t>ID</t>
  </si>
  <si>
    <t>Agencia</t>
  </si>
  <si>
    <t>Notas</t>
  </si>
  <si>
    <t>Florana</t>
  </si>
  <si>
    <t>n</t>
  </si>
  <si>
    <t>Bellarosa</t>
  </si>
  <si>
    <t>Holex</t>
  </si>
  <si>
    <t>y</t>
  </si>
  <si>
    <t>Fedex - UPS</t>
  </si>
  <si>
    <t>Rose Conection</t>
  </si>
  <si>
    <t>Lupita Flowers</t>
  </si>
  <si>
    <t>Petaloz</t>
  </si>
  <si>
    <t>Calla Flowers</t>
  </si>
  <si>
    <t>Sande Flowers</t>
  </si>
  <si>
    <t>US Greens</t>
  </si>
  <si>
    <t>Hanna Gardens</t>
  </si>
  <si>
    <t>Welyflor</t>
  </si>
  <si>
    <t>Bloomhaus</t>
  </si>
  <si>
    <t>Floraroma</t>
  </si>
  <si>
    <t>Magic Flowers</t>
  </si>
  <si>
    <t>Flowers Party</t>
  </si>
  <si>
    <t>Nelpo</t>
  </si>
  <si>
    <t xml:space="preserve">Flor Eterna </t>
  </si>
  <si>
    <t xml:space="preserve">ECUADORUNIQUE </t>
  </si>
  <si>
    <t>Olimpo Flowers</t>
  </si>
  <si>
    <t>Bloomlink</t>
  </si>
  <si>
    <t>Merinoroses</t>
  </si>
  <si>
    <t>Hydra Farms</t>
  </si>
  <si>
    <t>Feel Flowers</t>
  </si>
  <si>
    <t>GalaxyTrade Corp</t>
  </si>
  <si>
    <t>Loma Linda</t>
  </si>
  <si>
    <t>FLORSEL</t>
  </si>
  <si>
    <t>Coop Farms</t>
  </si>
  <si>
    <t>Agroflora</t>
  </si>
  <si>
    <t>Stampsybox</t>
  </si>
  <si>
    <t>Flormare</t>
  </si>
  <si>
    <t>Kiara Preserved</t>
  </si>
  <si>
    <t>Agrinag</t>
  </si>
  <si>
    <t>Ecoador Floral</t>
  </si>
  <si>
    <t>Joysgarden</t>
  </si>
  <si>
    <t>Benitflor</t>
  </si>
  <si>
    <t>La Toscana Farms</t>
  </si>
  <si>
    <t>Montebello Roses</t>
  </si>
  <si>
    <t>Finca la Abuela</t>
  </si>
  <si>
    <t>Florisol Clarivel</t>
  </si>
  <si>
    <t>Florisol Piaveri</t>
  </si>
  <si>
    <t>Vabagro</t>
  </si>
  <si>
    <t>Aj Flowers</t>
  </si>
  <si>
    <t>Clarivel</t>
  </si>
  <si>
    <t>Jardin Piaveri</t>
  </si>
  <si>
    <t>Sunrite Farms</t>
  </si>
  <si>
    <t>Alinatura</t>
  </si>
  <si>
    <t>Angosacha Flowers</t>
  </si>
  <si>
    <t>Lavender World</t>
  </si>
  <si>
    <t>UPS</t>
  </si>
  <si>
    <t>Flowers and Co</t>
  </si>
  <si>
    <t>Summer Bouquet</t>
  </si>
  <si>
    <t>Fedex</t>
  </si>
  <si>
    <t>Star Roses 1</t>
  </si>
  <si>
    <t>Star Roses 2</t>
  </si>
  <si>
    <t>Star Roses 3</t>
  </si>
  <si>
    <t>Ikebana</t>
  </si>
  <si>
    <t>St Monica</t>
  </si>
  <si>
    <t>Anthonela Farms</t>
  </si>
  <si>
    <t xml:space="preserve">Optimum Flowers </t>
  </si>
  <si>
    <t>San Luis</t>
  </si>
  <si>
    <t>Rosas del Corazon</t>
  </si>
  <si>
    <t>Treasure Flowers</t>
  </si>
  <si>
    <t>HydranFlowers</t>
  </si>
  <si>
    <t>Alexandra Farms</t>
  </si>
  <si>
    <t>Premium Garden Roses</t>
  </si>
  <si>
    <t>Coordinacion</t>
  </si>
  <si>
    <t>Circasia SAS</t>
  </si>
  <si>
    <t>Vuelven SAS</t>
  </si>
  <si>
    <t>Matina</t>
  </si>
  <si>
    <t xml:space="preserve">Naranjo </t>
  </si>
  <si>
    <t>Casageo</t>
  </si>
  <si>
    <t>La Conchita</t>
  </si>
  <si>
    <t>Megaflor</t>
  </si>
  <si>
    <t>Agrivaldani</t>
  </si>
  <si>
    <t>Dummen Orange</t>
  </si>
  <si>
    <t>Luxus Blumen</t>
  </si>
  <si>
    <t>Jet Fresh</t>
  </si>
  <si>
    <t>Eden</t>
  </si>
  <si>
    <t>Día</t>
  </si>
  <si>
    <t>Fecha</t>
  </si>
  <si>
    <t>Vuelos</t>
  </si>
  <si>
    <t>Ecuador</t>
  </si>
  <si>
    <t>Colombia</t>
  </si>
  <si>
    <t>Fragmento</t>
  </si>
  <si>
    <t>Semana</t>
  </si>
  <si>
    <t>Open Market</t>
  </si>
  <si>
    <t>(M/T)</t>
  </si>
  <si>
    <t>Ana Miranda</t>
  </si>
  <si>
    <t>Ana</t>
  </si>
  <si>
    <t>amiranda</t>
  </si>
  <si>
    <t>(T/W)</t>
  </si>
  <si>
    <t>Andrés Baquero</t>
  </si>
  <si>
    <t>Andres</t>
  </si>
  <si>
    <t>abaquero</t>
  </si>
  <si>
    <t>(W/T)</t>
  </si>
  <si>
    <t>Benjamin Aspiazu</t>
  </si>
  <si>
    <t>Ben</t>
  </si>
  <si>
    <t>baspiazu</t>
  </si>
  <si>
    <t>Entrega</t>
  </si>
  <si>
    <t>César Aguilar</t>
  </si>
  <si>
    <t>Cesar</t>
  </si>
  <si>
    <t>caguilar</t>
  </si>
  <si>
    <t>Producto</t>
  </si>
  <si>
    <t>(T/F)</t>
  </si>
  <si>
    <t>Daniel Valencia</t>
  </si>
  <si>
    <t>Daniel</t>
  </si>
  <si>
    <t>dvalencia</t>
  </si>
  <si>
    <t>Daniela Cordova</t>
  </si>
  <si>
    <t>Daniela</t>
  </si>
  <si>
    <t>dcordova</t>
  </si>
  <si>
    <t>Ordenes Fijas</t>
  </si>
  <si>
    <t>Estefany Orces</t>
  </si>
  <si>
    <t>eorces</t>
  </si>
  <si>
    <t>Fincas</t>
  </si>
  <si>
    <t>Fausto Paramo</t>
  </si>
  <si>
    <t>Fausto</t>
  </si>
  <si>
    <t>fparamo</t>
  </si>
  <si>
    <t>Clientes</t>
  </si>
  <si>
    <t>John Ochoa</t>
  </si>
  <si>
    <t>John</t>
  </si>
  <si>
    <t>jochoa</t>
  </si>
  <si>
    <t>PO</t>
  </si>
  <si>
    <t>Joss Mera</t>
  </si>
  <si>
    <t>Joss</t>
  </si>
  <si>
    <t>cmera</t>
  </si>
  <si>
    <t>Kevin Ruiz</t>
  </si>
  <si>
    <t>Kevin</t>
  </si>
  <si>
    <t>kruiz</t>
  </si>
  <si>
    <t>María Jose Cabrera</t>
  </si>
  <si>
    <t>Majo</t>
  </si>
  <si>
    <t>mcabrera</t>
  </si>
  <si>
    <t> </t>
  </si>
  <si>
    <t>Paul Bodley</t>
  </si>
  <si>
    <t>Paul</t>
  </si>
  <si>
    <t>pbodley</t>
  </si>
  <si>
    <t>Rafael Baquero</t>
  </si>
  <si>
    <t>Ralph</t>
  </si>
  <si>
    <t>rbaquero</t>
  </si>
  <si>
    <t>Reporte Fincas</t>
  </si>
  <si>
    <t>Cantidad</t>
  </si>
  <si>
    <t>Vale</t>
  </si>
  <si>
    <t>vmontenegro</t>
  </si>
  <si>
    <t>Julieta Gonzales</t>
  </si>
  <si>
    <t>jgonzales</t>
  </si>
  <si>
    <t>Cliente</t>
  </si>
  <si>
    <t>David Enriquez</t>
  </si>
  <si>
    <t>David</t>
  </si>
  <si>
    <t>denriquez</t>
  </si>
  <si>
    <t>Francisco Valencia</t>
  </si>
  <si>
    <t>Fran</t>
  </si>
  <si>
    <t>fvalencia</t>
  </si>
  <si>
    <t>Categoría</t>
  </si>
  <si>
    <t>Composición</t>
  </si>
  <si>
    <t>Total Tallos</t>
  </si>
  <si>
    <t>Compra</t>
  </si>
  <si>
    <t>Venta</t>
  </si>
  <si>
    <t>Week:</t>
  </si>
  <si>
    <t>Orden:</t>
  </si>
  <si>
    <t>Order</t>
  </si>
  <si>
    <t>Frequency</t>
  </si>
  <si>
    <t>Client</t>
  </si>
  <si>
    <t>Price</t>
  </si>
  <si>
    <t>Farm</t>
  </si>
  <si>
    <t>Reporte por Cajas</t>
  </si>
  <si>
    <t>Farm:</t>
  </si>
  <si>
    <t xml:space="preserve">Week: </t>
  </si>
  <si>
    <t>Qty.</t>
  </si>
  <si>
    <t>Pkg.</t>
  </si>
  <si>
    <t>Length</t>
  </si>
  <si>
    <t>Stems</t>
  </si>
  <si>
    <t>Comment</t>
  </si>
  <si>
    <t>Orden Fija</t>
  </si>
  <si>
    <t>TALLOS</t>
  </si>
  <si>
    <t xml:space="preserve">     Open Market Preview</t>
  </si>
  <si>
    <t>Finca:</t>
  </si>
  <si>
    <t>Orden</t>
  </si>
  <si>
    <t>Per Box</t>
  </si>
  <si>
    <t>Reporte de Cajas</t>
  </si>
  <si>
    <t>Red</t>
  </si>
  <si>
    <t>Medium Pink</t>
  </si>
  <si>
    <t>Hot Pink</t>
  </si>
  <si>
    <t>White</t>
  </si>
  <si>
    <t>Peach</t>
  </si>
  <si>
    <t>Orange</t>
  </si>
  <si>
    <t>Yellow</t>
  </si>
  <si>
    <t>Green</t>
  </si>
  <si>
    <t>Light Pink</t>
  </si>
  <si>
    <t>Cream</t>
  </si>
  <si>
    <t>Sand</t>
  </si>
  <si>
    <t>Light Blue</t>
  </si>
  <si>
    <t>Mustard</t>
  </si>
  <si>
    <t>Coral</t>
  </si>
  <si>
    <t>Spring</t>
  </si>
  <si>
    <t>Bronze</t>
  </si>
  <si>
    <t>Burgundy</t>
  </si>
  <si>
    <t>Purple</t>
  </si>
  <si>
    <t>Blue</t>
  </si>
  <si>
    <t>Earth</t>
  </si>
  <si>
    <t>Bicolor</t>
  </si>
  <si>
    <t>Compositions</t>
  </si>
  <si>
    <t>Christmas</t>
  </si>
  <si>
    <t>Easter</t>
  </si>
  <si>
    <t>Fall</t>
  </si>
  <si>
    <t>Tinited</t>
  </si>
  <si>
    <t>Rainbow</t>
  </si>
  <si>
    <t>Assorted Colors</t>
  </si>
  <si>
    <t>Colors</t>
  </si>
  <si>
    <t>Valentines</t>
  </si>
  <si>
    <t>Mothers Day</t>
  </si>
  <si>
    <t>Halloween</t>
  </si>
  <si>
    <t>American</t>
  </si>
  <si>
    <t>Lista Actualizada 4/Sep/2026</t>
  </si>
  <si>
    <t>El Light Pink puede ser Be Sweet o Christa</t>
  </si>
  <si>
    <t>Arriving</t>
  </si>
  <si>
    <t>(F)</t>
  </si>
  <si>
    <t>Nivalia QB</t>
  </si>
  <si>
    <t>Nivalia HB</t>
  </si>
  <si>
    <t>Nivalia HB J</t>
  </si>
  <si>
    <t>Nivalia</t>
  </si>
  <si>
    <t>Vincents Choice (T/F)</t>
  </si>
  <si>
    <t>6 Tender Love/6 Charm/6 Trophy x 18 (T/F)</t>
  </si>
  <si>
    <t>Florisol QB Fillers</t>
  </si>
  <si>
    <t>Florisol QB Roses</t>
  </si>
  <si>
    <t>Cabaret</t>
  </si>
  <si>
    <t>Caja Finca</t>
  </si>
  <si>
    <t>Op</t>
  </si>
  <si>
    <t>Tefa</t>
  </si>
  <si>
    <t xml:space="preserve">1 Tefa [Isabellas Flowers &amp; Designs GA] </t>
  </si>
  <si>
    <t>1 Tefa [Mays Floral NV]</t>
  </si>
  <si>
    <t>1 Tefa [Nags Head NC]</t>
  </si>
  <si>
    <t>1 Tefa (*Impar) [Jefferson Florist NC]</t>
  </si>
  <si>
    <t>Juli</t>
  </si>
  <si>
    <t>Garden Roses 40/50cm</t>
  </si>
  <si>
    <t>2 Ben (*Impar) [The Bloom Flowery WA]</t>
  </si>
  <si>
    <t>1 Joss [The Possie Shoppe]</t>
  </si>
  <si>
    <t>1 Joss (*Impar) [The Possie Shoppe]</t>
  </si>
  <si>
    <t>Treasure Flowers QB</t>
  </si>
  <si>
    <t>Caja EC</t>
  </si>
  <si>
    <t>Size</t>
  </si>
  <si>
    <t>10cm</t>
  </si>
  <si>
    <t>20cm</t>
  </si>
  <si>
    <t>30cm</t>
  </si>
  <si>
    <t>Category</t>
  </si>
  <si>
    <t>Standard Rose</t>
  </si>
  <si>
    <t>Garden Rose</t>
  </si>
  <si>
    <t>Garden Alike Rose</t>
  </si>
  <si>
    <t>David Austin Garden Rose</t>
  </si>
  <si>
    <t>Victorian Garden Rose</t>
  </si>
  <si>
    <t>Garden Spray Rose</t>
  </si>
  <si>
    <t>Spray Rose</t>
  </si>
  <si>
    <t>Ageratum</t>
  </si>
  <si>
    <t>Amaranthus Hanging</t>
  </si>
  <si>
    <t>Amarathus Upright</t>
  </si>
  <si>
    <t>Ammi Majus</t>
  </si>
  <si>
    <t>Anemones</t>
  </si>
  <si>
    <t>Astrantias</t>
  </si>
  <si>
    <t>Butterfly Lilies</t>
  </si>
  <si>
    <t>Button</t>
  </si>
  <si>
    <t>Campanulas</t>
  </si>
  <si>
    <t>Carnations</t>
  </si>
  <si>
    <t>Chrysanthemum</t>
  </si>
  <si>
    <t>Combo Box</t>
  </si>
  <si>
    <t>Craspedias</t>
  </si>
  <si>
    <t>Cushions</t>
  </si>
  <si>
    <t>Daisies</t>
  </si>
  <si>
    <t>Daysi</t>
  </si>
  <si>
    <t>Delphinium</t>
  </si>
  <si>
    <t>Dianthus</t>
  </si>
  <si>
    <t>Dubium</t>
  </si>
  <si>
    <t>Eryngium</t>
  </si>
  <si>
    <t>Football Mum</t>
  </si>
  <si>
    <t>Gerbera</t>
  </si>
  <si>
    <t>Greenery</t>
  </si>
  <si>
    <t>Gypsophila</t>
  </si>
  <si>
    <t>Hydrangeas</t>
  </si>
  <si>
    <t>LA Lilies</t>
  </si>
  <si>
    <t>Lepidium</t>
  </si>
  <si>
    <t>Lisianthus</t>
  </si>
  <si>
    <t>Mums Disbud Balls</t>
  </si>
  <si>
    <t>Novelties</t>
  </si>
  <si>
    <t>Oriental Lilies</t>
  </si>
  <si>
    <t>OT Lilies</t>
  </si>
  <si>
    <t>Pompom</t>
  </si>
  <si>
    <t>Roselilies</t>
  </si>
  <si>
    <t>Spider Mum</t>
  </si>
  <si>
    <t>Sunflower</t>
  </si>
  <si>
    <t>Sweet Pea</t>
  </si>
  <si>
    <t>Tweedia</t>
  </si>
  <si>
    <t>Color 2</t>
  </si>
  <si>
    <t>Color 1</t>
  </si>
  <si>
    <t>Markup UK</t>
  </si>
  <si>
    <t>Venta UK</t>
  </si>
  <si>
    <t>SB UK</t>
  </si>
  <si>
    <t>EB UK</t>
  </si>
  <si>
    <t>QB UK</t>
  </si>
  <si>
    <t>HB UK</t>
  </si>
  <si>
    <t>EB2 UK</t>
  </si>
  <si>
    <t>QB2 UK</t>
  </si>
  <si>
    <t>Compra UK</t>
  </si>
  <si>
    <t>Caja UK</t>
  </si>
  <si>
    <t>Op UK</t>
  </si>
  <si>
    <t>IMG</t>
  </si>
  <si>
    <t>Absolute in Pink</t>
  </si>
  <si>
    <t>Florecal EB Grande</t>
  </si>
  <si>
    <t>Florecal QB Grande</t>
  </si>
  <si>
    <t>Florecal EB Pequeño</t>
  </si>
  <si>
    <t>Florecal QB Pequeño</t>
  </si>
  <si>
    <t>1 Majo [The Florist at Moana NV]</t>
  </si>
  <si>
    <t>1 Majo [The Florist at Moana NV];1 Majo [United Family Flower NY]</t>
  </si>
  <si>
    <t>1 Majo (*Par) [The Florist at Moana NV]</t>
  </si>
  <si>
    <t>Stock Super</t>
  </si>
  <si>
    <t>Blush</t>
  </si>
  <si>
    <t>Fuchsia</t>
  </si>
  <si>
    <t>Reddish Purple</t>
  </si>
  <si>
    <t>Bells of Ireland</t>
  </si>
  <si>
    <t>Molucella</t>
  </si>
  <si>
    <t>Aloha</t>
  </si>
  <si>
    <t>Atlas</t>
  </si>
  <si>
    <t>Black Baccara</t>
  </si>
  <si>
    <t>Brighton</t>
  </si>
  <si>
    <t>Bromo</t>
  </si>
  <si>
    <t>Cadillac</t>
  </si>
  <si>
    <t>Carnelian</t>
  </si>
  <si>
    <t>Explorer</t>
  </si>
  <si>
    <t>Fortune</t>
  </si>
  <si>
    <t>Free Spirit</t>
  </si>
  <si>
    <t>Goldfinch</t>
  </si>
  <si>
    <t>Govinda</t>
  </si>
  <si>
    <t>Hot Explorer</t>
  </si>
  <si>
    <t>Jacaranda</t>
  </si>
  <si>
    <t>Jet Set</t>
  </si>
  <si>
    <t>Lola</t>
  </si>
  <si>
    <t>Magic Times</t>
  </si>
  <si>
    <t>Matilda</t>
  </si>
  <si>
    <t>Menta</t>
  </si>
  <si>
    <t>Momentum</t>
  </si>
  <si>
    <t>Mondial</t>
  </si>
  <si>
    <t>Moody Blues</t>
  </si>
  <si>
    <t>Moonstone</t>
  </si>
  <si>
    <t>Nexus</t>
  </si>
  <si>
    <t>Orange Crush</t>
  </si>
  <si>
    <t>Phoenix</t>
  </si>
  <si>
    <t>Pink Amaretto</t>
  </si>
  <si>
    <t>Pink Floyd</t>
  </si>
  <si>
    <t>Pink Love</t>
  </si>
  <si>
    <t>Pink Mondial</t>
  </si>
  <si>
    <t>Quicksand</t>
  </si>
  <si>
    <t>Red Panther</t>
  </si>
  <si>
    <t>Redvolution</t>
  </si>
  <si>
    <t>Remembrance</t>
  </si>
  <si>
    <t>Selfie</t>
  </si>
  <si>
    <t>Serenade</t>
  </si>
  <si>
    <t>Shimmer</t>
  </si>
  <si>
    <t>Star Platinum</t>
  </si>
  <si>
    <t>Sweet 4 Love</t>
  </si>
  <si>
    <t>VIPink</t>
  </si>
  <si>
    <t>Violet Hill</t>
  </si>
  <si>
    <t>0 Cesar [Joss - Filogonia Lopez]</t>
  </si>
  <si>
    <t>Regular Cut White</t>
  </si>
  <si>
    <t>Regular Cut Purple</t>
  </si>
  <si>
    <t>Regular Cut Peach</t>
  </si>
  <si>
    <t>Regular Cut Misty Blue</t>
  </si>
  <si>
    <t>Regular Cut Yellow</t>
  </si>
  <si>
    <t>Open Cut White</t>
  </si>
  <si>
    <t>Open Cut Purple</t>
  </si>
  <si>
    <t>Open Cut Peach</t>
  </si>
  <si>
    <t>Open Cut Misty Blue</t>
  </si>
  <si>
    <t>Open Cut Yellow</t>
  </si>
  <si>
    <t>Regular Cut Light Pink</t>
  </si>
  <si>
    <t>0 Cesar (*Par) [Estefany - State Fair Floral MO]</t>
  </si>
  <si>
    <t>1 Tefa (*Par) [The Orchid Design Florist HI]</t>
  </si>
  <si>
    <t>60 Alstro/20 Gypso/20 Ruscus/10 Ortientals/10 Roselilies x 120 (T/F)</t>
  </si>
  <si>
    <t>3 Daniel</t>
  </si>
  <si>
    <t>PO106209</t>
  </si>
  <si>
    <t>PO106309</t>
  </si>
  <si>
    <t>PO106210</t>
  </si>
  <si>
    <t>PO106211</t>
  </si>
  <si>
    <t>PO106212</t>
  </si>
  <si>
    <t>PO106213</t>
  </si>
  <si>
    <t>PO106214</t>
  </si>
  <si>
    <t>PO106215</t>
  </si>
  <si>
    <t>PO106216</t>
  </si>
  <si>
    <t>PO106217</t>
  </si>
  <si>
    <t>PO106218</t>
  </si>
  <si>
    <t>PO106219</t>
  </si>
  <si>
    <t>PO106220</t>
  </si>
  <si>
    <t>PO106221</t>
  </si>
  <si>
    <t>PO106222</t>
  </si>
  <si>
    <t>PO106223</t>
  </si>
  <si>
    <t>PO106224</t>
  </si>
  <si>
    <t>PO106225</t>
  </si>
  <si>
    <t>PO106226</t>
  </si>
  <si>
    <t>PO106227</t>
  </si>
  <si>
    <t>PO106228</t>
  </si>
  <si>
    <t>PO106229</t>
  </si>
  <si>
    <t>PO106230</t>
  </si>
  <si>
    <t>PO106231</t>
  </si>
  <si>
    <t>PO106232</t>
  </si>
  <si>
    <t>PO106233</t>
  </si>
  <si>
    <t>PO106234</t>
  </si>
  <si>
    <t>PO106235</t>
  </si>
  <si>
    <t>PO106236</t>
  </si>
  <si>
    <t>PO106237</t>
  </si>
  <si>
    <t>PO106238</t>
  </si>
  <si>
    <t>PO106239</t>
  </si>
  <si>
    <t>PO106240</t>
  </si>
  <si>
    <t>PO106241</t>
  </si>
  <si>
    <t>PO106242</t>
  </si>
  <si>
    <t>PO106243</t>
  </si>
  <si>
    <t>PO106244</t>
  </si>
  <si>
    <t>PO106245</t>
  </si>
  <si>
    <t>PO106246</t>
  </si>
  <si>
    <t>PO106247</t>
  </si>
  <si>
    <t>PO106248</t>
  </si>
  <si>
    <t>PO106249</t>
  </si>
  <si>
    <t>PO106250</t>
  </si>
  <si>
    <t>PO106251</t>
  </si>
  <si>
    <t>PO106252</t>
  </si>
  <si>
    <t>PO106253</t>
  </si>
  <si>
    <t>PO106254</t>
  </si>
  <si>
    <t>PO106255</t>
  </si>
  <si>
    <t>PO106256</t>
  </si>
  <si>
    <t>PO106257</t>
  </si>
  <si>
    <t>PO106258</t>
  </si>
  <si>
    <t>PO106259</t>
  </si>
  <si>
    <t>PO106260</t>
  </si>
  <si>
    <t>PO106261</t>
  </si>
  <si>
    <t>PO106262</t>
  </si>
  <si>
    <t>PO106263</t>
  </si>
  <si>
    <t>PO106264</t>
  </si>
  <si>
    <t>PO106265</t>
  </si>
  <si>
    <t>PO106266</t>
  </si>
  <si>
    <t>PO106267</t>
  </si>
  <si>
    <t>PO106268</t>
  </si>
  <si>
    <t>PO106269</t>
  </si>
  <si>
    <t>PO106270</t>
  </si>
  <si>
    <t>PO106271</t>
  </si>
  <si>
    <t>PO106272</t>
  </si>
  <si>
    <t>PO106273</t>
  </si>
  <si>
    <t>PO106274</t>
  </si>
  <si>
    <t>PO106275</t>
  </si>
  <si>
    <t>PO106276</t>
  </si>
  <si>
    <t>PO106277</t>
  </si>
  <si>
    <t>PO106278</t>
  </si>
  <si>
    <t>PO106279</t>
  </si>
  <si>
    <t>PO106280</t>
  </si>
  <si>
    <t>PO106281</t>
  </si>
  <si>
    <t>PO106282</t>
  </si>
  <si>
    <t>PO106283</t>
  </si>
  <si>
    <t>PO106284</t>
  </si>
  <si>
    <t>PO106285</t>
  </si>
  <si>
    <t>PO106286</t>
  </si>
  <si>
    <t>PO106287</t>
  </si>
  <si>
    <t>PO106288</t>
  </si>
  <si>
    <t>PO106289</t>
  </si>
  <si>
    <t>PO106290</t>
  </si>
  <si>
    <t>PO106291</t>
  </si>
  <si>
    <t>PO106292</t>
  </si>
  <si>
    <t>PO106293</t>
  </si>
  <si>
    <t>PO106294</t>
  </si>
  <si>
    <t>PO106295</t>
  </si>
  <si>
    <t>PO106296</t>
  </si>
  <si>
    <t>PO106297</t>
  </si>
  <si>
    <t>PO106298</t>
  </si>
  <si>
    <t>PO106299</t>
  </si>
  <si>
    <t>PO106300</t>
  </si>
  <si>
    <t>PO106301</t>
  </si>
  <si>
    <t>PO106302</t>
  </si>
  <si>
    <t>PO106303</t>
  </si>
  <si>
    <t>PO106304</t>
  </si>
  <si>
    <t>PO106305</t>
  </si>
  <si>
    <t>PO106306</t>
  </si>
  <si>
    <t>PO106307</t>
  </si>
  <si>
    <t>PO106308</t>
  </si>
  <si>
    <t>PO106310</t>
  </si>
  <si>
    <t>PO106311</t>
  </si>
  <si>
    <t>PO106312</t>
  </si>
  <si>
    <t>PO106313</t>
  </si>
  <si>
    <t>PO106314</t>
  </si>
  <si>
    <t>PO106315</t>
  </si>
  <si>
    <t>PO106316</t>
  </si>
  <si>
    <t>PO106317</t>
  </si>
  <si>
    <t>PO106318</t>
  </si>
  <si>
    <t>PO106319</t>
  </si>
  <si>
    <t>PO106320</t>
  </si>
  <si>
    <t>PO106321</t>
  </si>
  <si>
    <t>PO106322</t>
  </si>
  <si>
    <t>PO106323</t>
  </si>
  <si>
    <t>PO106324</t>
  </si>
  <si>
    <t>PO106325</t>
  </si>
  <si>
    <t>PO106326</t>
  </si>
  <si>
    <t>PO106327</t>
  </si>
  <si>
    <t>PO106328</t>
  </si>
  <si>
    <t>PO106329</t>
  </si>
  <si>
    <t>PO106330</t>
  </si>
  <si>
    <t>PO106331</t>
  </si>
  <si>
    <t>PO106332</t>
  </si>
  <si>
    <t>PO106333</t>
  </si>
  <si>
    <t>PO106334</t>
  </si>
  <si>
    <t>PO106335</t>
  </si>
  <si>
    <t>PO106336</t>
  </si>
  <si>
    <t>PO106337</t>
  </si>
  <si>
    <t>PO106338</t>
  </si>
  <si>
    <t>PO106339</t>
  </si>
  <si>
    <t>PO106340</t>
  </si>
  <si>
    <t>PO106341</t>
  </si>
  <si>
    <t>PO106342</t>
  </si>
  <si>
    <t>PO106343</t>
  </si>
  <si>
    <t>PO106344</t>
  </si>
  <si>
    <t>PO106345</t>
  </si>
  <si>
    <t>PO106346</t>
  </si>
  <si>
    <t>PO106347</t>
  </si>
  <si>
    <t>PO106348</t>
  </si>
  <si>
    <t>PO106349</t>
  </si>
  <si>
    <t>PO106350</t>
  </si>
  <si>
    <t>PO106351</t>
  </si>
  <si>
    <t>PO106352</t>
  </si>
  <si>
    <t>PO106353</t>
  </si>
  <si>
    <t>PO106354</t>
  </si>
  <si>
    <t>PO106355</t>
  </si>
  <si>
    <t>PO106356</t>
  </si>
  <si>
    <t>PO106357</t>
  </si>
  <si>
    <t>PO106358</t>
  </si>
  <si>
    <t>PO106359</t>
  </si>
  <si>
    <t>PO106360</t>
  </si>
  <si>
    <t>PO106361</t>
  </si>
  <si>
    <t>PO106362</t>
  </si>
  <si>
    <t>PO106363</t>
  </si>
  <si>
    <t>PO106364</t>
  </si>
  <si>
    <t>PO106365</t>
  </si>
  <si>
    <t>PO106366</t>
  </si>
  <si>
    <t>PO106367</t>
  </si>
  <si>
    <t>PO106368</t>
  </si>
  <si>
    <t>PO106369</t>
  </si>
  <si>
    <t>PO106370</t>
  </si>
  <si>
    <t>PO106371</t>
  </si>
  <si>
    <t>PO106372</t>
  </si>
  <si>
    <t>PO106373</t>
  </si>
  <si>
    <t>PO106374</t>
  </si>
  <si>
    <t>PO106375</t>
  </si>
  <si>
    <t>PO106376</t>
  </si>
  <si>
    <t>PO106377</t>
  </si>
  <si>
    <t>PO106378</t>
  </si>
  <si>
    <t>PO106379</t>
  </si>
  <si>
    <t>PO106380</t>
  </si>
  <si>
    <t>PO106381</t>
  </si>
  <si>
    <t>PO106382</t>
  </si>
  <si>
    <t>PO106383</t>
  </si>
  <si>
    <t>PO106384</t>
  </si>
  <si>
    <t>PO106385</t>
  </si>
  <si>
    <t>PO106386</t>
  </si>
  <si>
    <t>PO106387</t>
  </si>
  <si>
    <t>PO106388</t>
  </si>
  <si>
    <t>PO106389</t>
  </si>
  <si>
    <t>PO106390</t>
  </si>
  <si>
    <t>PO106391</t>
  </si>
  <si>
    <t>PO106392</t>
  </si>
  <si>
    <t>PO106393</t>
  </si>
  <si>
    <t>PO106394</t>
  </si>
  <si>
    <t>PO106395</t>
  </si>
  <si>
    <t>PO106396</t>
  </si>
  <si>
    <t>PO106397</t>
  </si>
  <si>
    <t>PO106398</t>
  </si>
  <si>
    <t>PO106399</t>
  </si>
  <si>
    <t>PO106400</t>
  </si>
  <si>
    <t>PO106401</t>
  </si>
  <si>
    <t>PO106402</t>
  </si>
  <si>
    <t>PO106403</t>
  </si>
  <si>
    <t>PO106404</t>
  </si>
  <si>
    <t>PO106405</t>
  </si>
  <si>
    <t>PO106406</t>
  </si>
  <si>
    <t>PO106407</t>
  </si>
  <si>
    <t>PO106408</t>
  </si>
  <si>
    <t>PO106409</t>
  </si>
  <si>
    <t>PO106410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</si>
</sst>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&quot;$&quot;* #,##0.00_-;\-&quot;$&quot;* #,##0.00_-;_-&quot;$&quot;* &quot;-&quot;??_-;_-@_-"/>
    <numFmt numFmtId="165" formatCode="0.0000"/>
    <numFmt numFmtId="166" formatCode="yyyy\-mm\-dd;@"/>
    <numFmt numFmtId="167" formatCode="[$-C0A]dddd\ dd/mm/yyyy"/>
    <numFmt numFmtId="168" formatCode="&quot;$&quot;#,##0.00"/>
    <numFmt numFmtId="169" formatCode="[$-80A]dddd\,\ dd&quot; de &quot;mmmm&quot; de &quot;yyyy;@"/>
    <numFmt numFmtId="170" formatCode="0\ &quot;cm&quot;"/>
    <numFmt numFmtId="171" formatCode="[$£-809]#,##0.00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2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rgb="FFDA251C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1B35B"/>
        <bgColor indexed="64"/>
      </patternFill>
    </fill>
    <fill>
      <patternFill patternType="solid">
        <fgColor rgb="FFF98FC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98FC4"/>
        <bgColor rgb="FF000000"/>
      </patternFill>
    </fill>
    <fill>
      <patternFill patternType="solid">
        <fgColor rgb="FFFFE1FF"/>
        <bgColor rgb="FF000000"/>
      </patternFill>
    </fill>
    <fill>
      <patternFill patternType="solid">
        <fgColor rgb="FFE04390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074C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002868"/>
        <bgColor indexed="64"/>
      </patternFill>
    </fill>
    <fill>
      <patternFill patternType="solid">
        <fgColor theme="9" tint="-0.249977111117893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rgb="FF000000"/>
      </top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/>
      <top style="thin">
        <color rgb="FF5B9BD5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auto="1"/>
      </top>
      <bottom style="medium">
        <color auto="1"/>
      </bottom>
      <diagonal/>
    </border>
  </borders>
  <cellStyleXfs count="6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63">
    <xf numFmtId="0" fontId="0" fillId="0" borderId="0" xfId="0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/>
    <xf numFmtId="0" fontId="18" fillId="35" borderId="17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0" xfId="0" applyBorder="1"/>
    <xf numFmtId="0" fontId="18" fillId="0" borderId="23" xfId="0" applyFont="1" applyBorder="1" applyAlignment="1">
      <alignment horizontal="center"/>
    </xf>
    <xf numFmtId="0" fontId="0" fillId="39" borderId="27" xfId="0" applyFill="1" applyBorder="1" applyAlignment="1">
      <alignment horizontal="center"/>
    </xf>
    <xf numFmtId="2" fontId="18" fillId="35" borderId="17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2" fontId="18" fillId="0" borderId="14" xfId="0" applyNumberFormat="1" applyFont="1" applyBorder="1" applyAlignment="1">
      <alignment horizontal="center"/>
    </xf>
    <xf numFmtId="2" fontId="18" fillId="0" borderId="0" xfId="0" applyNumberFormat="1" applyFont="1" applyAlignment="1">
      <alignment horizontal="center"/>
    </xf>
    <xf numFmtId="2" fontId="22" fillId="0" borderId="14" xfId="0" applyNumberFormat="1" applyFont="1" applyBorder="1" applyAlignment="1">
      <alignment horizontal="center"/>
    </xf>
    <xf numFmtId="0" fontId="21" fillId="0" borderId="13" xfId="0" applyFont="1" applyBorder="1"/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 applyAlignment="1">
      <alignment horizontal="center"/>
    </xf>
    <xf numFmtId="0" fontId="24" fillId="40" borderId="27" xfId="0" applyFont="1" applyFill="1" applyBorder="1"/>
    <xf numFmtId="0" fontId="24" fillId="0" borderId="33" xfId="0" applyFont="1" applyBorder="1"/>
    <xf numFmtId="0" fontId="24" fillId="41" borderId="33" xfId="0" applyFont="1" applyFill="1" applyBorder="1"/>
    <xf numFmtId="0" fontId="24" fillId="41" borderId="29" xfId="0" applyFont="1" applyFill="1" applyBorder="1"/>
    <xf numFmtId="0" fontId="24" fillId="0" borderId="0" xfId="0" applyFont="1"/>
    <xf numFmtId="0" fontId="24" fillId="42" borderId="27" xfId="0" applyFont="1" applyFill="1" applyBorder="1"/>
    <xf numFmtId="0" fontId="24" fillId="43" borderId="33" xfId="0" applyFont="1" applyFill="1" applyBorder="1"/>
    <xf numFmtId="0" fontId="24" fillId="43" borderId="29" xfId="0" applyFont="1" applyFill="1" applyBorder="1"/>
    <xf numFmtId="0" fontId="24" fillId="44" borderId="27" xfId="0" applyFont="1" applyFill="1" applyBorder="1"/>
    <xf numFmtId="0" fontId="24" fillId="45" borderId="33" xfId="0" applyFont="1" applyFill="1" applyBorder="1"/>
    <xf numFmtId="166" fontId="18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18" fillId="0" borderId="0" xfId="0" applyFont="1" applyAlignment="1">
      <alignment horizontal="left"/>
    </xf>
    <xf numFmtId="0" fontId="25" fillId="0" borderId="0" xfId="0" applyFont="1"/>
    <xf numFmtId="1" fontId="26" fillId="0" borderId="0" xfId="0" applyNumberFormat="1" applyFont="1" applyAlignment="1">
      <alignment horizontal="center"/>
    </xf>
    <xf numFmtId="0" fontId="28" fillId="0" borderId="0" xfId="0" applyFont="1"/>
    <xf numFmtId="2" fontId="28" fillId="0" borderId="0" xfId="0" applyNumberFormat="1" applyFont="1"/>
    <xf numFmtId="10" fontId="28" fillId="0" borderId="0" xfId="42" applyNumberFormat="1" applyFont="1" applyFill="1" applyBorder="1"/>
    <xf numFmtId="0" fontId="29" fillId="0" borderId="0" xfId="0" applyFont="1"/>
    <xf numFmtId="0" fontId="30" fillId="35" borderId="10" xfId="0" applyFont="1" applyFill="1" applyBorder="1" applyAlignment="1">
      <alignment horizontal="left" vertical="center"/>
    </xf>
    <xf numFmtId="0" fontId="30" fillId="35" borderId="14" xfId="0" applyFont="1" applyFill="1" applyBorder="1" applyAlignment="1">
      <alignment horizontal="left" vertical="center"/>
    </xf>
    <xf numFmtId="0" fontId="18" fillId="35" borderId="10" xfId="0" applyFont="1" applyFill="1" applyBorder="1" applyAlignment="1">
      <alignment horizontal="right"/>
    </xf>
    <xf numFmtId="0" fontId="18" fillId="35" borderId="10" xfId="0" applyFont="1" applyFill="1" applyBorder="1" applyAlignment="1">
      <alignment horizontal="right" vertical="center"/>
    </xf>
    <xf numFmtId="0" fontId="0" fillId="36" borderId="34" xfId="0" applyFill="1" applyBorder="1" applyAlignment="1">
      <alignment horizontal="center"/>
    </xf>
    <xf numFmtId="2" fontId="18" fillId="36" borderId="46" xfId="0" applyNumberFormat="1" applyFont="1" applyFill="1" applyBorder="1" applyAlignment="1">
      <alignment horizontal="center"/>
    </xf>
    <xf numFmtId="0" fontId="0" fillId="36" borderId="0" xfId="0" applyFill="1" applyAlignment="1">
      <alignment horizontal="center"/>
    </xf>
    <xf numFmtId="2" fontId="18" fillId="36" borderId="0" xfId="0" applyNumberFormat="1" applyFont="1" applyFill="1" applyAlignment="1">
      <alignment horizontal="center"/>
    </xf>
    <xf numFmtId="0" fontId="0" fillId="36" borderId="42" xfId="0" applyFill="1" applyBorder="1" applyAlignment="1">
      <alignment horizontal="center"/>
    </xf>
    <xf numFmtId="2" fontId="18" fillId="36" borderId="43" xfId="0" applyNumberFormat="1" applyFont="1" applyFill="1" applyBorder="1" applyAlignment="1">
      <alignment horizontal="center"/>
    </xf>
    <xf numFmtId="0" fontId="18" fillId="35" borderId="28" xfId="0" applyFont="1" applyFill="1" applyBorder="1" applyAlignment="1">
      <alignment horizontal="center"/>
    </xf>
    <xf numFmtId="0" fontId="0" fillId="0" borderId="48" xfId="0" applyBorder="1"/>
    <xf numFmtId="0" fontId="0" fillId="0" borderId="37" xfId="0" applyBorder="1"/>
    <xf numFmtId="0" fontId="0" fillId="0" borderId="38" xfId="0" applyBorder="1"/>
    <xf numFmtId="0" fontId="2" fillId="33" borderId="0" xfId="0" applyFont="1" applyFill="1"/>
    <xf numFmtId="0" fontId="2" fillId="33" borderId="0" xfId="0" applyFont="1" applyFill="1" applyAlignment="1">
      <alignment horizontal="center"/>
    </xf>
    <xf numFmtId="167" fontId="2" fillId="33" borderId="0" xfId="0" applyNumberFormat="1" applyFont="1" applyFill="1" applyAlignment="1">
      <alignment horizontal="center"/>
    </xf>
    <xf numFmtId="0" fontId="31" fillId="33" borderId="0" xfId="0" applyFont="1" applyFill="1" applyAlignment="1">
      <alignment horizontal="center"/>
    </xf>
    <xf numFmtId="0" fontId="2" fillId="0" borderId="0" xfId="0" applyFont="1"/>
    <xf numFmtId="0" fontId="32" fillId="33" borderId="13" xfId="0" applyFont="1" applyFill="1" applyBorder="1" applyAlignment="1">
      <alignment vertical="center"/>
    </xf>
    <xf numFmtId="0" fontId="32" fillId="33" borderId="10" xfId="0" applyFont="1" applyFill="1" applyBorder="1" applyAlignment="1">
      <alignment vertical="center"/>
    </xf>
    <xf numFmtId="0" fontId="32" fillId="33" borderId="14" xfId="0" applyFont="1" applyFill="1" applyBorder="1" applyAlignment="1">
      <alignment vertical="center"/>
    </xf>
    <xf numFmtId="0" fontId="33" fillId="34" borderId="16" xfId="0" applyFont="1" applyFill="1" applyBorder="1" applyAlignment="1">
      <alignment horizontal="center" vertical="center"/>
    </xf>
    <xf numFmtId="0" fontId="33" fillId="34" borderId="16" xfId="0" applyFont="1" applyFill="1" applyBorder="1" applyAlignment="1">
      <alignment horizontal="left" vertical="center"/>
    </xf>
    <xf numFmtId="9" fontId="33" fillId="34" borderId="16" xfId="0" applyNumberFormat="1" applyFont="1" applyFill="1" applyBorder="1" applyAlignment="1">
      <alignment horizontal="center" vertical="center"/>
    </xf>
    <xf numFmtId="168" fontId="33" fillId="34" borderId="16" xfId="0" applyNumberFormat="1" applyFont="1" applyFill="1" applyBorder="1" applyAlignment="1">
      <alignment horizontal="center" vertical="center"/>
    </xf>
    <xf numFmtId="167" fontId="33" fillId="34" borderId="16" xfId="0" applyNumberFormat="1" applyFont="1" applyFill="1" applyBorder="1" applyAlignment="1">
      <alignment horizontal="center" vertical="center"/>
    </xf>
    <xf numFmtId="0" fontId="34" fillId="33" borderId="3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9" fontId="2" fillId="0" borderId="0" xfId="0" applyNumberFormat="1" applyFont="1"/>
    <xf numFmtId="168" fontId="31" fillId="0" borderId="0" xfId="0" applyNumberFormat="1" applyFont="1"/>
    <xf numFmtId="0" fontId="32" fillId="33" borderId="10" xfId="0" applyFont="1" applyFill="1" applyBorder="1" applyAlignment="1">
      <alignment horizontal="center" vertical="center"/>
    </xf>
    <xf numFmtId="0" fontId="34" fillId="33" borderId="16" xfId="0" applyFont="1" applyFill="1" applyBorder="1" applyAlignment="1">
      <alignment horizontal="center"/>
    </xf>
    <xf numFmtId="0" fontId="35" fillId="46" borderId="42" xfId="0" applyFont="1" applyFill="1" applyBorder="1" applyAlignment="1">
      <alignment horizontal="right" vertical="center"/>
    </xf>
    <xf numFmtId="0" fontId="18" fillId="0" borderId="0" xfId="0" applyFont="1"/>
    <xf numFmtId="9" fontId="18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36" fillId="0" borderId="0" xfId="0" applyNumberFormat="1" applyFont="1" applyAlignment="1">
      <alignment horizontal="center"/>
    </xf>
    <xf numFmtId="0" fontId="0" fillId="0" borderId="42" xfId="0" applyBorder="1" applyAlignment="1">
      <alignment horizontal="left"/>
    </xf>
    <xf numFmtId="0" fontId="0" fillId="0" borderId="42" xfId="0" applyBorder="1" applyAlignment="1">
      <alignment horizontal="center"/>
    </xf>
    <xf numFmtId="9" fontId="0" fillId="36" borderId="34" xfId="0" applyNumberFormat="1" applyFill="1" applyBorder="1" applyAlignment="1">
      <alignment horizontal="center"/>
    </xf>
    <xf numFmtId="9" fontId="18" fillId="35" borderId="17" xfId="0" applyNumberFormat="1" applyFont="1" applyFill="1" applyBorder="1" applyAlignment="1">
      <alignment horizontal="center" vertical="center"/>
    </xf>
    <xf numFmtId="9" fontId="21" fillId="0" borderId="10" xfId="0" applyNumberFormat="1" applyFon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36" borderId="0" xfId="0" applyNumberFormat="1" applyFill="1" applyAlignment="1">
      <alignment horizontal="center"/>
    </xf>
    <xf numFmtId="9" fontId="0" fillId="36" borderId="42" xfId="0" applyNumberFormat="1" applyFill="1" applyBorder="1" applyAlignment="1">
      <alignment horizontal="center"/>
    </xf>
    <xf numFmtId="9" fontId="0" fillId="0" borderId="0" xfId="0" applyNumberFormat="1" applyAlignment="1">
      <alignment horizontal="center"/>
    </xf>
    <xf numFmtId="0" fontId="18" fillId="46" borderId="34" xfId="0" applyFont="1" applyFill="1" applyBorder="1" applyAlignment="1">
      <alignment horizontal="center"/>
    </xf>
    <xf numFmtId="0" fontId="30" fillId="33" borderId="10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center" vertical="center"/>
    </xf>
    <xf numFmtId="0" fontId="15" fillId="46" borderId="16" xfId="0" applyFont="1" applyFill="1" applyBorder="1" applyAlignment="1">
      <alignment horizontal="center" vertical="center"/>
    </xf>
    <xf numFmtId="167" fontId="15" fillId="46" borderId="16" xfId="0" applyNumberFormat="1" applyFont="1" applyFill="1" applyBorder="1" applyAlignment="1">
      <alignment horizontal="center" vertical="center"/>
    </xf>
    <xf numFmtId="0" fontId="15" fillId="46" borderId="17" xfId="0" applyFont="1" applyFill="1" applyBorder="1" applyAlignment="1">
      <alignment horizontal="center" vertical="center"/>
    </xf>
    <xf numFmtId="0" fontId="15" fillId="46" borderId="28" xfId="0" applyFont="1" applyFill="1" applyBorder="1" applyAlignment="1">
      <alignment horizontal="center"/>
    </xf>
    <xf numFmtId="0" fontId="18" fillId="33" borderId="10" xfId="0" applyFont="1" applyFill="1" applyBorder="1" applyAlignment="1">
      <alignment horizontal="center"/>
    </xf>
    <xf numFmtId="0" fontId="18" fillId="33" borderId="14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 vertical="center"/>
    </xf>
    <xf numFmtId="0" fontId="18" fillId="47" borderId="27" xfId="0" applyFont="1" applyFill="1" applyBorder="1"/>
    <xf numFmtId="0" fontId="18" fillId="33" borderId="25" xfId="0" applyFont="1" applyFill="1" applyBorder="1" applyAlignment="1">
      <alignment horizontal="center" vertical="center"/>
    </xf>
    <xf numFmtId="0" fontId="18" fillId="33" borderId="16" xfId="0" applyFont="1" applyFill="1" applyBorder="1" applyAlignment="1">
      <alignment horizontal="center" vertical="center"/>
    </xf>
    <xf numFmtId="0" fontId="15" fillId="46" borderId="42" xfId="0" applyFont="1" applyFill="1" applyBorder="1" applyAlignment="1">
      <alignment horizontal="center" vertical="center"/>
    </xf>
    <xf numFmtId="0" fontId="19" fillId="46" borderId="42" xfId="0" applyFont="1" applyFill="1" applyBorder="1" applyAlignment="1">
      <alignment horizontal="center" vertical="center"/>
    </xf>
    <xf numFmtId="0" fontId="18" fillId="46" borderId="42" xfId="0" applyFont="1" applyFill="1" applyBorder="1" applyAlignment="1">
      <alignment horizontal="center"/>
    </xf>
    <xf numFmtId="0" fontId="18" fillId="33" borderId="0" xfId="0" applyFont="1" applyFill="1" applyAlignment="1">
      <alignment horizontal="center"/>
    </xf>
    <xf numFmtId="0" fontId="21" fillId="34" borderId="19" xfId="0" applyFont="1" applyFill="1" applyBorder="1"/>
    <xf numFmtId="0" fontId="21" fillId="34" borderId="16" xfId="0" applyFont="1" applyFill="1" applyBorder="1"/>
    <xf numFmtId="0" fontId="21" fillId="34" borderId="16" xfId="0" applyFont="1" applyFill="1" applyBorder="1" applyAlignment="1">
      <alignment horizontal="center"/>
    </xf>
    <xf numFmtId="0" fontId="21" fillId="34" borderId="16" xfId="0" applyFont="1" applyFill="1" applyBorder="1" applyAlignment="1">
      <alignment horizontal="left"/>
    </xf>
    <xf numFmtId="9" fontId="21" fillId="34" borderId="16" xfId="0" applyNumberFormat="1" applyFont="1" applyFill="1" applyBorder="1"/>
    <xf numFmtId="168" fontId="22" fillId="34" borderId="16" xfId="0" applyNumberFormat="1" applyFont="1" applyFill="1" applyBorder="1"/>
    <xf numFmtId="167" fontId="21" fillId="34" borderId="16" xfId="0" applyNumberFormat="1" applyFont="1" applyFill="1" applyBorder="1" applyAlignment="1">
      <alignment horizontal="center"/>
    </xf>
    <xf numFmtId="0" fontId="22" fillId="34" borderId="16" xfId="0" applyFont="1" applyFill="1" applyBorder="1" applyAlignment="1">
      <alignment horizontal="center"/>
    </xf>
    <xf numFmtId="0" fontId="21" fillId="34" borderId="20" xfId="0" applyFont="1" applyFill="1" applyBorder="1"/>
    <xf numFmtId="0" fontId="21" fillId="34" borderId="21" xfId="0" applyFont="1" applyFill="1" applyBorder="1"/>
    <xf numFmtId="168" fontId="18" fillId="0" borderId="13" xfId="0" applyNumberFormat="1" applyFont="1" applyBorder="1" applyAlignment="1">
      <alignment horizontal="right" vertical="center"/>
    </xf>
    <xf numFmtId="0" fontId="18" fillId="33" borderId="13" xfId="0" applyFont="1" applyFill="1" applyBorder="1" applyAlignment="1">
      <alignment horizontal="right" vertical="center"/>
    </xf>
    <xf numFmtId="0" fontId="21" fillId="34" borderId="24" xfId="0" applyFont="1" applyFill="1" applyBorder="1"/>
    <xf numFmtId="0" fontId="18" fillId="48" borderId="27" xfId="0" applyFont="1" applyFill="1" applyBorder="1" applyAlignment="1">
      <alignment horizontal="center"/>
    </xf>
    <xf numFmtId="168" fontId="18" fillId="33" borderId="10" xfId="0" applyNumberFormat="1" applyFont="1" applyFill="1" applyBorder="1" applyAlignment="1">
      <alignment horizontal="center" vertical="center"/>
    </xf>
    <xf numFmtId="0" fontId="18" fillId="33" borderId="30" xfId="0" applyFont="1" applyFill="1" applyBorder="1" applyAlignment="1">
      <alignment horizontal="center" vertical="center"/>
    </xf>
    <xf numFmtId="0" fontId="18" fillId="33" borderId="14" xfId="0" applyFont="1" applyFill="1" applyBorder="1" applyAlignment="1">
      <alignment horizontal="center" vertical="center"/>
    </xf>
    <xf numFmtId="0" fontId="18" fillId="48" borderId="27" xfId="0" applyFont="1" applyFill="1" applyBorder="1"/>
    <xf numFmtId="0" fontId="18" fillId="33" borderId="31" xfId="0" applyFont="1" applyFill="1" applyBorder="1" applyAlignment="1">
      <alignment horizontal="center" vertical="center"/>
    </xf>
    <xf numFmtId="168" fontId="18" fillId="33" borderId="16" xfId="0" applyNumberFormat="1" applyFont="1" applyFill="1" applyBorder="1" applyAlignment="1">
      <alignment horizontal="center" vertical="center"/>
    </xf>
    <xf numFmtId="0" fontId="18" fillId="33" borderId="20" xfId="0" applyFont="1" applyFill="1" applyBorder="1" applyAlignment="1">
      <alignment horizontal="center" vertical="center"/>
    </xf>
    <xf numFmtId="0" fontId="18" fillId="33" borderId="13" xfId="0" applyFont="1" applyFill="1" applyBorder="1" applyAlignment="1">
      <alignment horizontal="center"/>
    </xf>
    <xf numFmtId="0" fontId="21" fillId="34" borderId="22" xfId="0" applyFont="1" applyFill="1" applyBorder="1"/>
    <xf numFmtId="0" fontId="22" fillId="34" borderId="12" xfId="0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horizontal="left" vertical="center"/>
    </xf>
    <xf numFmtId="0" fontId="20" fillId="34" borderId="12" xfId="0" applyFont="1" applyFill="1" applyBorder="1" applyAlignment="1">
      <alignment horizontal="right" vertical="center"/>
    </xf>
    <xf numFmtId="3" fontId="22" fillId="34" borderId="12" xfId="0" applyNumberFormat="1" applyFont="1" applyFill="1" applyBorder="1" applyAlignment="1">
      <alignment horizontal="center" vertical="center"/>
    </xf>
    <xf numFmtId="9" fontId="22" fillId="34" borderId="12" xfId="0" applyNumberFormat="1" applyFont="1" applyFill="1" applyBorder="1" applyAlignment="1">
      <alignment horizontal="center" vertical="center"/>
    </xf>
    <xf numFmtId="168" fontId="22" fillId="34" borderId="12" xfId="0" applyNumberFormat="1" applyFont="1" applyFill="1" applyBorder="1" applyAlignment="1">
      <alignment horizontal="center" vertical="center"/>
    </xf>
    <xf numFmtId="167" fontId="21" fillId="34" borderId="12" xfId="0" applyNumberFormat="1" applyFont="1" applyFill="1" applyBorder="1" applyAlignment="1">
      <alignment horizontal="center"/>
    </xf>
    <xf numFmtId="0" fontId="22" fillId="34" borderId="12" xfId="0" applyFont="1" applyFill="1" applyBorder="1" applyAlignment="1">
      <alignment horizontal="center"/>
    </xf>
    <xf numFmtId="0" fontId="21" fillId="34" borderId="15" xfId="0" applyFont="1" applyFill="1" applyBorder="1"/>
    <xf numFmtId="2" fontId="18" fillId="0" borderId="0" xfId="43" applyNumberFormat="1" applyFont="1" applyFill="1" applyBorder="1"/>
    <xf numFmtId="0" fontId="15" fillId="46" borderId="16" xfId="0" applyFont="1" applyFill="1" applyBorder="1" applyAlignment="1">
      <alignment horizontal="left" vertical="center"/>
    </xf>
    <xf numFmtId="0" fontId="18" fillId="33" borderId="14" xfId="0" applyFont="1" applyFill="1" applyBorder="1" applyAlignment="1">
      <alignment horizontal="left"/>
    </xf>
    <xf numFmtId="0" fontId="18" fillId="33" borderId="10" xfId="0" applyFont="1" applyFill="1" applyBorder="1" applyAlignment="1">
      <alignment horizontal="left" vertical="center"/>
    </xf>
    <xf numFmtId="0" fontId="18" fillId="33" borderId="16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left"/>
    </xf>
    <xf numFmtId="168" fontId="18" fillId="0" borderId="0" xfId="0" applyNumberFormat="1" applyFont="1"/>
    <xf numFmtId="0" fontId="18" fillId="0" borderId="23" xfId="0" applyFont="1" applyBorder="1"/>
    <xf numFmtId="0" fontId="0" fillId="0" borderId="40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44" xfId="0" applyBorder="1" applyAlignment="1">
      <alignment horizontal="center"/>
    </xf>
    <xf numFmtId="2" fontId="0" fillId="35" borderId="33" xfId="0" applyNumberFormat="1" applyFill="1" applyBorder="1" applyAlignment="1">
      <alignment horizontal="center"/>
    </xf>
    <xf numFmtId="2" fontId="0" fillId="35" borderId="28" xfId="0" applyNumberFormat="1" applyFill="1" applyBorder="1" applyAlignment="1">
      <alignment horizontal="center"/>
    </xf>
    <xf numFmtId="2" fontId="0" fillId="35" borderId="29" xfId="0" applyNumberFormat="1" applyFill="1" applyBorder="1" applyAlignment="1">
      <alignment horizontal="center"/>
    </xf>
    <xf numFmtId="0" fontId="18" fillId="49" borderId="40" xfId="0" applyFont="1" applyFill="1" applyBorder="1" applyAlignment="1">
      <alignment horizontal="center"/>
    </xf>
    <xf numFmtId="0" fontId="18" fillId="49" borderId="0" xfId="0" applyFont="1" applyFill="1" applyAlignment="1">
      <alignment horizontal="center"/>
    </xf>
    <xf numFmtId="0" fontId="18" fillId="50" borderId="0" xfId="0" applyFont="1" applyFill="1" applyAlignment="1">
      <alignment horizontal="center"/>
    </xf>
    <xf numFmtId="2" fontId="21" fillId="34" borderId="40" xfId="0" applyNumberFormat="1" applyFont="1" applyFill="1" applyBorder="1" applyAlignment="1">
      <alignment horizontal="center"/>
    </xf>
    <xf numFmtId="166" fontId="37" fillId="0" borderId="0" xfId="42" applyNumberFormat="1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2" fontId="18" fillId="0" borderId="0" xfId="0" applyNumberFormat="1" applyFont="1"/>
    <xf numFmtId="0" fontId="21" fillId="0" borderId="0" xfId="0" applyFont="1"/>
    <xf numFmtId="0" fontId="25" fillId="51" borderId="0" xfId="0" applyFont="1" applyFill="1" applyAlignment="1">
      <alignment horizontal="center"/>
    </xf>
    <xf numFmtId="0" fontId="29" fillId="35" borderId="0" xfId="0" applyFont="1" applyFill="1"/>
    <xf numFmtId="0" fontId="25" fillId="35" borderId="0" xfId="0" applyFont="1" applyFill="1" applyAlignment="1">
      <alignment horizontal="center"/>
    </xf>
    <xf numFmtId="0" fontId="29" fillId="52" borderId="0" xfId="0" applyFont="1" applyFill="1"/>
    <xf numFmtId="0" fontId="25" fillId="52" borderId="0" xfId="0" applyFont="1" applyFill="1" applyAlignment="1">
      <alignment horizontal="center"/>
    </xf>
    <xf numFmtId="0" fontId="25" fillId="52" borderId="28" xfId="0" applyFont="1" applyFill="1" applyBorder="1" applyAlignment="1">
      <alignment horizontal="center"/>
    </xf>
    <xf numFmtId="0" fontId="29" fillId="53" borderId="0" xfId="0" applyFont="1" applyFill="1"/>
    <xf numFmtId="0" fontId="25" fillId="53" borderId="0" xfId="0" applyFont="1" applyFill="1" applyAlignment="1">
      <alignment horizontal="center"/>
    </xf>
    <xf numFmtId="0" fontId="25" fillId="53" borderId="27" xfId="0" applyFont="1" applyFill="1" applyBorder="1" applyAlignment="1">
      <alignment horizontal="center"/>
    </xf>
    <xf numFmtId="2" fontId="0" fillId="0" borderId="0" xfId="43" applyNumberFormat="1" applyFont="1" applyAlignment="1">
      <alignment horizontal="center"/>
    </xf>
    <xf numFmtId="2" fontId="0" fillId="0" borderId="0" xfId="43" applyNumberFormat="1" applyFont="1"/>
    <xf numFmtId="0" fontId="25" fillId="52" borderId="27" xfId="0" applyFont="1" applyFill="1" applyBorder="1" applyAlignment="1">
      <alignment horizontal="center"/>
    </xf>
    <xf numFmtId="2" fontId="18" fillId="0" borderId="27" xfId="43" applyNumberFormat="1" applyFont="1" applyFill="1" applyBorder="1"/>
    <xf numFmtId="2" fontId="18" fillId="0" borderId="29" xfId="43" applyNumberFormat="1" applyFont="1" applyFill="1" applyBorder="1"/>
    <xf numFmtId="2" fontId="18" fillId="0" borderId="0" xfId="43" applyNumberFormat="1" applyFont="1"/>
    <xf numFmtId="0" fontId="1" fillId="0" borderId="0" xfId="0" applyFont="1"/>
    <xf numFmtId="0" fontId="21" fillId="34" borderId="12" xfId="0" applyFont="1" applyFill="1" applyBorder="1"/>
    <xf numFmtId="0" fontId="22" fillId="34" borderId="0" xfId="0" applyFont="1" applyFill="1" applyAlignment="1">
      <alignment horizontal="center"/>
    </xf>
    <xf numFmtId="0" fontId="42" fillId="33" borderId="32" xfId="0" applyFont="1" applyFill="1" applyBorder="1" applyAlignment="1">
      <alignment horizontal="center"/>
    </xf>
    <xf numFmtId="0" fontId="43" fillId="33" borderId="30" xfId="0" applyFont="1" applyFill="1" applyBorder="1" applyAlignment="1">
      <alignment horizontal="center" vertical="center"/>
    </xf>
    <xf numFmtId="0" fontId="43" fillId="33" borderId="31" xfId="0" applyFont="1" applyFill="1" applyBorder="1" applyAlignment="1">
      <alignment horizontal="center" vertical="center"/>
    </xf>
    <xf numFmtId="0" fontId="43" fillId="33" borderId="13" xfId="0" applyFont="1" applyFill="1" applyBorder="1" applyAlignment="1">
      <alignment horizontal="center"/>
    </xf>
    <xf numFmtId="0" fontId="18" fillId="0" borderId="26" xfId="0" applyFont="1" applyBorder="1" applyAlignment="1">
      <alignment horizontal="center"/>
    </xf>
    <xf numFmtId="0" fontId="1" fillId="46" borderId="39" xfId="0" applyFont="1" applyFill="1" applyBorder="1"/>
    <xf numFmtId="0" fontId="1" fillId="46" borderId="34" xfId="0" applyFont="1" applyFill="1" applyBorder="1"/>
    <xf numFmtId="0" fontId="1" fillId="46" borderId="34" xfId="0" applyFont="1" applyFill="1" applyBorder="1" applyAlignment="1">
      <alignment horizontal="center"/>
    </xf>
    <xf numFmtId="0" fontId="1" fillId="46" borderId="34" xfId="0" applyFont="1" applyFill="1" applyBorder="1" applyAlignment="1">
      <alignment horizontal="left"/>
    </xf>
    <xf numFmtId="167" fontId="1" fillId="46" borderId="34" xfId="0" applyNumberFormat="1" applyFont="1" applyFill="1" applyBorder="1" applyAlignment="1">
      <alignment horizontal="center"/>
    </xf>
    <xf numFmtId="0" fontId="1" fillId="46" borderId="36" xfId="0" applyFont="1" applyFill="1" applyBorder="1"/>
    <xf numFmtId="0" fontId="1" fillId="33" borderId="0" xfId="0" applyFont="1" applyFill="1"/>
    <xf numFmtId="0" fontId="1" fillId="46" borderId="40" xfId="0" applyFont="1" applyFill="1" applyBorder="1"/>
    <xf numFmtId="0" fontId="1" fillId="33" borderId="10" xfId="0" applyFont="1" applyFill="1" applyBorder="1"/>
    <xf numFmtId="0" fontId="1" fillId="33" borderId="10" xfId="0" applyFont="1" applyFill="1" applyBorder="1" applyAlignment="1">
      <alignment horizontal="center"/>
    </xf>
    <xf numFmtId="0" fontId="1" fillId="33" borderId="14" xfId="0" applyFont="1" applyFill="1" applyBorder="1" applyAlignment="1">
      <alignment horizontal="left" vertical="center"/>
    </xf>
    <xf numFmtId="0" fontId="1" fillId="46" borderId="0" xfId="0" applyFont="1" applyFill="1"/>
    <xf numFmtId="0" fontId="1" fillId="46" borderId="35" xfId="0" applyFont="1" applyFill="1" applyBorder="1"/>
    <xf numFmtId="0" fontId="1" fillId="33" borderId="10" xfId="0" applyFont="1" applyFill="1" applyBorder="1" applyAlignment="1">
      <alignment horizontal="center" vertical="center"/>
    </xf>
    <xf numFmtId="167" fontId="1" fillId="33" borderId="10" xfId="0" applyNumberFormat="1" applyFont="1" applyFill="1" applyBorder="1" applyAlignment="1">
      <alignment horizontal="center"/>
    </xf>
    <xf numFmtId="0" fontId="1" fillId="33" borderId="17" xfId="0" applyFont="1" applyFill="1" applyBorder="1" applyAlignment="1">
      <alignment horizontal="left"/>
    </xf>
    <xf numFmtId="0" fontId="1" fillId="33" borderId="37" xfId="0" applyFont="1" applyFill="1" applyBorder="1"/>
    <xf numFmtId="0" fontId="1" fillId="33" borderId="10" xfId="0" applyFont="1" applyFill="1" applyBorder="1" applyAlignment="1">
      <alignment horizontal="left" vertical="center"/>
    </xf>
    <xf numFmtId="167" fontId="1" fillId="33" borderId="10" xfId="0" applyNumberFormat="1" applyFont="1" applyFill="1" applyBorder="1" applyAlignment="1">
      <alignment horizontal="center" vertical="center"/>
    </xf>
    <xf numFmtId="0" fontId="1" fillId="33" borderId="17" xfId="0" applyFont="1" applyFill="1" applyBorder="1" applyAlignment="1">
      <alignment horizontal="left" vertical="center"/>
    </xf>
    <xf numFmtId="0" fontId="1" fillId="33" borderId="45" xfId="0" applyFont="1" applyFill="1" applyBorder="1"/>
    <xf numFmtId="0" fontId="1" fillId="33" borderId="16" xfId="0" applyFont="1" applyFill="1" applyBorder="1" applyAlignment="1">
      <alignment horizontal="center" vertical="center"/>
    </xf>
    <xf numFmtId="0" fontId="1" fillId="33" borderId="16" xfId="0" applyFont="1" applyFill="1" applyBorder="1" applyAlignment="1">
      <alignment horizontal="left" vertical="center"/>
    </xf>
    <xf numFmtId="167" fontId="1" fillId="33" borderId="16" xfId="0" applyNumberFormat="1" applyFont="1" applyFill="1" applyBorder="1" applyAlignment="1">
      <alignment horizontal="center" vertical="center"/>
    </xf>
    <xf numFmtId="0" fontId="1" fillId="33" borderId="18" xfId="0" applyFont="1" applyFill="1" applyBorder="1" applyAlignment="1">
      <alignment horizontal="left" vertical="center"/>
    </xf>
    <xf numFmtId="0" fontId="1" fillId="33" borderId="10" xfId="0" applyFont="1" applyFill="1" applyBorder="1" applyAlignment="1">
      <alignment horizontal="left"/>
    </xf>
    <xf numFmtId="0" fontId="1" fillId="46" borderId="41" xfId="0" applyFont="1" applyFill="1" applyBorder="1"/>
    <xf numFmtId="167" fontId="1" fillId="46" borderId="42" xfId="0" applyNumberFormat="1" applyFont="1" applyFill="1" applyBorder="1" applyAlignment="1">
      <alignment horizontal="center"/>
    </xf>
    <xf numFmtId="0" fontId="1" fillId="46" borderId="43" xfId="0" applyFont="1" applyFill="1" applyBorder="1"/>
    <xf numFmtId="0" fontId="1" fillId="46" borderId="44" xfId="0" applyFont="1" applyFill="1" applyBorder="1"/>
    <xf numFmtId="0" fontId="1" fillId="33" borderId="0" xfId="0" applyFont="1" applyFill="1" applyAlignment="1">
      <alignment horizontal="center"/>
    </xf>
    <xf numFmtId="0" fontId="1" fillId="33" borderId="0" xfId="0" applyFont="1" applyFill="1" applyAlignment="1">
      <alignment horizontal="left"/>
    </xf>
    <xf numFmtId="167" fontId="1" fillId="33" borderId="0" xfId="0" applyNumberFormat="1" applyFont="1" applyFill="1" applyAlignment="1">
      <alignment horizontal="center"/>
    </xf>
    <xf numFmtId="0" fontId="1" fillId="33" borderId="10" xfId="0" applyFont="1" applyFill="1" applyBorder="1" applyAlignment="1">
      <alignment vertical="center"/>
    </xf>
    <xf numFmtId="0" fontId="1" fillId="33" borderId="16" xfId="0" applyFont="1" applyFill="1" applyBorder="1" applyAlignment="1">
      <alignment horizontal="center"/>
    </xf>
    <xf numFmtId="9" fontId="1" fillId="33" borderId="10" xfId="0" applyNumberFormat="1" applyFont="1" applyFill="1" applyBorder="1" applyAlignment="1">
      <alignment horizontal="center" vertical="center"/>
    </xf>
    <xf numFmtId="168" fontId="1" fillId="0" borderId="10" xfId="0" applyNumberFormat="1" applyFont="1" applyBorder="1" applyAlignment="1">
      <alignment horizontal="center"/>
    </xf>
    <xf numFmtId="0" fontId="1" fillId="34" borderId="24" xfId="0" applyFont="1" applyFill="1" applyBorder="1"/>
    <xf numFmtId="0" fontId="1" fillId="0" borderId="49" xfId="0" applyFont="1" applyBorder="1"/>
    <xf numFmtId="0" fontId="1" fillId="0" borderId="37" xfId="0" applyFont="1" applyBorder="1"/>
    <xf numFmtId="0" fontId="1" fillId="0" borderId="45" xfId="0" applyFont="1" applyBorder="1"/>
    <xf numFmtId="9" fontId="1" fillId="33" borderId="1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9" fontId="1" fillId="0" borderId="0" xfId="0" applyNumberFormat="1" applyFont="1"/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9" xfId="0" applyBorder="1" applyAlignment="1">
      <alignment horizontal="center"/>
    </xf>
    <xf numFmtId="0" fontId="24" fillId="45" borderId="29" xfId="0" applyFont="1" applyFill="1" applyBorder="1"/>
    <xf numFmtId="0" fontId="21" fillId="52" borderId="0" xfId="0" applyFont="1" applyFill="1"/>
    <xf numFmtId="0" fontId="22" fillId="52" borderId="0" xfId="0" applyFont="1" applyFill="1" applyAlignment="1">
      <alignment horizontal="center"/>
    </xf>
    <xf numFmtId="0" fontId="25" fillId="54" borderId="27" xfId="0" applyFont="1" applyFill="1" applyBorder="1" applyAlignment="1">
      <alignment horizontal="center"/>
    </xf>
    <xf numFmtId="2" fontId="0" fillId="0" borderId="0" xfId="43" applyNumberFormat="1" applyFont="1" applyFill="1" applyBorder="1" applyAlignment="1">
      <alignment horizontal="center"/>
    </xf>
    <xf numFmtId="2" fontId="0" fillId="0" borderId="0" xfId="43" applyNumberFormat="1" applyFont="1" applyFill="1" applyBorder="1"/>
    <xf numFmtId="0" fontId="0" fillId="33" borderId="16" xfId="0" applyFill="1" applyBorder="1" applyAlignment="1">
      <alignment horizontal="center"/>
    </xf>
    <xf numFmtId="0" fontId="0" fillId="55" borderId="0" xfId="0" applyFill="1"/>
    <xf numFmtId="10" fontId="0" fillId="0" borderId="0" xfId="42" applyNumberFormat="1" applyFont="1" applyFill="1" applyBorder="1"/>
    <xf numFmtId="169" fontId="18" fillId="0" borderId="0" xfId="0" applyNumberFormat="1" applyFont="1" applyAlignment="1">
      <alignment horizontal="center"/>
    </xf>
    <xf numFmtId="169" fontId="27" fillId="0" borderId="0" xfId="0" applyNumberFormat="1" applyFont="1" applyAlignment="1">
      <alignment horizontal="center"/>
    </xf>
    <xf numFmtId="169" fontId="27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6" fontId="22" fillId="0" borderId="0" xfId="0" applyNumberFormat="1" applyFont="1" applyAlignment="1">
      <alignment horizontal="center"/>
    </xf>
    <xf numFmtId="0" fontId="38" fillId="0" borderId="0" xfId="0" applyFont="1"/>
    <xf numFmtId="0" fontId="39" fillId="0" borderId="0" xfId="0" applyFont="1"/>
    <xf numFmtId="0" fontId="40" fillId="0" borderId="0" xfId="0" applyFont="1"/>
    <xf numFmtId="0" fontId="22" fillId="0" borderId="0" xfId="0" applyFont="1"/>
    <xf numFmtId="0" fontId="41" fillId="0" borderId="0" xfId="0" applyFont="1"/>
    <xf numFmtId="0" fontId="0" fillId="0" borderId="39" xfId="0" applyBorder="1"/>
    <xf numFmtId="0" fontId="0" fillId="0" borderId="34" xfId="0" applyBorder="1"/>
    <xf numFmtId="0" fontId="0" fillId="0" borderId="36" xfId="0" applyBorder="1"/>
    <xf numFmtId="0" fontId="0" fillId="0" borderId="40" xfId="0" applyBorder="1"/>
    <xf numFmtId="0" fontId="0" fillId="0" borderId="35" xfId="0" applyBorder="1"/>
    <xf numFmtId="0" fontId="0" fillId="0" borderId="41" xfId="0" applyBorder="1"/>
    <xf numFmtId="0" fontId="0" fillId="0" borderId="42" xfId="0" applyBorder="1"/>
    <xf numFmtId="0" fontId="0" fillId="0" borderId="44" xfId="0" applyBorder="1"/>
    <xf numFmtId="0" fontId="29" fillId="55" borderId="0" xfId="0" applyFont="1" applyFill="1"/>
    <xf numFmtId="0" fontId="25" fillId="55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0" fontId="0" fillId="35" borderId="0" xfId="0" applyFill="1"/>
    <xf numFmtId="0" fontId="0" fillId="52" borderId="0" xfId="0" applyFill="1"/>
    <xf numFmtId="0" fontId="0" fillId="53" borderId="0" xfId="0" applyFill="1"/>
    <xf numFmtId="1" fontId="0" fillId="0" borderId="0" xfId="0" applyNumberFormat="1"/>
    <xf numFmtId="165" fontId="0" fillId="0" borderId="0" xfId="0" applyNumberFormat="1"/>
    <xf numFmtId="0" fontId="0" fillId="0" borderId="27" xfId="0" applyBorder="1" applyAlignment="1">
      <alignment horizontal="center"/>
    </xf>
    <xf numFmtId="2" fontId="18" fillId="0" borderId="34" xfId="43" applyNumberFormat="1" applyFont="1" applyFill="1" applyBorder="1"/>
    <xf numFmtId="2" fontId="18" fillId="0" borderId="42" xfId="43" applyNumberFormat="1" applyFont="1" applyFill="1" applyBorder="1"/>
    <xf numFmtId="0" fontId="19" fillId="38" borderId="0" xfId="0" applyFont="1" applyFill="1"/>
    <xf numFmtId="0" fontId="19" fillId="38" borderId="0" xfId="0" applyFont="1" applyFill="1" applyAlignment="1">
      <alignment horizontal="center"/>
    </xf>
    <xf numFmtId="166" fontId="0" fillId="0" borderId="0" xfId="0" applyNumberFormat="1"/>
    <xf numFmtId="0" fontId="18" fillId="37" borderId="27" xfId="0" applyFont="1" applyFill="1" applyBorder="1" applyAlignment="1">
      <alignment horizontal="center" vertical="center"/>
    </xf>
    <xf numFmtId="0" fontId="25" fillId="0" borderId="34" xfId="0" applyFont="1" applyBorder="1" applyAlignment="1">
      <alignment horizontal="center"/>
    </xf>
    <xf numFmtId="0" fontId="18" fillId="49" borderId="0" xfId="0" applyFont="1" applyFill="1" applyAlignment="1">
      <alignment horizontal="left"/>
    </xf>
    <xf numFmtId="0" fontId="22" fillId="34" borderId="0" xfId="0" applyFont="1" applyFill="1" applyAlignment="1">
      <alignment horizontal="left"/>
    </xf>
    <xf numFmtId="0" fontId="22" fillId="0" borderId="0" xfId="0" applyFont="1" applyAlignment="1">
      <alignment horizontal="left"/>
    </xf>
    <xf numFmtId="0" fontId="44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9" fillId="0" borderId="50" xfId="0" applyFont="1" applyBorder="1" applyAlignment="1">
      <alignment horizontal="center"/>
    </xf>
    <xf numFmtId="0" fontId="29" fillId="0" borderId="0" xfId="0" applyFont="1" applyAlignment="1">
      <alignment horizontal="center"/>
    </xf>
    <xf numFmtId="9" fontId="18" fillId="0" borderId="0" xfId="0" applyNumberFormat="1" applyFont="1"/>
    <xf numFmtId="0" fontId="30" fillId="35" borderId="10" xfId="0" applyFont="1" applyFill="1" applyBorder="1" applyAlignment="1">
      <alignment horizontal="center" vertical="center"/>
    </xf>
    <xf numFmtId="0" fontId="15" fillId="46" borderId="19" xfId="0" applyFont="1" applyFill="1" applyBorder="1" applyAlignment="1">
      <alignment horizontal="center" vertical="center"/>
    </xf>
    <xf numFmtId="0" fontId="0" fillId="36" borderId="34" xfId="0" applyFill="1" applyBorder="1" applyAlignment="1">
      <alignment horizontal="left"/>
    </xf>
    <xf numFmtId="0" fontId="0" fillId="36" borderId="0" xfId="0" applyFill="1" applyAlignment="1">
      <alignment horizontal="left"/>
    </xf>
    <xf numFmtId="0" fontId="43" fillId="0" borderId="13" xfId="0" applyFont="1" applyBorder="1" applyAlignment="1">
      <alignment horizontal="left"/>
    </xf>
    <xf numFmtId="0" fontId="0" fillId="36" borderId="42" xfId="0" applyFill="1" applyBorder="1" applyAlignment="1">
      <alignment horizontal="left"/>
    </xf>
    <xf numFmtId="0" fontId="0" fillId="46" borderId="34" xfId="0" applyFill="1" applyBorder="1"/>
    <xf numFmtId="0" fontId="0" fillId="46" borderId="0" xfId="0" applyFill="1"/>
    <xf numFmtId="0" fontId="43" fillId="33" borderId="19" xfId="0" applyFont="1" applyFill="1" applyBorder="1" applyAlignment="1">
      <alignment horizontal="center"/>
    </xf>
    <xf numFmtId="0" fontId="0" fillId="46" borderId="42" xfId="0" applyFill="1" applyBorder="1"/>
    <xf numFmtId="0" fontId="0" fillId="33" borderId="0" xfId="0" applyFill="1"/>
    <xf numFmtId="0" fontId="0" fillId="56" borderId="0" xfId="0" applyFill="1" applyAlignment="1">
      <alignment horizontal="left"/>
    </xf>
    <xf numFmtId="0" fontId="0" fillId="0" borderId="52" xfId="0" applyBorder="1" applyAlignment="1">
      <alignment horizontal="left"/>
    </xf>
    <xf numFmtId="0" fontId="0" fillId="0" borderId="52" xfId="0" applyBorder="1" applyAlignment="1">
      <alignment horizontal="center"/>
    </xf>
    <xf numFmtId="2" fontId="0" fillId="35" borderId="27" xfId="0" applyNumberForma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170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0" fontId="0" fillId="52" borderId="0" xfId="0" applyFill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0" borderId="0" xfId="0" applyNumberFormat="1" applyFont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18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9" fontId="18" fillId="0" borderId="34" xfId="0" applyNumberFormat="1" applyFon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9" fontId="18" fillId="0" borderId="34" xfId="0" applyNumberFormat="1" applyFont="1" applyBorder="1" applyAlignment="1">
      <alignment horizontal="center"/>
    </xf>
    <xf numFmtId="171" fontId="0" fillId="0" borderId="34" xfId="0" applyNumberFormat="1" applyBorder="1" applyAlignment="1">
      <alignment horizontal="center"/>
    </xf>
    <xf numFmtId="0" fontId="0" fillId="0" borderId="42" xfId="0" applyBorder="1" applyAlignment="1">
      <alignment horizontal="left" vertical="center"/>
    </xf>
    <xf numFmtId="0" fontId="18" fillId="0" borderId="42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9" fontId="18" fillId="0" borderId="42" xfId="0" applyNumberFormat="1" applyFont="1" applyBorder="1" applyAlignment="1">
      <alignment horizontal="center" vertical="center"/>
    </xf>
    <xf numFmtId="168" fontId="0" fillId="0" borderId="42" xfId="0" applyNumberFormat="1" applyBorder="1" applyAlignment="1">
      <alignment horizontal="center" vertical="center"/>
    </xf>
    <xf numFmtId="9" fontId="18" fillId="0" borderId="42" xfId="0" applyNumberFormat="1" applyFont="1" applyBorder="1" applyAlignment="1">
      <alignment horizontal="center"/>
    </xf>
    <xf numFmtId="171" fontId="0" fillId="0" borderId="42" xfId="0" applyNumberFormat="1" applyBorder="1" applyAlignment="1">
      <alignment horizontal="center"/>
    </xf>
    <xf numFmtId="168" fontId="0" fillId="0" borderId="36" xfId="0" applyNumberFormat="1" applyBorder="1" applyAlignment="1">
      <alignment horizontal="center" vertical="center"/>
    </xf>
    <xf numFmtId="168" fontId="0" fillId="0" borderId="35" xfId="0" applyNumberFormat="1" applyBorder="1" applyAlignment="1">
      <alignment horizontal="center" vertical="center"/>
    </xf>
    <xf numFmtId="168" fontId="0" fillId="0" borderId="44" xfId="0" applyNumberFormat="1" applyBorder="1" applyAlignment="1">
      <alignment horizontal="center" vertical="center"/>
    </xf>
    <xf numFmtId="168" fontId="46" fillId="57" borderId="0" xfId="0" applyNumberFormat="1" applyFont="1" applyFill="1" applyAlignment="1">
      <alignment horizontal="center" vertical="center"/>
    </xf>
    <xf numFmtId="168" fontId="46" fillId="57" borderId="0" xfId="0" applyNumberFormat="1" applyFont="1" applyFill="1" applyAlignment="1">
      <alignment horizontal="left" vertical="center"/>
    </xf>
    <xf numFmtId="171" fontId="46" fillId="57" borderId="0" xfId="0" applyNumberFormat="1" applyFont="1" applyFill="1" applyAlignment="1">
      <alignment horizontal="left" vertical="center"/>
    </xf>
    <xf numFmtId="0" fontId="46" fillId="57" borderId="0" xfId="0" applyFont="1" applyFill="1" applyAlignment="1">
      <alignment horizontal="left" vertical="center"/>
    </xf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  <xf numFmtId="0" fontId="46" fillId="58" borderId="0" xfId="0" applyFont="1" applyFill="1" applyAlignment="1">
      <alignment horizontal="center" vertical="center"/>
    </xf>
    <xf numFmtId="9" fontId="46" fillId="58" borderId="0" xfId="0" applyNumberFormat="1" applyFont="1" applyFill="1" applyAlignment="1">
      <alignment horizontal="center" vertical="center"/>
    </xf>
    <xf numFmtId="168" fontId="46" fillId="58" borderId="0" xfId="0" applyNumberFormat="1" applyFont="1" applyFill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46" fillId="59" borderId="0" xfId="0" applyNumberFormat="1" applyFont="1" applyFill="1" applyAlignment="1">
      <alignment horizontal="center" vertical="center"/>
    </xf>
    <xf numFmtId="0" fontId="46" fillId="0" borderId="42" xfId="0" applyFont="1" applyBorder="1" applyAlignment="1">
      <alignment horizontal="center" vertical="center"/>
    </xf>
    <xf numFmtId="170" fontId="46" fillId="0" borderId="42" xfId="0" applyNumberFormat="1" applyFont="1" applyBorder="1" applyAlignment="1">
      <alignment horizontal="center" vertical="center"/>
    </xf>
    <xf numFmtId="0" fontId="46" fillId="58" borderId="0" xfId="0" applyFont="1" applyFill="1" applyAlignment="1">
      <alignment horizontal="left" vertical="center"/>
    </xf>
    <xf numFmtId="170" fontId="0" fillId="0" borderId="34" xfId="0" applyNumberFormat="1" applyBorder="1" applyAlignment="1">
      <alignment horizontal="center" vertical="center"/>
    </xf>
    <xf numFmtId="170" fontId="0" fillId="0" borderId="42" xfId="0" applyNumberFormat="1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45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36" xfId="0" applyFill="1" applyBorder="1" applyAlignment="1">
      <alignment horizontal="center"/>
    </xf>
    <xf numFmtId="0" fontId="0" fillId="36" borderId="47" xfId="0" applyFill="1" applyBorder="1" applyAlignment="1">
      <alignment horizontal="center"/>
    </xf>
    <xf numFmtId="0" fontId="0" fillId="36" borderId="44" xfId="0" applyFill="1" applyBorder="1" applyAlignment="1">
      <alignment horizontal="center"/>
    </xf>
    <xf numFmtId="0" fontId="0" fillId="36" borderId="39" xfId="0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0" fontId="0" fillId="36" borderId="41" xfId="0" applyFill="1" applyBorder="1" applyAlignment="1">
      <alignment horizontal="center"/>
    </xf>
    <xf numFmtId="0" fontId="0" fillId="36" borderId="46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36" borderId="43" xfId="0" applyFill="1" applyBorder="1" applyAlignment="1">
      <alignment horizontal="center"/>
    </xf>
    <xf numFmtId="0" fontId="18" fillId="35" borderId="13" xfId="0" applyFont="1" applyFill="1" applyBorder="1" applyAlignment="1">
      <alignment horizontal="center" vertical="center"/>
    </xf>
    <xf numFmtId="0" fontId="18" fillId="35" borderId="10" xfId="0" applyFont="1" applyFill="1" applyBorder="1" applyAlignment="1">
      <alignment horizontal="center" vertical="center"/>
    </xf>
  </cellXfs>
  <cellStyles count="65">
    <cellStyle name="20% - Accent1" xfId="19" builtinId="30" customBuiltin="1"/>
    <cellStyle name="20% - Accent1 2" xfId="45" xr:uid="{A5803BF1-538D-4892-894B-53E030CDCD15}"/>
    <cellStyle name="20% - Accent2" xfId="23" builtinId="34" customBuiltin="1"/>
    <cellStyle name="20% - Accent2 2" xfId="48" xr:uid="{A67C939F-5FF5-4055-B02A-3C225A32CCD3}"/>
    <cellStyle name="20% - Accent3" xfId="27" builtinId="38" customBuiltin="1"/>
    <cellStyle name="20% - Accent3 2" xfId="51" xr:uid="{C949498C-0BF3-4211-92E1-C0C7B98C072B}"/>
    <cellStyle name="20% - Accent4" xfId="31" builtinId="42" customBuiltin="1"/>
    <cellStyle name="20% - Accent4 2" xfId="54" xr:uid="{45FEBCC9-B190-4814-AC3D-F20AED1DD46A}"/>
    <cellStyle name="20% - Accent5" xfId="35" builtinId="46" customBuiltin="1"/>
    <cellStyle name="20% - Accent5 2" xfId="57" xr:uid="{5F7A7989-609D-4D7E-8C6F-2A43BB07C87F}"/>
    <cellStyle name="20% - Accent6" xfId="39" builtinId="50" customBuiltin="1"/>
    <cellStyle name="20% - Accent6 2" xfId="60" xr:uid="{3BFBC4BC-87AF-4AF2-8E1E-62695DFADC43}"/>
    <cellStyle name="40% - Accent1" xfId="20" builtinId="31" customBuiltin="1"/>
    <cellStyle name="40% - Accent1 2" xfId="46" xr:uid="{CE13CED7-1ADB-408C-BCEC-18C698EEE64F}"/>
    <cellStyle name="40% - Accent2" xfId="24" builtinId="35" customBuiltin="1"/>
    <cellStyle name="40% - Accent2 2" xfId="49" xr:uid="{A2B36403-67D7-4D6D-A127-40DD0FE7D04C}"/>
    <cellStyle name="40% - Accent3" xfId="28" builtinId="39" customBuiltin="1"/>
    <cellStyle name="40% - Accent3 2" xfId="52" xr:uid="{2780C848-01A4-495B-B6AE-344B8F32F2FB}"/>
    <cellStyle name="40% - Accent4" xfId="32" builtinId="43" customBuiltin="1"/>
    <cellStyle name="40% - Accent4 2" xfId="55" xr:uid="{761A1F1F-19DA-4452-9CF0-591ED6D10237}"/>
    <cellStyle name="40% - Accent5" xfId="36" builtinId="47" customBuiltin="1"/>
    <cellStyle name="40% - Accent5 2" xfId="58" xr:uid="{C324E1AC-D7B1-41DA-A967-2D14D5982152}"/>
    <cellStyle name="40% - Accent6" xfId="40" builtinId="51" customBuiltin="1"/>
    <cellStyle name="40% - Accent6 2" xfId="61" xr:uid="{ED11B1DF-13F8-43C3-9276-FD626DC6850A}"/>
    <cellStyle name="60% - Accent1" xfId="21" builtinId="32" customBuiltin="1"/>
    <cellStyle name="60% - Accent1 2" xfId="47" xr:uid="{820A5AE9-2211-46B9-B96F-FEDC4EE84446}"/>
    <cellStyle name="60% - Accent2" xfId="25" builtinId="36" customBuiltin="1"/>
    <cellStyle name="60% - Accent2 2" xfId="50" xr:uid="{6CB1C788-0DF7-4988-B092-0E9CEA834012}"/>
    <cellStyle name="60% - Accent3" xfId="29" builtinId="40" customBuiltin="1"/>
    <cellStyle name="60% - Accent3 2" xfId="53" xr:uid="{C45CDEB2-A4E6-4EF6-9B19-D52D9B892527}"/>
    <cellStyle name="60% - Accent4" xfId="33" builtinId="44" customBuiltin="1"/>
    <cellStyle name="60% - Accent4 2" xfId="56" xr:uid="{F717AC8C-6071-4E44-A8AE-E5CCD464DEEC}"/>
    <cellStyle name="60% - Accent5" xfId="37" builtinId="48" customBuiltin="1"/>
    <cellStyle name="60% - Accent5 2" xfId="59" xr:uid="{13D20162-B19C-446F-A91B-1695463852D1}"/>
    <cellStyle name="60% - Accent6" xfId="41" builtinId="52" customBuiltin="1"/>
    <cellStyle name="60% - Accent6 2" xfId="62" xr:uid="{F1C29AAD-6347-41D1-8486-5561296D1C0A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Currency 2" xfId="64" xr:uid="{B3054B10-5ECE-4850-AB97-ACBA45D5E8F5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Note 2" xfId="44" xr:uid="{6530F5FA-5EAB-43EB-B105-F21F4FCCF8C6}"/>
    <cellStyle name="Output" xfId="10" builtinId="21" customBuiltin="1"/>
    <cellStyle name="Percent" xfId="42" builtinId="5"/>
    <cellStyle name="Percent 2" xfId="63" xr:uid="{544F91E1-1FD9-40FE-B3B5-252C7B6DE200}"/>
    <cellStyle name="Title" xfId="1" builtinId="15" customBuiltin="1"/>
    <cellStyle name="Total" xfId="17" builtinId="25" customBuiltin="1"/>
    <cellStyle name="Warning Text" xfId="14" builtinId="11" customBuiltin="1"/>
  </cellStyles>
  <dxfs count="111"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FFC00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71" formatCode="[$£-809]#,##0.00"/>
      <alignment horizontal="center" textRotation="0" wrapText="0" indent="0" justifyLastLine="0" shrinkToFit="0" readingOrder="0"/>
    </dxf>
    <dxf>
      <font>
        <b/>
      </font>
      <alignment horizont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font>
        <b/>
      </font>
      <numFmt numFmtId="13" formatCode="0%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0\ &quot;cm&quot;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yyyy\-mm\-dd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yyyy\-mm\-dd;@"/>
      <alignment horizontal="center" vertical="bottom" textRotation="0" wrapText="0" indent="0" justifyLastLine="0" shrinkToFit="0" readingOrder="0"/>
    </dxf>
    <dxf>
      <font>
        <b val="0"/>
      </font>
      <numFmt numFmtId="166" formatCode="yyyy\-mm\-dd;@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numFmt numFmtId="169" formatCode="[$-80A]dddd\,\ dd&quot; de &quot;mmmm&quot; de &quot;yy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8" tint="-0.249977111117893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outline="0">
        <right style="medium">
          <color indexed="64"/>
        </righ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numFmt numFmtId="166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FF4359"/>
      <color rgb="FFFFC7CE"/>
      <color rgb="FFFFDD71"/>
      <color rgb="FF002868"/>
      <color rgb="FFDC143C"/>
      <color rgb="FF00DE64"/>
      <color rgb="FF9C0006"/>
      <color rgb="FFFF9966"/>
      <color rgb="FFFF7C80"/>
      <color rgb="FFD2016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in" displayName="Main" ref="A1:AD203" totalsRowShown="0" headerRowDxfId="110" dataDxfId="109">
  <autoFilter ref="A1:AD203" xr:uid="{00000000-000C-0000-FFFF-FFFF00000000}"/>
  <tableColumns count="30">
    <tableColumn id="23" xr3:uid="{00000000-0010-0000-0000-000017000000}" name="Finca" dataDxfId="108"/>
    <tableColumn id="26" xr3:uid="{00000000-0010-0000-0000-00001A000000}" name="Qty" dataDxfId="107"/>
    <tableColumn id="16" xr3:uid="{00000000-0010-0000-0000-000010000000}" name="Type of Box" dataDxfId="106"/>
    <tableColumn id="5" xr3:uid="{00000000-0010-0000-0000-000005000000}" name="Cantidad_Min" dataDxfId="105"/>
    <tableColumn id="6" xr3:uid="{00000000-0010-0000-0000-000006000000}" name="Cantidad_QB" dataDxfId="104"/>
    <tableColumn id="2" xr3:uid="{00000000-0010-0000-0000-000002000000}" name="Variedad" dataDxfId="103"/>
    <tableColumn id="3" xr3:uid="{00000000-0010-0000-0000-000003000000}" name="Nombre" dataDxfId="102"/>
    <tableColumn id="4" xr3:uid="{00000000-0010-0000-0000-000004000000}" name="Color" dataDxfId="101"/>
    <tableColumn id="7" xr3:uid="{00000000-0010-0000-0000-000007000000}" name="Cost" dataDxfId="100"/>
    <tableColumn id="14" xr3:uid="{00000000-0010-0000-0000-00000E000000}" name="Markup" dataDxfId="99">
      <calculatedColumnFormula>_xlfn.LET(
  _xlpm.result, 1-((Main[[#This Row],[Cost]]+Main[[#This Row],[Duties]]+Main[[#This Row],[Transport]])/((Main[[#This Row],[Precio]]*0.96))),
  IF(_xlpm.result&lt;0, "BAJO", IF(_xlpm.result&gt;1, "ALTO", _xlpm.result))
)</calculatedColumnFormula>
    </tableColumn>
    <tableColumn id="8" xr3:uid="{00000000-0010-0000-0000-000008000000}" name="Precio" dataDxfId="98"/>
    <tableColumn id="24" xr3:uid="{00000000-0010-0000-0000-000018000000}" name="Guia" dataDxfId="97">
      <calculatedColumnFormula>IF(ISNA(MATCH(Main[[#This Row],[FechaEntrega]], Guias[Fecha], 0)), "ERROR",
IF(AND(WEEKDAY(Main[[#This Row],[FechaEntrega]],2)=1, OR(Main[[#This Row],[Type of Box]]="QB", Main[[#This Row],[Type of Box]]="EB", Main[[#This Row],[Type of Box]]="HB", Main[[#This Row],[Type of Box]]="SB")), _xlfn.XLOOKUP("Lunes",Guias[Día],Guias[Ecuador]),
  IF(AND(WEEKDAY(Main[[#This Row],[FechaEntrega]],2)=1, OR(Main[[#This Row],[Type of Box]]="QB2", Main[[#This Row],[Type of Box]]="EB2")), _xlfn.XLOOKUP("Lunes",Guias[Día],Guias[Colombia]),
    IF(AND(WEEKDAY(Main[[#This Row],[FechaEntrega]],2)=2, OR(Main[[#This Row],[Type of Box]]="QB", Main[[#This Row],[Type of Box]]="EB", Main[[#This Row],[Type of Box]]="HB", Main[[#This Row],[Type of Box]]="SB")), _xlfn.XLOOKUP("Martes",Guias[Día],Guias[Ecuador]),
      IF(AND(WEEKDAY(Main[[#This Row],[FechaEntrega]],2)=2, OR(Main[[#This Row],[Type of Box]]="QB2", Main[[#This Row],[Type of Box]]="EB2")), _xlfn.XLOOKUP("Lunes",Guias[Día],Guias[Colombia]),
        IF(WEEKDAY(Main[[#This Row],[FechaEntrega]],2)=3, _xlfn.XLOOKUP("Miercoles",Guias[Día],Guias[Ecuador]),
          IF(AND(WEEKDAY(Main[[#This Row],[FechaEntrega]],2)=4, OR(Main[[#This Row],[Type of Box]]="QB", Main[[#This Row],[Type of Box]]="EB", Main[[#This Row],[Type of Box]]="HB", Main[[#This Row],[Type of Box]]="SB")), _xlfn.XLOOKUP("Jueves",Guias[Día],Guias[Ecuador]),
            IF(AND(WEEKDAY(Main[[#This Row],[FechaEntrega]],2)=4, OR(Main[[#This Row],[Type of Box]]="EB2", Main[[#This Row],[Type of Box]]="QB2")), _xlfn.XLOOKUP("Miercoles",Guias[Día],Guias[Colombia]),
              IF(AND(WEEKDAY(Main[[#This Row],[FechaEntrega]],2)=5, OR(Main[[#This Row],[Type of Box]]="QB", Main[[#This Row],[Type of Box]]="EB", Main[[#This Row],[Type of Box]]="HB", Main[[#This Row],[Type of Box]]="SB")), _xlfn.XLOOKUP("Viernes",Guias[Día],Guias[Ecuador]),
                IF(AND(WEEKDAY(Main[[#This Row],[FechaEntrega]],2)=5, OR(Main[[#This Row],[Type of Box]]="EB2", Main[[#This Row],[Type of Box]]="QB2")), _xlfn.XLOOKUP("Jueves",Guias[Día],Guias[Colombia]),
                  IF(AND(WEEKDAY(Main[[#This Row],[FechaEntrega]],2)=6, OR(Main[[#This Row],[Type of Box]]="QB", Main[[#This Row],[Type of Box]]="EB", Main[[#This Row],[Type of Box]]="HB"), ISNUMBER(SEARCH("T/F", Main[[#This Row],[Nombre]]))), _xlfn.XLOOKUP("Lunes",Guias[Día],Guias[Ecuador]),
                    IF(AND(WEEKDAY(Main[[#This Row],[FechaEntrega]],2)=6, OR(Main[[#This Row],[Type of Box]]="QB", Main[[#This Row],[Type of Box]]="EB", Main[[#This Row],[Type of Box]]="HB", Main[[#This Row],[Type of Box]]="SB")), _xlfn.XLOOKUP("Viernes",Guias[Día],Guias[Ecuador]),
                      IF(AND(WEEKDAY(Main[[#This Row],[FechaEntrega]],2)=6, OR(Main[[#This Row],[Type of Box]]="EB2", Main[[#This Row],[Type of Box]]="QB2")), _xlfn.XLOOKUP("Viernes",Guias[Día],Guias[Colombia]), "")))))))))))))</calculatedColumnFormula>
    </tableColumn>
    <tableColumn id="25" xr3:uid="{00000000-0010-0000-0000-000019000000}" name="FechaEntrega" dataDxfId="96"/>
    <tableColumn id="9" xr3:uid="{00000000-0010-0000-0000-000009000000}" name="Duties" dataDxfId="95">
      <calculatedColumnFormula>ROUNDUP((Main[[#This Row],[Cost]]*Main[[#This Row],[Import Duties]]),2)</calculatedColumnFormula>
    </tableColumn>
    <tableColumn id="10" xr3:uid="{00000000-0010-0000-0000-00000A000000}" name="Origen" dataDxfId="94"/>
    <tableColumn id="11" xr3:uid="{00000000-0010-0000-0000-00000B000000}" name="Box" dataDxfId="93"/>
    <tableColumn id="12" xr3:uid="{00000000-0010-0000-0000-00000C000000}" name="img" dataDxfId="92"/>
    <tableColumn id="15" xr3:uid="{00000000-0010-0000-0000-00000F000000}" name="Transport" dataDxfId="91">
      <calculatedColumnFormula>ROUNDUP(Main[[#This Row],[Transport2]]/Main[[#This Row],[Cantidad_Min]],2)</calculatedColumnFormula>
    </tableColumn>
    <tableColumn id="17" xr3:uid="{00000000-0010-0000-0000-000011000000}" name="Largo2" dataDxfId="90">
      <calculatedColumnFormula>_xlfn.XLOOKUP(Main[[#This Row],[Type of Box]], Cajas[Nombre], Cajas[Largo])</calculatedColumnFormula>
    </tableColumn>
    <tableColumn id="18" xr3:uid="{00000000-0010-0000-0000-000012000000}" name="Ancho" dataDxfId="89">
      <calculatedColumnFormula>_xlfn.XLOOKUP(Main[[#This Row],[Type of Box]], Cajas[Nombre], Cajas[Ancho])</calculatedColumnFormula>
    </tableColumn>
    <tableColumn id="19" xr3:uid="{00000000-0010-0000-0000-000013000000}" name="Alto" dataDxfId="88">
      <calculatedColumnFormula>_xlfn.XLOOKUP(Main[[#This Row],[Type of Box]], Cajas[Nombre], Cajas[Alto])</calculatedColumnFormula>
    </tableColumn>
    <tableColumn id="20" xr3:uid="{00000000-0010-0000-0000-000014000000}" name="Volumen" dataDxfId="87">
      <calculatedColumnFormula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calculatedColumnFormula>
    </tableColumn>
    <tableColumn id="21" xr3:uid="{00000000-0010-0000-0000-000015000000}" name="Transport2" dataDxfId="86">
      <calculatedColumnFormula>ROUNDUP(((Main[[#This Row],[Volumen]]*5.4)+5.75)*1.1,2)</calculatedColumnFormula>
    </tableColumn>
    <tableColumn id="22" xr3:uid="{00000000-0010-0000-0000-000016000000}" name="Import Duties" dataDxfId="85"/>
    <tableColumn id="27" xr3:uid="{00000000-0010-0000-0000-00001B000000}" name="Total" dataDxfId="84">
      <calculatedColumnFormula>Main[[#This Row],[Cantidad_Min]]*Main[[#This Row],[Precio]]*Main[[#This Row],[Qty]]</calculatedColumnFormula>
    </tableColumn>
    <tableColumn id="28" xr3:uid="{00000000-0010-0000-0000-00001C000000}" name="FincaID" dataDxfId="83">
      <calculatedColumnFormula>_xlfn.XLOOKUP(Main[[#This Row],[Finca]], Fincas[Nombre], Fincas[ID])</calculatedColumnFormula>
    </tableColumn>
    <tableColumn id="1" xr3:uid="{1F6C6592-789E-4D95-8119-F2768D79D1EC}" name="Inventarios" dataDxfId="82"/>
    <tableColumn id="29" xr3:uid="{57DB060B-7AED-4213-B456-11E6BE23ED59}" name="SendEmail" dataDxfId="81"/>
    <tableColumn id="30" xr3:uid="{CA3E2513-1B47-44F1-B35E-C6F87A174903}" name="Comments" dataDxfId="80"/>
    <tableColumn id="13" xr3:uid="{34A23ED3-4FE1-4B7F-9787-E4C6235C25EC}" name="Standing Orders" dataDxfId="7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EF9A71-AC69-4C35-BD2F-F2B26BD67BF9}" name="Cajas" displayName="Cajas" ref="B1:R177" totalsRowShown="0" headerRowDxfId="78" dataDxfId="77">
  <autoFilter ref="B1:R177" xr:uid="{3AEF9A71-AC69-4C35-BD2F-F2B26BD67BF9}"/>
  <tableColumns count="17">
    <tableColumn id="1" xr3:uid="{C01F9678-EBEC-4999-A8AB-34B957AD67CA}" name="Nombre" dataDxfId="76"/>
    <tableColumn id="2" xr3:uid="{43C0E209-EB0C-4170-A2B3-1846D9950BB6}" name="Largo" dataDxfId="75"/>
    <tableColumn id="3" xr3:uid="{C0DCD2CC-3941-4CEE-9EFD-FD6ACD1F0674}" name="Ancho" dataDxfId="74"/>
    <tableColumn id="4" xr3:uid="{796CD1F2-A156-4664-A898-FF4A304896C8}" name="Alto" dataDxfId="73"/>
    <tableColumn id="5" xr3:uid="{89430D18-E61A-4F19-BB85-539A23A71413}" name="Peso" dataDxfId="72">
      <calculatedColumnFormula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calculatedColumnFormula>
    </tableColumn>
    <tableColumn id="16" xr3:uid="{CD56B2BF-8E10-46BD-8287-0A9015CB05AB}" name="Aprobado" dataDxfId="71">
      <calculatedColumnFormula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calculatedColumnFormula>
    </tableColumn>
    <tableColumn id="11" xr3:uid="{2B329EF1-F60A-4814-8780-02BA7E59F6E9}" name="Largo2" dataDxfId="70">
      <calculatedColumnFormula>ROUNDUP(Cajas[[#This Row],[Largo]]/2.54,2)</calculatedColumnFormula>
    </tableColumn>
    <tableColumn id="12" xr3:uid="{174F7BBD-0C84-40A3-AD3D-8B3F87412CA5}" name="Ancho2" dataDxfId="69">
      <calculatedColumnFormula>ROUNDUP(Cajas[[#This Row],[Ancho]]/2.54,2)</calculatedColumnFormula>
    </tableColumn>
    <tableColumn id="13" xr3:uid="{4DCD259E-6A6F-4200-AB72-AFEF4F975073}" name="Alto2" dataDxfId="68">
      <calculatedColumnFormula>ROUNDUP(Cajas[[#This Row],[Alto]]/2.54,2)</calculatedColumnFormula>
    </tableColumn>
    <tableColumn id="14" xr3:uid="{730CDFAB-47A0-4340-BD02-1D642454FB58}" name="Peso Pulgadas" dataDxfId="67"/>
    <tableColumn id="7" xr3:uid="{2842B931-3A22-46AD-9854-5F017EDD990B}" name="40cm" dataDxfId="66"/>
    <tableColumn id="6" xr3:uid="{EDBF2AAE-1C61-4452-ACF6-4E051DB5ABC2}" name="50cm" dataDxfId="65"/>
    <tableColumn id="8" xr3:uid="{040BC131-8900-4901-863B-AB9853AA524E}" name="60cm" dataDxfId="64"/>
    <tableColumn id="9" xr3:uid="{01CBD2C4-E044-4177-984E-C039999937D8}" name="70cm" dataDxfId="63"/>
    <tableColumn id="17" xr3:uid="{73AECC7C-29B1-4F8B-B95D-24020192ADAB}" name="80cm" dataDxfId="62"/>
    <tableColumn id="15" xr3:uid="{58FBD5AE-0665-431F-AE69-2C66A93E63D4}" name="90cm" dataDxfId="61"/>
    <tableColumn id="10" xr3:uid="{8FE8AA9F-C1D1-4E09-A2D4-2DE3A01C9C2D}" name="100cm" dataDxfId="6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E6D251-2766-4933-A0BB-00CBE0B5D9EB}" name="Vendedores" displayName="Vendedores" ref="I1:K20" totalsRowShown="0" headerRowDxfId="59" tableBorderDxfId="58">
  <autoFilter ref="I1:K20" xr:uid="{E6E6D251-2766-4933-A0BB-00CBE0B5D9EB}"/>
  <sortState xmlns:xlrd2="http://schemas.microsoft.com/office/spreadsheetml/2017/richdata2" ref="I2:K21">
    <sortCondition ref="I1:I21"/>
  </sortState>
  <tableColumns count="3">
    <tableColumn id="1" xr3:uid="{8FAF59E7-D2FF-4A66-BC5E-43B7A05AAD76}" name="Nombre"/>
    <tableColumn id="2" xr3:uid="{47BB8C31-5C02-40AF-A6E7-10B7811CDCA8}" name="Fragmento"/>
    <tableColumn id="3" xr3:uid="{F23BD7EE-1D6B-46D2-A521-69A57FEA78C7}" name="ID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D4DFB1-1FAE-4573-9FAF-9CE4BC428AA3}" name="Guias" displayName="Guias" ref="A1:G7" totalsRowShown="0" headerRowDxfId="57">
  <autoFilter ref="A1:G7" xr:uid="{D9D4DFB1-1FAE-4573-9FAF-9CE4BC428AA3}"/>
  <tableColumns count="7">
    <tableColumn id="1" xr3:uid="{FD33BD0D-E466-4995-A2A4-D6DBBF50B546}" name="Día" dataDxfId="56"/>
    <tableColumn id="2" xr3:uid="{286FFC54-C4DE-41B1-9C3D-FA82B4B53CD3}" name="Fecha" dataDxfId="55"/>
    <tableColumn id="3" xr3:uid="{24EF9B2E-03D8-411B-8DFD-241C42F5F537}" name="Vuelos" dataDxfId="54">
      <calculatedColumnFormula>IF(B2&lt;TODAY(),"***Error de Fecha***","Vuelo Viernes")</calculatedColumnFormula>
    </tableColumn>
    <tableColumn id="7" xr3:uid="{297083EB-8D96-4608-B612-1DE76DC52746}" name="Entrega" dataDxfId="53">
      <calculatedColumnFormula>Guias[[#This Row],[Fecha]]+5</calculatedColumnFormula>
    </tableColumn>
    <tableColumn id="4" xr3:uid="{63D22E1A-B248-4422-B48C-CABA46150D20}" name="Ecuador" dataDxfId="52"/>
    <tableColumn id="5" xr3:uid="{EDC26EC5-DF9F-4FF8-B87F-60F55228C7E5}" name="Colombia" dataDxfId="51"/>
    <tableColumn id="6" xr3:uid="{6FB7A04A-0870-4B0A-9378-785B44B31785}" name="Llegada" dataDxfId="5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C75C9FF-FCF1-4F73-A362-7FEA33E09E38}" name="Size" displayName="Size" ref="R1:R11" totalsRowShown="0">
  <autoFilter ref="R1:R11" xr:uid="{9C75C9FF-FCF1-4F73-A362-7FEA33E09E38}"/>
  <tableColumns count="1">
    <tableColumn id="1" xr3:uid="{DF3012E8-A27B-4F30-BB82-54B7FBD3B2C8}" name="Size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E825A7B-D2B4-459B-BE09-B91DFA9B2A83}" name="Colors" displayName="Colors" ref="S1:S36" totalsRowShown="0">
  <autoFilter ref="S1:S36" xr:uid="{4E825A7B-D2B4-459B-BE09-B91DFA9B2A83}"/>
  <tableColumns count="1">
    <tableColumn id="1" xr3:uid="{93DBDEE3-4CE9-4F64-9C44-5AAE1397E63B}" name="Colors"/>
  </tableColumns>
  <tableStyleInfo name="TableStyleMedium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0FDF7A8-DAA7-4DFA-AF91-33F1242566BC}" name="Category" displayName="Category" ref="T1:T49" totalsRowShown="0">
  <autoFilter ref="T1:T49" xr:uid="{60FDF7A8-DAA7-4DFA-AF91-33F1242566BC}"/>
  <tableColumns count="1">
    <tableColumn id="1" xr3:uid="{DB211F7E-CA46-41E5-A489-E4AF430601F2}" name="Category"/>
  </tableColumns>
  <tableStyleInfo name="TableStyleMedium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710FFF-8872-4C80-A1FE-30DCA188E9AE}" name="Fincas" displayName="Fincas" ref="A1:E135" totalsRowShown="0" headerRowDxfId="49" headerRowBorderDxfId="48" tableBorderDxfId="47">
  <autoFilter ref="A1:E135" xr:uid="{14710FFF-8872-4C80-A1FE-30DCA188E9AE}"/>
  <sortState xmlns:xlrd2="http://schemas.microsoft.com/office/spreadsheetml/2017/richdata2" ref="B2:E105">
    <sortCondition ref="C1:C105"/>
  </sortState>
  <tableColumns count="5">
    <tableColumn id="5" xr3:uid="{06C67F3B-17B0-4CBB-8489-2128FC9D792F}" name="Llegada"/>
    <tableColumn id="1" xr3:uid="{EA6DE2AC-F74F-4DD0-987D-1F6E41AEF324}" name="Nombre"/>
    <tableColumn id="2" xr3:uid="{6EA21BF8-023A-4BFE-843B-B387B0378101}" name="ID" dataDxfId="46"/>
    <tableColumn id="4" xr3:uid="{19375EF4-00D0-404D-8C2F-0270D8739BE0}" name="Agencia" dataDxfId="45"/>
    <tableColumn id="3" xr3:uid="{8791BCB0-F5C0-44B2-83D1-B89E8D4C0D8C}" name="Nota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33E6E07-CCCB-4654-8692-637E5F537860}" name="Catalogo" displayName="Catalogo" ref="A2:U519" totalsRowShown="0" headerRowDxfId="44" tableBorderDxfId="43">
  <autoFilter ref="A2:U519" xr:uid="{C33E6E07-CCCB-4654-8692-637E5F537860}"/>
  <tableColumns count="21">
    <tableColumn id="1" xr3:uid="{78CA3885-9758-405A-8E1D-9B7ED8D6C5C5}" name="Finca" dataDxfId="42"/>
    <tableColumn id="2" xr3:uid="{17083214-7C4F-49AA-9DBD-6AA8AEF2EF78}" name="ID" dataDxfId="41">
      <calculatedColumnFormula>_xlfn.XLOOKUP(Catalogo[[#This Row],[Finca]], Fincas[Nombre], Fincas[ID])</calculatedColumnFormula>
    </tableColumn>
    <tableColumn id="3" xr3:uid="{A820C2CE-4D5C-4024-9C98-8B282BB6555F}" name="Categoría" dataDxfId="40"/>
    <tableColumn id="4" xr3:uid="{0A91C93C-FCF5-4BE7-95A8-D446C2F680B9}" name="Producto" dataDxfId="39"/>
    <tableColumn id="12" xr3:uid="{40CF1454-C803-46C3-BE95-56F745256408}" name="Composición" dataDxfId="38"/>
    <tableColumn id="15" xr3:uid="{EFCE6B61-0EB2-407B-A922-E8647EEF1969}" name="Color 1" dataDxfId="37"/>
    <tableColumn id="5" xr3:uid="{2FBA7551-9C76-4A88-8AA4-7AFF01A9108E}" name="Color 2" dataDxfId="36"/>
    <tableColumn id="8" xr3:uid="{D8D88523-FE99-4E61-B184-C416A61B222A}" name="Largo" dataDxfId="35"/>
    <tableColumn id="21" xr3:uid="{3EF6836D-3E32-460F-BAEE-A68F0EBB5BC9}" name="IMG" dataDxfId="34"/>
    <tableColumn id="6" xr3:uid="{3025866C-1C58-4EFE-BCEE-D5054B044745}" name="Caja EC" dataDxfId="33"/>
    <tableColumn id="14" xr3:uid="{EE308E2F-DF57-4398-8A12-83CDC91CC7CE}" name="Op" dataDxfId="32">
      <calculatedColumnFormula>IF(AND(TRIM(Catalogo[[#This Row],[Caja EC]])&lt;&gt;"",ISNUMBER(SEARCH(TRIM(Catalogo[[#This Row],[Caja EC]]),Catalogo[[#This Row],[Caja Finca]]))),_xlfn.XLOOKUP(TRIM(Catalogo[[#This Row],[Caja Finca]]),Cajas[Nombre],Cajas[Aprobado],"NO ENCONTRADO",0),"")</calculatedColumnFormula>
    </tableColumn>
    <tableColumn id="13" xr3:uid="{17856616-7928-456C-B32C-8C9A25600857}" name="Caja Finca" dataDxfId="31"/>
    <tableColumn id="7" xr3:uid="{EEE7540E-5778-484A-A7BF-D42149AF756F}" name="Total Tallos" dataDxfId="30"/>
    <tableColumn id="9" xr3:uid="{2DE6D307-75F2-4F70-AB10-BE4FACF909D4}" name="Compra" dataDxfId="29"/>
    <tableColumn id="11" xr3:uid="{73682A48-2A0F-4D13-8F8B-47D1D61F90E2}" name="Markup" dataDxfId="28">
      <calculatedColumnFormula>IFERROR(_xlfn.LET(_xlpm.boxType, J3, _xlpm.tallos, M3, _xlpm.cost, N3, _xlpm.precio, P3,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calculatedColumnFormula>
    </tableColumn>
    <tableColumn id="10" xr3:uid="{56F05126-D9C3-41CA-B05E-2E792A1B4C60}" name="Venta" dataDxfId="27"/>
    <tableColumn id="19" xr3:uid="{9DD38B86-03CA-496D-8BFE-CE0C6507317B}" name="Caja UK" dataDxfId="26"/>
    <tableColumn id="20" xr3:uid="{8D2E6CB8-174A-49D7-8639-2A93760E8D74}" name="Op UK" dataDxfId="25">
      <calculatedColumnFormula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calculatedColumnFormula>
    </tableColumn>
    <tableColumn id="18" xr3:uid="{964160D8-BDB2-498B-ABF3-5E881C7FE542}" name="Compra UK" dataDxfId="24"/>
    <tableColumn id="16" xr3:uid="{AC62ED65-E000-4E04-94C2-DBD7E03ABFEA}" name="Markup UK" dataDxfId="23"/>
    <tableColumn id="17" xr3:uid="{E796CE65-643C-47EC-BF25-A8FDAB6C53CE}" name="Venta UK" dataDxfId="2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>
    <pageSetUpPr fitToPage="1"/>
  </sheetPr>
  <dimension ref="A1:AD203"/>
  <sheetViews>
    <sheetView tabSelected="1" topLeftCell="A94" zoomScale="80" zoomScaleNormal="80" workbookViewId="0">
      <selection activeCell="AA133" sqref="AA133"/>
    </sheetView>
  </sheetViews>
  <sheetFormatPr defaultColWidth="9.140625" defaultRowHeight="15" x14ac:dyDescent="0.25"/>
  <cols>
    <col min="1" max="1" width="18.28515625" style="37" customWidth="1"/>
    <col min="2" max="2" width="4.140625" style="1" customWidth="1"/>
    <col min="3" max="3" width="10.7109375" style="1" customWidth="1"/>
    <col min="4" max="4" width="5.42578125" customWidth="1"/>
    <col min="5" max="5" width="7" customWidth="1"/>
    <col min="6" max="6" width="28.42578125" bestFit="1" customWidth="1"/>
    <col min="7" max="7" width="76.7109375" customWidth="1"/>
    <col min="8" max="8" width="9.140625" style="1" customWidth="1"/>
    <col min="9" max="9" width="7.140625" style="259" customWidth="1"/>
    <col min="10" max="10" width="9" style="73" customWidth="1"/>
    <col min="11" max="11" width="6.85546875" style="158" customWidth="1"/>
    <col min="12" max="12" width="12.28515625" style="33" customWidth="1"/>
    <col min="13" max="13" width="12.28515625" style="243" customWidth="1"/>
    <col min="14" max="14" width="7.7109375" style="265" customWidth="1"/>
    <col min="15" max="15" width="1.85546875" style="264" customWidth="1"/>
    <col min="16" max="16" width="1.7109375" style="264" customWidth="1"/>
    <col min="17" max="17" width="1.5703125" customWidth="1"/>
    <col min="18" max="18" width="9.140625" customWidth="1"/>
    <col min="19" max="19" width="8.5703125" customWidth="1"/>
    <col min="20" max="20" width="5.42578125" customWidth="1"/>
    <col min="21" max="21" width="6.5703125" customWidth="1"/>
    <col min="22" max="22" width="8.140625" style="260" customWidth="1"/>
    <col min="23" max="23" width="5" style="238" customWidth="1"/>
    <col min="24" max="24" width="8.42578125" style="238" customWidth="1"/>
    <col min="25" max="25" width="8" customWidth="1"/>
    <col min="26" max="26" width="6.85546875" customWidth="1"/>
    <col min="27" max="27" width="15.140625" customWidth="1"/>
    <col min="28" max="28" width="3.42578125" style="2" customWidth="1"/>
    <col min="29" max="29" width="12.85546875" customWidth="1"/>
    <col min="30" max="30" width="10.42578125" customWidth="1"/>
  </cols>
  <sheetData>
    <row r="1" spans="1:30" s="72" customFormat="1" x14ac:dyDescent="0.25">
      <c r="A1" s="32" t="s">
        <v>0</v>
      </c>
      <c r="B1" s="1" t="s">
        <v>1</v>
      </c>
      <c r="C1" s="1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1" t="s">
        <v>7</v>
      </c>
      <c r="I1" s="1" t="s">
        <v>8</v>
      </c>
      <c r="J1" s="73" t="s">
        <v>9</v>
      </c>
      <c r="K1" s="72" t="s">
        <v>10</v>
      </c>
      <c r="L1" s="33" t="s">
        <v>11</v>
      </c>
      <c r="M1" s="156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5" t="s">
        <v>21</v>
      </c>
      <c r="W1" s="34" t="s">
        <v>22</v>
      </c>
      <c r="X1" s="36" t="s">
        <v>23</v>
      </c>
      <c r="Y1" s="34" t="s">
        <v>24</v>
      </c>
      <c r="Z1" s="34" t="s">
        <v>25</v>
      </c>
      <c r="AA1" s="72" t="s">
        <v>26</v>
      </c>
      <c r="AB1" s="2" t="s">
        <v>27</v>
      </c>
      <c r="AC1" s="72" t="s">
        <v>28</v>
      </c>
      <c r="AD1" s="72" t="s">
        <v>29</v>
      </c>
    </row>
    <row r="2" spans="1:30" x14ac:dyDescent="0.25">
      <c r="A2" s="37" t="s">
        <v>34</v>
      </c>
      <c r="B2" s="157">
        <v>2</v>
      </c>
      <c r="C2" s="157" t="s">
        <v>33</v>
      </c>
      <c r="D2" s="37">
        <v>125</v>
      </c>
      <c r="E2">
        <v>125</v>
      </c>
      <c r="F2" t="s">
        <v>35</v>
      </c>
      <c r="G2" t="str">
        <f>"Fortune " &amp; _xlfn.XLOOKUP(Main[[#This Row],[FechaEntrega]], Guias[Fecha], Guias[Llegada])</f>
        <v>Fortune (T/W)</v>
      </c>
      <c r="H2" s="1" t="s">
        <v>805</v>
      </c>
      <c r="I2" s="259">
        <v>0.36</v>
      </c>
      <c r="J2" s="73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2" s="135">
        <v>1.29</v>
      </c>
      <c r="L2" s="33" t="str" cm="1">
        <f t="array" aca="1" ref="L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2" s="156">
        <f>Guias!$B$3</f>
        <v>46296</v>
      </c>
      <c r="N2" s="234">
        <f>ROUNDUP((Main[[#This Row],[Cost]]*Main[[#This Row],[Import Duties]]),2)</f>
        <v>6.0000000000000005E-2</v>
      </c>
      <c r="O2">
        <v>0</v>
      </c>
      <c r="P2">
        <v>1</v>
      </c>
      <c r="Q2">
        <v>0</v>
      </c>
      <c r="R2" s="235">
        <f>ROUNDUP(Main[[#This Row],[Transport2]]/Main[[#This Row],[Cantidad_Min]],2)</f>
        <v>0.53</v>
      </c>
      <c r="S2">
        <f>_xlfn.XLOOKUP(Main[[#This Row],[Type of Box]], Cajas[Nombre], Cajas[Largo])</f>
        <v>99</v>
      </c>
      <c r="T2">
        <f>_xlfn.XLOOKUP(Main[[#This Row],[Type of Box]], Cajas[Nombre], Cajas[Ancho])</f>
        <v>35</v>
      </c>
      <c r="U2">
        <f>_xlfn.XLOOKUP(Main[[#This Row],[Type of Box]], Cajas[Nombre], Cajas[Alto])</f>
        <v>16</v>
      </c>
      <c r="V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">
        <f>ROUNDUP(((Main[[#This Row],[Volumen]]*5.25))*1.36,2)</f>
        <v>65.98</v>
      </c>
      <c r="X2" s="238">
        <v>0.15859999999999999</v>
      </c>
      <c r="Y2" s="260">
        <f>Main[[#This Row],[Cantidad_Min]]*Main[[#This Row],[Precio]]*Main[[#This Row],[Qty]]</f>
        <v>322.5</v>
      </c>
      <c r="Z2">
        <f>_xlfn.XLOOKUP(Main[[#This Row],[Finca]], Fincas[Nombre], Fincas[ID])</f>
        <v>72</v>
      </c>
      <c r="AA2" t="str" cm="1">
        <f t="array" ref="AA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" s="2" t="s">
        <v>36</v>
      </c>
      <c r="AC2" s="5"/>
      <c r="AD2" s="244"/>
    </row>
    <row r="3" spans="1:30" x14ac:dyDescent="0.25">
      <c r="A3" s="37" t="s">
        <v>37</v>
      </c>
      <c r="B3" s="157">
        <v>1</v>
      </c>
      <c r="C3" s="157" t="s">
        <v>33</v>
      </c>
      <c r="D3" s="37">
        <v>125</v>
      </c>
      <c r="E3">
        <v>125</v>
      </c>
      <c r="F3" t="s">
        <v>38</v>
      </c>
      <c r="G3" t="str">
        <f>"Hermosa " &amp; _xlfn.XLOOKUP(Main[[#This Row],[FechaEntrega]], Guias[Fecha], Guias[Llegada])</f>
        <v>Hermosa (M/T)</v>
      </c>
      <c r="H3" s="1" t="s">
        <v>807</v>
      </c>
      <c r="I3" s="259">
        <v>0.45</v>
      </c>
      <c r="J3" s="73">
        <f>_xlfn.LET(
  _xlpm.result, 1-((Main[[#This Row],[Cost]]+Main[[#This Row],[Duties]]+Main[[#This Row],[Transport]])/((Main[[#This Row],[Precio]]*0.96))),
  IF(_xlpm.result&lt;0, "BAJO", IF(_xlpm.result&gt;1, "ALTO", _xlpm.result))
)</f>
        <v>0.23321759259259245</v>
      </c>
      <c r="K3" s="135">
        <v>1.44</v>
      </c>
      <c r="L3" s="33" t="str" cm="1">
        <f t="array" aca="1" ref="L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3" s="156">
        <f>Guias!$B$2</f>
        <v>46295</v>
      </c>
      <c r="N3" s="234">
        <f>ROUNDUP((Main[[#This Row],[Cost]]*Main[[#This Row],[Import Duties]]),2)</f>
        <v>0.08</v>
      </c>
      <c r="O3">
        <v>0</v>
      </c>
      <c r="P3">
        <v>1</v>
      </c>
      <c r="Q3">
        <v>0</v>
      </c>
      <c r="R3" s="235">
        <f>ROUNDUP(Main[[#This Row],[Transport2]]/Main[[#This Row],[Cantidad_Min]],2)</f>
        <v>0.53</v>
      </c>
      <c r="S3">
        <f>_xlfn.XLOOKUP(Main[[#This Row],[Type of Box]], Cajas[Nombre], Cajas[Largo])</f>
        <v>99</v>
      </c>
      <c r="T3">
        <f>_xlfn.XLOOKUP(Main[[#This Row],[Type of Box]], Cajas[Nombre], Cajas[Ancho])</f>
        <v>35</v>
      </c>
      <c r="U3">
        <f>_xlfn.XLOOKUP(Main[[#This Row],[Type of Box]], Cajas[Nombre], Cajas[Alto])</f>
        <v>16</v>
      </c>
      <c r="V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">
        <f>ROUNDUP(((Main[[#This Row],[Volumen]]*5.25))*1.36,2)</f>
        <v>65.98</v>
      </c>
      <c r="X3" s="238">
        <v>0.15859999999999999</v>
      </c>
      <c r="Y3" s="260">
        <f>Main[[#This Row],[Cantidad_Min]]*Main[[#This Row],[Precio]]*Main[[#This Row],[Qty]]</f>
        <v>180</v>
      </c>
      <c r="Z3">
        <f>_xlfn.XLOOKUP(Main[[#This Row],[Finca]], Fincas[Nombre], Fincas[ID])</f>
        <v>35</v>
      </c>
      <c r="AA3" t="str" cm="1">
        <f t="array" ref="AA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" s="2" t="s">
        <v>36</v>
      </c>
      <c r="AC3" s="5"/>
      <c r="AD3" s="244"/>
    </row>
    <row r="4" spans="1:30" x14ac:dyDescent="0.25">
      <c r="A4" s="37" t="s">
        <v>39</v>
      </c>
      <c r="B4" s="157">
        <v>1</v>
      </c>
      <c r="C4" s="157" t="s">
        <v>33</v>
      </c>
      <c r="D4" s="37">
        <v>125</v>
      </c>
      <c r="E4">
        <v>125</v>
      </c>
      <c r="F4" t="s">
        <v>38</v>
      </c>
      <c r="G4" t="str">
        <f>"Tibet " &amp; _xlfn.XLOOKUP(Main[[#This Row],[FechaEntrega]], Guias[Fecha], Guias[Llegada])</f>
        <v>Tibet (M/T)</v>
      </c>
      <c r="H4" s="1" t="s">
        <v>808</v>
      </c>
      <c r="I4" s="259">
        <v>0.37</v>
      </c>
      <c r="J4" s="73">
        <f>_xlfn.LET(
  _xlpm.result, 1-((Main[[#This Row],[Cost]]+Main[[#This Row],[Duties]]+Main[[#This Row],[Transport]])/((Main[[#This Row],[Precio]]*0.96))),
  IF(_xlpm.result&lt;0, "BAJO", IF(_xlpm.result&gt;1, "ALTO", _xlpm.result))
)</f>
        <v>0.2592592592592593</v>
      </c>
      <c r="K4" s="135">
        <v>1.35</v>
      </c>
      <c r="L4" s="33" t="str" cm="1">
        <f t="array" aca="1" ref="L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4" s="156">
        <f>Guias!$B$2</f>
        <v>46295</v>
      </c>
      <c r="N4" s="234">
        <f>ROUNDUP((Main[[#This Row],[Cost]]*Main[[#This Row],[Import Duties]]),2)</f>
        <v>6.0000000000000005E-2</v>
      </c>
      <c r="O4">
        <v>0</v>
      </c>
      <c r="P4">
        <v>1</v>
      </c>
      <c r="Q4">
        <v>0</v>
      </c>
      <c r="R4" s="235">
        <f>ROUNDUP(Main[[#This Row],[Transport2]]/Main[[#This Row],[Cantidad_Min]],2)</f>
        <v>0.53</v>
      </c>
      <c r="S4">
        <f>_xlfn.XLOOKUP(Main[[#This Row],[Type of Box]], Cajas[Nombre], Cajas[Largo])</f>
        <v>99</v>
      </c>
      <c r="T4">
        <f>_xlfn.XLOOKUP(Main[[#This Row],[Type of Box]], Cajas[Nombre], Cajas[Ancho])</f>
        <v>35</v>
      </c>
      <c r="U4">
        <f>_xlfn.XLOOKUP(Main[[#This Row],[Type of Box]], Cajas[Nombre], Cajas[Alto])</f>
        <v>16</v>
      </c>
      <c r="V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">
        <f>ROUNDUP(((Main[[#This Row],[Volumen]]*5.25))*1.36,2)</f>
        <v>65.98</v>
      </c>
      <c r="X4" s="238">
        <v>0.15859999999999999</v>
      </c>
      <c r="Y4" s="260">
        <f>Main[[#This Row],[Cantidad_Min]]*Main[[#This Row],[Precio]]*Main[[#This Row],[Qty]]</f>
        <v>168.75</v>
      </c>
      <c r="Z4">
        <f>_xlfn.XLOOKUP(Main[[#This Row],[Finca]], Fincas[Nombre], Fincas[ID])</f>
        <v>76</v>
      </c>
      <c r="AA4" t="str" cm="1">
        <f t="array" ref="AA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4" s="2" t="s">
        <v>36</v>
      </c>
      <c r="AC4" s="5"/>
      <c r="AD4" s="244"/>
    </row>
    <row r="5" spans="1:30" x14ac:dyDescent="0.25">
      <c r="A5" s="161" t="s">
        <v>34</v>
      </c>
      <c r="B5" s="162">
        <v>1</v>
      </c>
      <c r="C5" s="162" t="s">
        <v>32</v>
      </c>
      <c r="D5" s="161">
        <v>50</v>
      </c>
      <c r="E5" s="261">
        <v>50</v>
      </c>
      <c r="F5" s="261" t="s">
        <v>35</v>
      </c>
      <c r="G5" t="str">
        <f>"Playa Blanca " &amp; _xlfn.XLOOKUP(Main[[#This Row],[FechaEntrega]], Guias[Fecha], Guias[Llegada])</f>
        <v>Playa Blanca (M/T)</v>
      </c>
      <c r="H5" s="1" t="s">
        <v>809</v>
      </c>
      <c r="I5" s="259">
        <v>0.51</v>
      </c>
      <c r="J5" s="73">
        <f>_xlfn.LET(
  _xlpm.result, 1-((Main[[#This Row],[Cost]]+Main[[#This Row],[Duties]]+Main[[#This Row],[Transport]])/((Main[[#This Row],[Precio]]*0.96))),
  IF(_xlpm.result&lt;0, "BAJO", IF(_xlpm.result&gt;1, "ALTO", _xlpm.result))
)</f>
        <v>0.19472656249999998</v>
      </c>
      <c r="K5" s="135">
        <v>1.7204301075268817</v>
      </c>
      <c r="L5" s="33" t="str" cm="1">
        <f t="array" aca="1" ref="L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5" s="156">
        <f>Guias!$B$2</f>
        <v>46295</v>
      </c>
      <c r="N5" s="234">
        <f>ROUNDUP((Main[[#This Row],[Cost]]*Main[[#This Row],[Import Duties]]),2)</f>
        <v>0.09</v>
      </c>
      <c r="O5">
        <v>0</v>
      </c>
      <c r="P5">
        <v>1</v>
      </c>
      <c r="Q5">
        <v>0</v>
      </c>
      <c r="R5" s="235">
        <f>ROUNDUP(Main[[#This Row],[Transport2]]/Main[[#This Row],[Cantidad_Min]],2)</f>
        <v>0.73</v>
      </c>
      <c r="S5">
        <f>_xlfn.XLOOKUP(Main[[#This Row],[Type of Box]], Cajas[Nombre], Cajas[Largo])</f>
        <v>105</v>
      </c>
      <c r="T5">
        <f>_xlfn.XLOOKUP(Main[[#This Row],[Type of Box]], Cajas[Nombre], Cajas[Ancho])</f>
        <v>17</v>
      </c>
      <c r="U5">
        <f>_xlfn.XLOOKUP(Main[[#This Row],[Type of Box]], Cajas[Nombre], Cajas[Alto])</f>
        <v>17</v>
      </c>
      <c r="V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">
        <f>ROUNDUP(((Main[[#This Row],[Volumen]]*5.25))*1.36,2)</f>
        <v>36.119999999999997</v>
      </c>
      <c r="X5" s="238">
        <v>0.15859999999999999</v>
      </c>
      <c r="Y5" s="260">
        <f>Main[[#This Row],[Cantidad_Min]]*Main[[#This Row],[Precio]]*Main[[#This Row],[Qty]]</f>
        <v>86.021505376344081</v>
      </c>
      <c r="Z5">
        <f>_xlfn.XLOOKUP(Main[[#This Row],[Finca]], Fincas[Nombre], Fincas[ID])</f>
        <v>72</v>
      </c>
      <c r="AA5" t="str" cm="1">
        <f t="array" ref="AA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5" s="2" t="s">
        <v>36</v>
      </c>
      <c r="AC5" s="5"/>
      <c r="AD5" s="244" t="s">
        <v>40</v>
      </c>
    </row>
    <row r="6" spans="1:30" x14ac:dyDescent="0.25">
      <c r="A6" s="161" t="s">
        <v>41</v>
      </c>
      <c r="B6" s="162">
        <v>1</v>
      </c>
      <c r="C6" s="162" t="s">
        <v>32</v>
      </c>
      <c r="D6" s="161">
        <v>50</v>
      </c>
      <c r="E6" s="261">
        <v>50</v>
      </c>
      <c r="F6" s="261" t="s">
        <v>35</v>
      </c>
      <c r="G6" t="str">
        <f>"Inocencia " &amp; _xlfn.XLOOKUP(Main[[#This Row],[FechaEntrega]], Guias[Fecha], Guias[Llegada])</f>
        <v>Inocencia (M/T)</v>
      </c>
      <c r="H6" s="1" t="s">
        <v>810</v>
      </c>
      <c r="I6" s="259">
        <v>0.36399999999999999</v>
      </c>
      <c r="J6" s="73">
        <f>_xlfn.LET(
  _xlpm.result, 1-((Main[[#This Row],[Cost]]+Main[[#This Row],[Duties]]+Main[[#This Row],[Transport]])/((Main[[#This Row],[Precio]]*0.96))),
  IF(_xlpm.result&lt;0, "BAJO", IF(_xlpm.result&gt;1, "ALTO", _xlpm.result))
)</f>
        <v>0.15944548872180453</v>
      </c>
      <c r="K6" s="135">
        <v>1.4301075268817205</v>
      </c>
      <c r="L6" s="33" t="str" cm="1">
        <f t="array" aca="1" ref="L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6" s="156">
        <f>Guias!$B$2</f>
        <v>46295</v>
      </c>
      <c r="N6" s="234">
        <f>ROUNDUP((Main[[#This Row],[Cost]]*Main[[#This Row],[Import Duties]]),2)</f>
        <v>6.0000000000000005E-2</v>
      </c>
      <c r="O6">
        <v>0</v>
      </c>
      <c r="P6">
        <v>1</v>
      </c>
      <c r="Q6">
        <v>0</v>
      </c>
      <c r="R6" s="235">
        <f>ROUNDUP(Main[[#This Row],[Transport2]]/Main[[#This Row],[Cantidad_Min]],2)</f>
        <v>0.73</v>
      </c>
      <c r="S6">
        <f>_xlfn.XLOOKUP(Main[[#This Row],[Type of Box]], Cajas[Nombre], Cajas[Largo])</f>
        <v>105</v>
      </c>
      <c r="T6">
        <f>_xlfn.XLOOKUP(Main[[#This Row],[Type of Box]], Cajas[Nombre], Cajas[Ancho])</f>
        <v>17</v>
      </c>
      <c r="U6">
        <f>_xlfn.XLOOKUP(Main[[#This Row],[Type of Box]], Cajas[Nombre], Cajas[Alto])</f>
        <v>17</v>
      </c>
      <c r="V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">
        <f>ROUNDUP(((Main[[#This Row],[Volumen]]*5.25))*1.36,2)</f>
        <v>36.119999999999997</v>
      </c>
      <c r="X6" s="238">
        <v>0.15859999999999999</v>
      </c>
      <c r="Y6" s="260">
        <f>Main[[#This Row],[Cantidad_Min]]*Main[[#This Row],[Precio]]*Main[[#This Row],[Qty]]</f>
        <v>71.505376344086031</v>
      </c>
      <c r="Z6">
        <f>_xlfn.XLOOKUP(Main[[#This Row],[Finca]], Fincas[Nombre], Fincas[ID])</f>
        <v>38</v>
      </c>
      <c r="AA6" t="str" cm="1">
        <f t="array" ref="AA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6" s="2" t="s">
        <v>36</v>
      </c>
      <c r="AC6" s="5"/>
      <c r="AD6" s="244" t="s">
        <v>42</v>
      </c>
    </row>
    <row r="7" spans="1:30" x14ac:dyDescent="0.25">
      <c r="A7" s="161" t="s">
        <v>41</v>
      </c>
      <c r="B7" s="162">
        <v>1</v>
      </c>
      <c r="C7" s="162" t="s">
        <v>33</v>
      </c>
      <c r="D7" s="161">
        <v>125</v>
      </c>
      <c r="E7" s="261">
        <v>125</v>
      </c>
      <c r="F7" s="261" t="s">
        <v>35</v>
      </c>
      <c r="G7" t="str">
        <f>"Explorer " &amp; _xlfn.XLOOKUP(Main[[#This Row],[FechaEntrega]], Guias[Fecha], Guias[Llegada])</f>
        <v>Explorer (M/T)</v>
      </c>
      <c r="H7" s="1" t="s">
        <v>811</v>
      </c>
      <c r="I7" s="259">
        <v>0.36399999999999999</v>
      </c>
      <c r="J7" s="73">
        <f>_xlfn.LET(
  _xlpm.result, 1-((Main[[#This Row],[Cost]]+Main[[#This Row],[Duties]]+Main[[#This Row],[Transport]])/((Main[[#This Row],[Precio]]*0.96))),
  IF(_xlpm.result&lt;0, "BAJO", IF(_xlpm.result&gt;1, "ALTO", _xlpm.result))
)</f>
        <v>0.20499999999999996</v>
      </c>
      <c r="K7" s="135">
        <v>1.25</v>
      </c>
      <c r="L7" s="33" t="str" cm="1">
        <f t="array" aca="1" ref="L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7" s="156">
        <f>Guias!$B$2</f>
        <v>46295</v>
      </c>
      <c r="N7" s="234">
        <f>ROUNDUP((Main[[#This Row],[Cost]]*Main[[#This Row],[Import Duties]]),2)</f>
        <v>6.0000000000000005E-2</v>
      </c>
      <c r="O7">
        <v>0</v>
      </c>
      <c r="P7">
        <v>1</v>
      </c>
      <c r="Q7">
        <v>0</v>
      </c>
      <c r="R7" s="235">
        <f>ROUNDUP(Main[[#This Row],[Transport2]]/Main[[#This Row],[Cantidad_Min]],2)</f>
        <v>0.53</v>
      </c>
      <c r="S7">
        <f>_xlfn.XLOOKUP(Main[[#This Row],[Type of Box]], Cajas[Nombre], Cajas[Largo])</f>
        <v>99</v>
      </c>
      <c r="T7">
        <f>_xlfn.XLOOKUP(Main[[#This Row],[Type of Box]], Cajas[Nombre], Cajas[Ancho])</f>
        <v>35</v>
      </c>
      <c r="U7">
        <f>_xlfn.XLOOKUP(Main[[#This Row],[Type of Box]], Cajas[Nombre], Cajas[Alto])</f>
        <v>16</v>
      </c>
      <c r="V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">
        <f>ROUNDUP(((Main[[#This Row],[Volumen]]*5.25))*1.36,2)</f>
        <v>65.98</v>
      </c>
      <c r="X7" s="238">
        <v>0.15859999999999999</v>
      </c>
      <c r="Y7" s="260">
        <f>Main[[#This Row],[Cantidad_Min]]*Main[[#This Row],[Precio]]*Main[[#This Row],[Qty]]</f>
        <v>156.25</v>
      </c>
      <c r="Z7">
        <f>_xlfn.XLOOKUP(Main[[#This Row],[Finca]], Fincas[Nombre], Fincas[ID])</f>
        <v>38</v>
      </c>
      <c r="AA7" t="str" cm="1">
        <f t="array" ref="AA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7" s="2" t="s">
        <v>36</v>
      </c>
      <c r="AC7" s="5"/>
      <c r="AD7" s="244" t="s">
        <v>659</v>
      </c>
    </row>
    <row r="8" spans="1:30" x14ac:dyDescent="0.25">
      <c r="A8" s="161" t="s">
        <v>41</v>
      </c>
      <c r="B8" s="162">
        <v>1</v>
      </c>
      <c r="C8" s="162" t="s">
        <v>43</v>
      </c>
      <c r="D8" s="161">
        <v>200</v>
      </c>
      <c r="E8" s="261">
        <v>200</v>
      </c>
      <c r="F8" s="261" t="s">
        <v>38</v>
      </c>
      <c r="G8" t="str">
        <f>"Fortune " &amp; _xlfn.XLOOKUP(Main[[#This Row],[FechaEntrega]], Guias[Fecha], Guias[Llegada])</f>
        <v>Fortune (M/T)</v>
      </c>
      <c r="H8" s="1" t="s">
        <v>812</v>
      </c>
      <c r="I8" s="259">
        <v>0.434</v>
      </c>
      <c r="J8" s="73">
        <f>_xlfn.LET(
  _xlpm.result, 1-((Main[[#This Row],[Cost]]+Main[[#This Row],[Duties]]+Main[[#This Row],[Transport]])/((Main[[#This Row],[Precio]]*0.96))),
  IF(_xlpm.result&lt;0, "BAJO", IF(_xlpm.result&gt;1, "ALTO", _xlpm.result))
)</f>
        <v>0.13997302158273384</v>
      </c>
      <c r="K8" s="135">
        <v>1.4946236559139785</v>
      </c>
      <c r="L8" s="33" t="str" cm="1">
        <f t="array" aca="1" ref="L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8" s="156">
        <f>Guias!$B$2</f>
        <v>46295</v>
      </c>
      <c r="N8" s="234">
        <f>ROUNDUP((Main[[#This Row],[Cost]]*Main[[#This Row],[Import Duties]]),2)</f>
        <v>6.9999999999999993E-2</v>
      </c>
      <c r="O8">
        <v>0</v>
      </c>
      <c r="P8">
        <v>1</v>
      </c>
      <c r="Q8">
        <v>0</v>
      </c>
      <c r="R8" s="235">
        <f>ROUNDUP(Main[[#This Row],[Transport2]]/Main[[#This Row],[Cantidad_Min]],2)</f>
        <v>0.73</v>
      </c>
      <c r="S8">
        <f>_xlfn.XLOOKUP(Main[[#This Row],[Type of Box]], Cajas[Nombre], Cajas[Largo])</f>
        <v>105</v>
      </c>
      <c r="T8">
        <f>_xlfn.XLOOKUP(Main[[#This Row],[Type of Box]], Cajas[Nombre], Cajas[Ancho])</f>
        <v>35</v>
      </c>
      <c r="U8">
        <f>_xlfn.XLOOKUP(Main[[#This Row],[Type of Box]], Cajas[Nombre], Cajas[Alto])</f>
        <v>33</v>
      </c>
      <c r="V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8">
        <f>ROUNDUP(((Main[[#This Row],[Volumen]]*5.25))*1.36,2)</f>
        <v>144.32</v>
      </c>
      <c r="X8" s="238">
        <v>0.15859999999999999</v>
      </c>
      <c r="Y8" s="260">
        <f>Main[[#This Row],[Cantidad_Min]]*Main[[#This Row],[Precio]]*Main[[#This Row],[Qty]]</f>
        <v>298.92473118279571</v>
      </c>
      <c r="Z8">
        <f>_xlfn.XLOOKUP(Main[[#This Row],[Finca]], Fincas[Nombre], Fincas[ID])</f>
        <v>38</v>
      </c>
      <c r="AA8" t="str" cm="1">
        <f t="array" ref="AA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8" s="2" t="s">
        <v>36</v>
      </c>
      <c r="AC8" s="5"/>
      <c r="AD8" s="244" t="s">
        <v>44</v>
      </c>
    </row>
    <row r="9" spans="1:30" x14ac:dyDescent="0.25">
      <c r="A9" s="161" t="s">
        <v>34</v>
      </c>
      <c r="B9" s="162">
        <v>1</v>
      </c>
      <c r="C9" s="162" t="s">
        <v>32</v>
      </c>
      <c r="D9" s="161">
        <v>50</v>
      </c>
      <c r="E9" s="261">
        <v>50</v>
      </c>
      <c r="F9" s="261" t="s">
        <v>38</v>
      </c>
      <c r="G9" t="str">
        <f>"Explorer " &amp; _xlfn.XLOOKUP(Main[[#This Row],[FechaEntrega]], Guias[Fecha], Guias[Llegada])</f>
        <v>Explorer (M/T)</v>
      </c>
      <c r="H9" s="1" t="s">
        <v>813</v>
      </c>
      <c r="I9" s="259">
        <v>0.38</v>
      </c>
      <c r="J9" s="73">
        <f>_xlfn.LET(
  _xlpm.result, 1-((Main[[#This Row],[Cost]]+Main[[#This Row],[Duties]]+Main[[#This Row],[Transport]])/((Main[[#This Row],[Precio]]*0.96))),
  IF(_xlpm.result&lt;0, "BAJO", IF(_xlpm.result&gt;1, "ALTO", _xlpm.result))
)</f>
        <v>0.21703767123287676</v>
      </c>
      <c r="K9" s="135">
        <v>1.5698924731182795</v>
      </c>
      <c r="L9" s="33" t="str" cm="1">
        <f t="array" aca="1" ref="L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9" s="156">
        <f>Guias!$B$2</f>
        <v>46295</v>
      </c>
      <c r="N9" s="234">
        <f>ROUNDUP((Main[[#This Row],[Cost]]*Main[[#This Row],[Import Duties]]),2)</f>
        <v>6.9999999999999993E-2</v>
      </c>
      <c r="O9">
        <v>0</v>
      </c>
      <c r="P9">
        <v>1</v>
      </c>
      <c r="Q9">
        <v>0</v>
      </c>
      <c r="R9" s="235">
        <f>ROUNDUP(Main[[#This Row],[Transport2]]/Main[[#This Row],[Cantidad_Min]],2)</f>
        <v>0.73</v>
      </c>
      <c r="S9">
        <f>_xlfn.XLOOKUP(Main[[#This Row],[Type of Box]], Cajas[Nombre], Cajas[Largo])</f>
        <v>105</v>
      </c>
      <c r="T9">
        <f>_xlfn.XLOOKUP(Main[[#This Row],[Type of Box]], Cajas[Nombre], Cajas[Ancho])</f>
        <v>17</v>
      </c>
      <c r="U9">
        <f>_xlfn.XLOOKUP(Main[[#This Row],[Type of Box]], Cajas[Nombre], Cajas[Alto])</f>
        <v>17</v>
      </c>
      <c r="V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">
        <f>ROUNDUP(((Main[[#This Row],[Volumen]]*5.25))*1.36,2)</f>
        <v>36.119999999999997</v>
      </c>
      <c r="X9" s="238">
        <v>0.15859999999999999</v>
      </c>
      <c r="Y9" s="260">
        <f>Main[[#This Row],[Cantidad_Min]]*Main[[#This Row],[Precio]]*Main[[#This Row],[Qty]]</f>
        <v>78.494623655913969</v>
      </c>
      <c r="Z9">
        <f>_xlfn.XLOOKUP(Main[[#This Row],[Finca]], Fincas[Nombre], Fincas[ID])</f>
        <v>72</v>
      </c>
      <c r="AA9" t="str" cm="1">
        <f t="array" ref="AA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9" s="2" t="s">
        <v>36</v>
      </c>
      <c r="AC9" s="5"/>
      <c r="AD9" s="244" t="s">
        <v>45</v>
      </c>
    </row>
    <row r="10" spans="1:30" x14ac:dyDescent="0.25">
      <c r="A10" s="161" t="s">
        <v>39</v>
      </c>
      <c r="B10" s="162">
        <v>1</v>
      </c>
      <c r="C10" s="162" t="s">
        <v>33</v>
      </c>
      <c r="D10" s="161">
        <v>125</v>
      </c>
      <c r="E10" s="261">
        <v>125</v>
      </c>
      <c r="F10" s="261" t="s">
        <v>46</v>
      </c>
      <c r="G10" t="str">
        <f>"Fortune " &amp; _xlfn.XLOOKUP(Main[[#This Row],[FechaEntrega]], Guias[Fecha], Guias[Llegada])</f>
        <v>Fortune (T/W)</v>
      </c>
      <c r="H10" s="1" t="s">
        <v>814</v>
      </c>
      <c r="I10" s="259">
        <v>0.42</v>
      </c>
      <c r="J10" s="73">
        <f>_xlfn.LET(
  _xlpm.result, 1-((Main[[#This Row],[Cost]]+Main[[#This Row],[Duties]]+Main[[#This Row],[Transport]])/((Main[[#This Row],[Precio]]*0.96))),
  IF(_xlpm.result&lt;0, "BAJO", IF(_xlpm.result&gt;1, "ALTO", _xlpm.result))
)</f>
        <v>0.23561151079136677</v>
      </c>
      <c r="K10" s="135">
        <v>1.39</v>
      </c>
      <c r="L10" s="33" t="str" cm="1">
        <f t="array" aca="1" ref="L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0" s="156">
        <f>Guias!$B$3</f>
        <v>46296</v>
      </c>
      <c r="N10" s="234">
        <f>ROUNDUP((Main[[#This Row],[Cost]]*Main[[#This Row],[Import Duties]]),2)</f>
        <v>6.9999999999999993E-2</v>
      </c>
      <c r="O10">
        <v>0</v>
      </c>
      <c r="P10">
        <v>1</v>
      </c>
      <c r="Q10">
        <v>0</v>
      </c>
      <c r="R10" s="235">
        <f>ROUNDUP(Main[[#This Row],[Transport2]]/Main[[#This Row],[Cantidad_Min]],2)</f>
        <v>0.53</v>
      </c>
      <c r="S10">
        <f>_xlfn.XLOOKUP(Main[[#This Row],[Type of Box]], Cajas[Nombre], Cajas[Largo])</f>
        <v>99</v>
      </c>
      <c r="T10">
        <f>_xlfn.XLOOKUP(Main[[#This Row],[Type of Box]], Cajas[Nombre], Cajas[Ancho])</f>
        <v>35</v>
      </c>
      <c r="U10">
        <f>_xlfn.XLOOKUP(Main[[#This Row],[Type of Box]], Cajas[Nombre], Cajas[Alto])</f>
        <v>16</v>
      </c>
      <c r="V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">
        <f>ROUNDUP(((Main[[#This Row],[Volumen]]*5.25))*1.36,2)</f>
        <v>65.98</v>
      </c>
      <c r="X10" s="238">
        <v>0.15859999999999999</v>
      </c>
      <c r="Y10" s="260">
        <f>Main[[#This Row],[Cantidad_Min]]*Main[[#This Row],[Precio]]*Main[[#This Row],[Qty]]</f>
        <v>173.75</v>
      </c>
      <c r="Z10">
        <f>_xlfn.XLOOKUP(Main[[#This Row],[Finca]], Fincas[Nombre], Fincas[ID])</f>
        <v>76</v>
      </c>
      <c r="AA10" t="str" cm="1">
        <f t="array" ref="AA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" s="2" t="s">
        <v>36</v>
      </c>
      <c r="AC10" s="5"/>
      <c r="AD10" s="244" t="s">
        <v>789</v>
      </c>
    </row>
    <row r="11" spans="1:30" x14ac:dyDescent="0.25">
      <c r="A11" s="161" t="s">
        <v>39</v>
      </c>
      <c r="B11" s="162">
        <v>1</v>
      </c>
      <c r="C11" s="162" t="s">
        <v>33</v>
      </c>
      <c r="D11" s="161">
        <v>125</v>
      </c>
      <c r="E11" s="261">
        <v>125</v>
      </c>
      <c r="F11" s="261" t="s">
        <v>46</v>
      </c>
      <c r="G11" t="str">
        <f>"Fortune " &amp; _xlfn.XLOOKUP(Main[[#This Row],[FechaEntrega]], Guias[Fecha], Guias[Llegada])</f>
        <v>Fortune (M/T)</v>
      </c>
      <c r="H11" s="1" t="s">
        <v>815</v>
      </c>
      <c r="I11" s="259">
        <v>0.42</v>
      </c>
      <c r="J11" s="73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11" s="135">
        <v>1.4516129032258065</v>
      </c>
      <c r="L11" s="33" t="str" cm="1">
        <f t="array" aca="1" ref="L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1" s="156">
        <f>Guias!$B$2</f>
        <v>46295</v>
      </c>
      <c r="N11" s="234">
        <f>ROUNDUP((Main[[#This Row],[Cost]]*Main[[#This Row],[Import Duties]]),2)</f>
        <v>6.9999999999999993E-2</v>
      </c>
      <c r="O11">
        <v>0</v>
      </c>
      <c r="P11">
        <v>1</v>
      </c>
      <c r="Q11">
        <v>0</v>
      </c>
      <c r="R11" s="235">
        <f>ROUNDUP(Main[[#This Row],[Transport2]]/Main[[#This Row],[Cantidad_Min]],2)</f>
        <v>0.53</v>
      </c>
      <c r="S11">
        <f>_xlfn.XLOOKUP(Main[[#This Row],[Type of Box]], Cajas[Nombre], Cajas[Largo])</f>
        <v>99</v>
      </c>
      <c r="T11">
        <f>_xlfn.XLOOKUP(Main[[#This Row],[Type of Box]], Cajas[Nombre], Cajas[Ancho])</f>
        <v>35</v>
      </c>
      <c r="U11">
        <f>_xlfn.XLOOKUP(Main[[#This Row],[Type of Box]], Cajas[Nombre], Cajas[Alto])</f>
        <v>16</v>
      </c>
      <c r="V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">
        <f>ROUNDUP(((Main[[#This Row],[Volumen]]*5.25))*1.36,2)</f>
        <v>65.98</v>
      </c>
      <c r="X11" s="238">
        <v>0.15859999999999999</v>
      </c>
      <c r="Y11" s="260">
        <f>Main[[#This Row],[Cantidad_Min]]*Main[[#This Row],[Precio]]*Main[[#This Row],[Qty]]</f>
        <v>181.45161290322582</v>
      </c>
      <c r="Z11">
        <f>_xlfn.XLOOKUP(Main[[#This Row],[Finca]], Fincas[Nombre], Fincas[ID])</f>
        <v>76</v>
      </c>
      <c r="AA11" t="str" cm="1">
        <f t="array" ref="AA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" s="2" t="s">
        <v>36</v>
      </c>
      <c r="AC11" s="5"/>
      <c r="AD11" s="244" t="s">
        <v>47</v>
      </c>
    </row>
    <row r="12" spans="1:30" x14ac:dyDescent="0.25">
      <c r="A12" s="161" t="s">
        <v>34</v>
      </c>
      <c r="B12" s="162">
        <v>1</v>
      </c>
      <c r="C12" s="162" t="s">
        <v>33</v>
      </c>
      <c r="D12" s="161">
        <v>125</v>
      </c>
      <c r="E12" s="261">
        <v>125</v>
      </c>
      <c r="F12" s="261" t="s">
        <v>35</v>
      </c>
      <c r="G12" t="str">
        <f>"Explorer " &amp; _xlfn.XLOOKUP(Main[[#This Row],[FechaEntrega]], Guias[Fecha], Guias[Llegada])</f>
        <v>Explorer (M/T)</v>
      </c>
      <c r="H12" s="1" t="s">
        <v>816</v>
      </c>
      <c r="I12" s="259">
        <v>0.36</v>
      </c>
      <c r="J12" s="73">
        <f>_xlfn.LET(
  _xlpm.result, 1-((Main[[#This Row],[Cost]]+Main[[#This Row],[Duties]]+Main[[#This Row],[Transport]])/((Main[[#This Row],[Precio]]*0.96))),
  IF(_xlpm.result&lt;0, "BAJO", IF(_xlpm.result&gt;1, "ALTO", _xlpm.result))
)</f>
        <v>0.28657945736434109</v>
      </c>
      <c r="K12" s="135">
        <v>1.3870967741935483</v>
      </c>
      <c r="L12" s="33" t="str" cm="1">
        <f t="array" aca="1" ref="L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2" s="156">
        <f>Guias!$B$2</f>
        <v>46295</v>
      </c>
      <c r="N12" s="234">
        <f>ROUNDUP((Main[[#This Row],[Cost]]*Main[[#This Row],[Import Duties]]),2)</f>
        <v>6.0000000000000005E-2</v>
      </c>
      <c r="O12">
        <v>0</v>
      </c>
      <c r="P12">
        <v>1</v>
      </c>
      <c r="Q12">
        <v>0</v>
      </c>
      <c r="R12" s="235">
        <f>ROUNDUP(Main[[#This Row],[Transport2]]/Main[[#This Row],[Cantidad_Min]],2)</f>
        <v>0.53</v>
      </c>
      <c r="S12">
        <f>_xlfn.XLOOKUP(Main[[#This Row],[Type of Box]], Cajas[Nombre], Cajas[Largo])</f>
        <v>99</v>
      </c>
      <c r="T12">
        <f>_xlfn.XLOOKUP(Main[[#This Row],[Type of Box]], Cajas[Nombre], Cajas[Ancho])</f>
        <v>35</v>
      </c>
      <c r="U12">
        <f>_xlfn.XLOOKUP(Main[[#This Row],[Type of Box]], Cajas[Nombre], Cajas[Alto])</f>
        <v>16</v>
      </c>
      <c r="V1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">
        <f>ROUNDUP(((Main[[#This Row],[Volumen]]*5.25))*1.36,2)</f>
        <v>65.98</v>
      </c>
      <c r="X12" s="238">
        <v>0.15859999999999999</v>
      </c>
      <c r="Y12" s="260">
        <f>Main[[#This Row],[Cantidad_Min]]*Main[[#This Row],[Precio]]*Main[[#This Row],[Qty]]</f>
        <v>173.38709677419354</v>
      </c>
      <c r="Z12">
        <f>_xlfn.XLOOKUP(Main[[#This Row],[Finca]], Fincas[Nombre], Fincas[ID])</f>
        <v>72</v>
      </c>
      <c r="AA12" t="str" cm="1">
        <f t="array" ref="AA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2" s="2" t="s">
        <v>36</v>
      </c>
      <c r="AC12" s="278"/>
      <c r="AD12" s="245" t="s">
        <v>48</v>
      </c>
    </row>
    <row r="13" spans="1:30" ht="15.75" thickBot="1" x14ac:dyDescent="0.3">
      <c r="A13" s="161" t="s">
        <v>34</v>
      </c>
      <c r="B13" s="162">
        <v>1</v>
      </c>
      <c r="C13" s="162" t="s">
        <v>32</v>
      </c>
      <c r="D13" s="161">
        <v>50</v>
      </c>
      <c r="E13" s="261">
        <v>50</v>
      </c>
      <c r="F13" s="261" t="s">
        <v>35</v>
      </c>
      <c r="G13" t="str">
        <f>"Red Panther " &amp; _xlfn.XLOOKUP(Main[[#This Row],[FechaEntrega]], Guias[Fecha], Guias[Llegada])</f>
        <v>Red Panther (T/W)</v>
      </c>
      <c r="H13" s="1" t="s">
        <v>817</v>
      </c>
      <c r="I13" s="259">
        <v>0.41</v>
      </c>
      <c r="J13" s="73">
        <f>_xlfn.LET(
  _xlpm.result, 1-((Main[[#This Row],[Cost]]+Main[[#This Row],[Duties]]+Main[[#This Row],[Transport]])/((Main[[#This Row],[Precio]]*0.96))),
  IF(_xlpm.result&lt;0, "BAJO", IF(_xlpm.result&gt;1, "ALTO", _xlpm.result))
)</f>
        <v>0.20798141891891886</v>
      </c>
      <c r="K13" s="135">
        <v>1.5913978494623655</v>
      </c>
      <c r="L13" s="33" t="str" cm="1">
        <f t="array" aca="1" ref="L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3" s="156">
        <f>Guias!$B$3</f>
        <v>46296</v>
      </c>
      <c r="N13" s="169">
        <f>ROUNDUP((Main[[#This Row],[Cost]]*Main[[#This Row],[Import Duties]]),2)</f>
        <v>6.9999999999999993E-2</v>
      </c>
      <c r="O13">
        <v>0</v>
      </c>
      <c r="P13">
        <v>1</v>
      </c>
      <c r="Q13">
        <v>0</v>
      </c>
      <c r="R13" s="170">
        <f>ROUNDUP(Main[[#This Row],[Transport2]]/Main[[#This Row],[Cantidad_Min]],2)</f>
        <v>0.73</v>
      </c>
      <c r="S13">
        <f>_xlfn.XLOOKUP(Main[[#This Row],[Type of Box]], Cajas[Nombre], Cajas[Largo])</f>
        <v>105</v>
      </c>
      <c r="T13">
        <f>_xlfn.XLOOKUP(Main[[#This Row],[Type of Box]], Cajas[Nombre], Cajas[Ancho])</f>
        <v>17</v>
      </c>
      <c r="U13">
        <f>_xlfn.XLOOKUP(Main[[#This Row],[Type of Box]], Cajas[Nombre], Cajas[Alto])</f>
        <v>17</v>
      </c>
      <c r="V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">
        <f>ROUNDUP(((Main[[#This Row],[Volumen]]*5.25))*1.36,2)</f>
        <v>36.119999999999997</v>
      </c>
      <c r="X13" s="238">
        <v>0.15859999999999999</v>
      </c>
      <c r="Y13" s="260">
        <f>Main[[#This Row],[Cantidad_Min]]*Main[[#This Row],[Precio]]*Main[[#This Row],[Qty]]</f>
        <v>79.569892473118273</v>
      </c>
      <c r="Z13">
        <f>_xlfn.XLOOKUP(Main[[#This Row],[Finca]], Fincas[Nombre], Fincas[ID])</f>
        <v>72</v>
      </c>
      <c r="AA13" t="str" cm="1">
        <f t="array" ref="AA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3" s="2" t="s">
        <v>36</v>
      </c>
      <c r="AC13" s="5"/>
      <c r="AD13" s="244" t="s">
        <v>49</v>
      </c>
    </row>
    <row r="14" spans="1:30" ht="15.75" thickBot="1" x14ac:dyDescent="0.3">
      <c r="A14" s="163" t="s">
        <v>41</v>
      </c>
      <c r="B14" s="165">
        <f>IF(Main[[#This Row],[SendEmail]]="Y", 1, 0)</f>
        <v>1</v>
      </c>
      <c r="C14" s="164" t="s">
        <v>43</v>
      </c>
      <c r="D14" s="163">
        <v>250</v>
      </c>
      <c r="E14" s="262">
        <v>250</v>
      </c>
      <c r="F14" s="262" t="s">
        <v>50</v>
      </c>
      <c r="G14" t="str">
        <f>"Explorer " &amp; _xlfn.XLOOKUP(Main[[#This Row],[FechaEntrega]], Guias[Fecha], Guias[Llegada])</f>
        <v>Explorer (M/T)</v>
      </c>
      <c r="H14" s="1" t="s">
        <v>818</v>
      </c>
      <c r="I14" s="259">
        <v>0.36399999999999999</v>
      </c>
      <c r="J14" s="73">
        <f>_xlfn.LET(
  _xlpm.result, 1-((Main[[#This Row],[Cost]]+Main[[#This Row],[Duties]]+Main[[#This Row],[Transport]])/((Main[[#This Row],[Precio]]*0.96))),
  IF(_xlpm.result&lt;0, "BAJO", IF(_xlpm.result&gt;1, "ALTO", _xlpm.result))
)</f>
        <v>0.16153017241379297</v>
      </c>
      <c r="K14" s="135">
        <v>1.2473118279569892</v>
      </c>
      <c r="L14" s="33" t="str" cm="1">
        <f t="array" aca="1" ref="L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4" s="156">
        <f>Guias!$B$2</f>
        <v>46295</v>
      </c>
      <c r="N14" s="234">
        <f>ROUNDUP((Main[[#This Row],[Cost]]*Main[[#This Row],[Import Duties]]),2)</f>
        <v>6.0000000000000005E-2</v>
      </c>
      <c r="O14">
        <v>0</v>
      </c>
      <c r="P14">
        <v>1</v>
      </c>
      <c r="Q14">
        <v>0</v>
      </c>
      <c r="R14" s="235">
        <f>ROUNDUP(Main[[#This Row],[Transport2]]/Main[[#This Row],[Cantidad_Min]],2)</f>
        <v>0.57999999999999996</v>
      </c>
      <c r="S14">
        <f>_xlfn.XLOOKUP(Main[[#This Row],[Type of Box]], Cajas[Nombre], Cajas[Largo])</f>
        <v>105</v>
      </c>
      <c r="T14">
        <f>_xlfn.XLOOKUP(Main[[#This Row],[Type of Box]], Cajas[Nombre], Cajas[Ancho])</f>
        <v>35</v>
      </c>
      <c r="U14">
        <f>_xlfn.XLOOKUP(Main[[#This Row],[Type of Box]], Cajas[Nombre], Cajas[Alto])</f>
        <v>33</v>
      </c>
      <c r="V1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14">
        <f>ROUNDUP(((Main[[#This Row],[Volumen]]*5.25))*1.36,2)</f>
        <v>144.32</v>
      </c>
      <c r="X14" s="238">
        <v>0.15859999999999999</v>
      </c>
      <c r="Y14" s="260">
        <f>Main[[#This Row],[Cantidad_Min]]*Main[[#This Row],[Precio]]*Main[[#This Row],[Qty]]</f>
        <v>311.8279569892473</v>
      </c>
      <c r="Z14">
        <f>_xlfn.XLOOKUP(Main[[#This Row],[Finca]], Fincas[Nombre], Fincas[ID])</f>
        <v>38</v>
      </c>
      <c r="AA14" t="str" cm="1">
        <f t="array" ref="AA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4" s="227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4" s="5"/>
      <c r="AD14" s="244" t="s">
        <v>51</v>
      </c>
    </row>
    <row r="15" spans="1:30" ht="15.75" thickBot="1" x14ac:dyDescent="0.3">
      <c r="A15" s="166" t="s">
        <v>41</v>
      </c>
      <c r="B15" s="167">
        <v>1</v>
      </c>
      <c r="C15" s="167" t="s">
        <v>33</v>
      </c>
      <c r="D15" s="166">
        <v>125</v>
      </c>
      <c r="E15" s="263">
        <v>125</v>
      </c>
      <c r="F15" s="263" t="s">
        <v>35</v>
      </c>
      <c r="G15" t="str">
        <f>"Explorer " &amp; _xlfn.XLOOKUP(Main[[#This Row],[FechaEntrega]], Guias[Fecha], Guias[Llegada])</f>
        <v>Explorer (M/T)</v>
      </c>
      <c r="H15" s="1" t="s">
        <v>819</v>
      </c>
      <c r="I15" s="259">
        <v>0.36399999999999999</v>
      </c>
      <c r="J15" s="73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15" s="172">
        <f>IF(OR(AND(ISNUMBER(FIND("(*PAR)",
UPPER(Main[[#This Row],[Standing Orders]]))),
MOD(IFERROR(VALUE(Guias!$M$2),0),2)=0),
AND(ISNUMBER(FIND("(*IMPAR)",
UPPER(Main[[#This Row],[Standing Orders]]))),
MOD(IFERROR(VALUE(Guias!$M$2),
0),2)=1)), 1.33, 1.29)</f>
        <v>1.29</v>
      </c>
      <c r="L15" s="33" t="str" cm="1">
        <f t="array" aca="1" ref="L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5" s="156">
        <f>Guias!$B$2</f>
        <v>46295</v>
      </c>
      <c r="N15" s="234">
        <f>ROUNDUP((Main[[#This Row],[Cost]]*Main[[#This Row],[Import Duties]]),2)</f>
        <v>6.0000000000000005E-2</v>
      </c>
      <c r="O15">
        <v>0</v>
      </c>
      <c r="P15">
        <v>1</v>
      </c>
      <c r="Q15">
        <v>0</v>
      </c>
      <c r="R15" s="235">
        <f>ROUNDUP(Main[[#This Row],[Transport2]]/Main[[#This Row],[Cantidad_Min]],2)</f>
        <v>0.53</v>
      </c>
      <c r="S15">
        <f>_xlfn.XLOOKUP(Main[[#This Row],[Type of Box]], Cajas[Nombre], Cajas[Largo])</f>
        <v>99</v>
      </c>
      <c r="T15">
        <f>_xlfn.XLOOKUP(Main[[#This Row],[Type of Box]], Cajas[Nombre], Cajas[Ancho])</f>
        <v>35</v>
      </c>
      <c r="U15">
        <f>_xlfn.XLOOKUP(Main[[#This Row],[Type of Box]], Cajas[Nombre], Cajas[Alto])</f>
        <v>16</v>
      </c>
      <c r="V1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">
        <f>ROUNDUP(((Main[[#This Row],[Volumen]]*5.25))*1.36,2)</f>
        <v>65.98</v>
      </c>
      <c r="X15" s="238">
        <v>0.15859999999999999</v>
      </c>
      <c r="Y15" s="260">
        <f>Main[[#This Row],[Cantidad_Min]]*Main[[#This Row],[Precio]]*Main[[#This Row],[Qty]]</f>
        <v>161.25</v>
      </c>
      <c r="Z15">
        <f>_xlfn.XLOOKUP(Main[[#This Row],[Finca]], Fincas[Nombre], Fincas[ID])</f>
        <v>38</v>
      </c>
      <c r="AA15" t="str" cm="1">
        <f t="array" ref="AA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" s="2" t="s">
        <v>36</v>
      </c>
      <c r="AC15" s="5"/>
      <c r="AD15" s="244" t="s">
        <v>52</v>
      </c>
    </row>
    <row r="16" spans="1:30" ht="15.75" thickBot="1" x14ac:dyDescent="0.3">
      <c r="A16" s="161" t="s">
        <v>41</v>
      </c>
      <c r="B16" s="162">
        <v>1</v>
      </c>
      <c r="C16" s="162" t="s">
        <v>33</v>
      </c>
      <c r="D16" s="161">
        <v>125</v>
      </c>
      <c r="E16" s="261">
        <v>125</v>
      </c>
      <c r="F16" s="261" t="s">
        <v>35</v>
      </c>
      <c r="G16" t="str">
        <f>"Redvolution " &amp; _xlfn.XLOOKUP(Main[[#This Row],[FechaEntrega]], Guias[Fecha], Guias[Llegada])</f>
        <v>Redvolution (M/T)</v>
      </c>
      <c r="H16" s="1" t="s">
        <v>820</v>
      </c>
      <c r="I16" s="259">
        <v>0.36399999999999999</v>
      </c>
      <c r="J16" s="73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16" s="135">
        <v>1.29</v>
      </c>
      <c r="L16" s="33" t="str" cm="1">
        <f t="array" aca="1" ref="L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6" s="156">
        <f>Guias!$B$2</f>
        <v>46295</v>
      </c>
      <c r="N16" s="234">
        <f>ROUNDUP((Main[[#This Row],[Cost]]*Main[[#This Row],[Import Duties]]),2)</f>
        <v>6.0000000000000005E-2</v>
      </c>
      <c r="O16">
        <v>0</v>
      </c>
      <c r="P16">
        <v>1</v>
      </c>
      <c r="Q16">
        <v>0</v>
      </c>
      <c r="R16" s="235">
        <f>ROUNDUP(Main[[#This Row],[Transport2]]/Main[[#This Row],[Cantidad_Min]],2)</f>
        <v>0.53</v>
      </c>
      <c r="S16">
        <f>_xlfn.XLOOKUP(Main[[#This Row],[Type of Box]], Cajas[Nombre], Cajas[Largo])</f>
        <v>99</v>
      </c>
      <c r="T16">
        <f>_xlfn.XLOOKUP(Main[[#This Row],[Type of Box]], Cajas[Nombre], Cajas[Ancho])</f>
        <v>35</v>
      </c>
      <c r="U16">
        <f>_xlfn.XLOOKUP(Main[[#This Row],[Type of Box]], Cajas[Nombre], Cajas[Alto])</f>
        <v>16</v>
      </c>
      <c r="V1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">
        <f>ROUNDUP(((Main[[#This Row],[Volumen]]*5.25))*1.36,2)</f>
        <v>65.98</v>
      </c>
      <c r="X16" s="238">
        <v>0.15859999999999999</v>
      </c>
      <c r="Y16" s="260">
        <f>Main[[#This Row],[Cantidad_Min]]*Main[[#This Row],[Precio]]*Main[[#This Row],[Qty]]</f>
        <v>161.25</v>
      </c>
      <c r="Z16">
        <f>_xlfn.XLOOKUP(Main[[#This Row],[Finca]], Fincas[Nombre], Fincas[ID])</f>
        <v>38</v>
      </c>
      <c r="AA16" t="str" cm="1">
        <f t="array" ref="AA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6" s="2" t="s">
        <v>36</v>
      </c>
      <c r="AC16" s="5"/>
      <c r="AD16" s="244" t="s">
        <v>53</v>
      </c>
    </row>
    <row r="17" spans="1:30" ht="15.75" thickBot="1" x14ac:dyDescent="0.3">
      <c r="A17" s="37" t="s">
        <v>54</v>
      </c>
      <c r="B17" s="157">
        <v>1</v>
      </c>
      <c r="C17" s="157" t="s">
        <v>33</v>
      </c>
      <c r="D17" s="37">
        <v>125</v>
      </c>
      <c r="E17">
        <v>125</v>
      </c>
      <c r="F17" t="s">
        <v>38</v>
      </c>
      <c r="G17" t="str">
        <f>"Explorer " &amp; _xlfn.XLOOKUP(Main[[#This Row],[FechaEntrega]], Guias[Fecha], Guias[Llegada])</f>
        <v>Explorer (T/W)</v>
      </c>
      <c r="H17" s="1" t="s">
        <v>821</v>
      </c>
      <c r="I17" s="259">
        <v>0.38</v>
      </c>
      <c r="J17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7" s="172">
        <f>IF(OR(AND(ISNUMBER(FIND("(*PAR)",
UPPER(Main[[#This Row],[Standing Orders]]))),
MOD(IFERROR(VALUE(Guias!$M$2),0),2)=0),
AND(ISNUMBER(FIND("(*IMPAR)",
UPPER(Main[[#This Row],[Standing Orders]]))),
MOD(IFERROR(VALUE(Guias!$M$2),
0),2)=1)), 1.39, 1.39)</f>
        <v>1.39</v>
      </c>
      <c r="L17" s="33" t="str" cm="1">
        <f t="array" aca="1" ref="L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7" s="156">
        <f>Guias!$B$3</f>
        <v>46296</v>
      </c>
      <c r="N17" s="234">
        <f>ROUNDUP((Main[[#This Row],[Cost]]*Main[[#This Row],[Import Duties]]),2)</f>
        <v>6.9999999999999993E-2</v>
      </c>
      <c r="O17">
        <v>0</v>
      </c>
      <c r="P17">
        <v>1</v>
      </c>
      <c r="Q17">
        <v>0</v>
      </c>
      <c r="R17" s="235">
        <f>ROUNDUP(Main[[#This Row],[Transport2]]/Main[[#This Row],[Cantidad_Min]],2)</f>
        <v>0.53</v>
      </c>
      <c r="S17">
        <f>_xlfn.XLOOKUP(Main[[#This Row],[Type of Box]], Cajas[Nombre], Cajas[Largo])</f>
        <v>99</v>
      </c>
      <c r="T17">
        <f>_xlfn.XLOOKUP(Main[[#This Row],[Type of Box]], Cajas[Nombre], Cajas[Ancho])</f>
        <v>35</v>
      </c>
      <c r="U17">
        <f>_xlfn.XLOOKUP(Main[[#This Row],[Type of Box]], Cajas[Nombre], Cajas[Alto])</f>
        <v>16</v>
      </c>
      <c r="V1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">
        <f>ROUNDUP(((Main[[#This Row],[Volumen]]*5.25))*1.36,2)</f>
        <v>65.98</v>
      </c>
      <c r="X17" s="238">
        <v>0.15859999999999999</v>
      </c>
      <c r="Y17" s="260">
        <f>Main[[#This Row],[Cantidad_Min]]*Main[[#This Row],[Precio]]*Main[[#This Row],[Qty]]</f>
        <v>173.75</v>
      </c>
      <c r="Z17">
        <f>_xlfn.XLOOKUP(Main[[#This Row],[Finca]], Fincas[Nombre], Fincas[ID])</f>
        <v>58</v>
      </c>
      <c r="AA17" t="str" cm="1">
        <f t="array" ref="AA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" s="2" t="s">
        <v>36</v>
      </c>
      <c r="AC17" s="5"/>
      <c r="AD17" s="244"/>
    </row>
    <row r="18" spans="1:30" x14ac:dyDescent="0.25">
      <c r="A18" s="37" t="s">
        <v>34</v>
      </c>
      <c r="B18" s="157">
        <v>2</v>
      </c>
      <c r="C18" s="157" t="s">
        <v>32</v>
      </c>
      <c r="D18" s="37">
        <v>50</v>
      </c>
      <c r="E18">
        <v>50</v>
      </c>
      <c r="F18" t="s">
        <v>35</v>
      </c>
      <c r="G18" t="str">
        <f>"Red Panther " &amp; _xlfn.XLOOKUP(Main[[#This Row],[FechaEntrega]], Guias[Fecha], Guias[Llegada])</f>
        <v>Red Panther (T/W)</v>
      </c>
      <c r="H18" s="1" t="s">
        <v>822</v>
      </c>
      <c r="I18" s="259">
        <v>0.41</v>
      </c>
      <c r="J18" s="73">
        <f>_xlfn.LET(
  _xlpm.result, 1-((Main[[#This Row],[Cost]]+Main[[#This Row],[Duties]]+Main[[#This Row],[Transport]])/((Main[[#This Row],[Precio]]*0.96))),
  IF(_xlpm.result&lt;0, "BAJO", IF(_xlpm.result&gt;1, "ALTO", _xlpm.result))
)</f>
        <v>0.20798141891891886</v>
      </c>
      <c r="K18" s="135">
        <v>1.5913978494623655</v>
      </c>
      <c r="L18" s="33" t="str" cm="1">
        <f t="array" aca="1" ref="L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8" s="156">
        <f>Guias!$B$3</f>
        <v>46296</v>
      </c>
      <c r="N18" s="234">
        <f>ROUNDUP((Main[[#This Row],[Cost]]*Main[[#This Row],[Import Duties]]),2)</f>
        <v>6.9999999999999993E-2</v>
      </c>
      <c r="O18">
        <v>0</v>
      </c>
      <c r="P18">
        <v>1</v>
      </c>
      <c r="Q18">
        <v>0</v>
      </c>
      <c r="R18" s="235">
        <f>ROUNDUP(Main[[#This Row],[Transport2]]/Main[[#This Row],[Cantidad_Min]],2)</f>
        <v>0.73</v>
      </c>
      <c r="S18">
        <f>_xlfn.XLOOKUP(Main[[#This Row],[Type of Box]], Cajas[Nombre], Cajas[Largo])</f>
        <v>105</v>
      </c>
      <c r="T18">
        <f>_xlfn.XLOOKUP(Main[[#This Row],[Type of Box]], Cajas[Nombre], Cajas[Ancho])</f>
        <v>17</v>
      </c>
      <c r="U18">
        <f>_xlfn.XLOOKUP(Main[[#This Row],[Type of Box]], Cajas[Nombre], Cajas[Alto])</f>
        <v>17</v>
      </c>
      <c r="V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8">
        <f>ROUNDUP(((Main[[#This Row],[Volumen]]*5.25))*1.36,2)</f>
        <v>36.119999999999997</v>
      </c>
      <c r="X18" s="238">
        <v>0.15859999999999999</v>
      </c>
      <c r="Y18" s="260">
        <f>Main[[#This Row],[Cantidad_Min]]*Main[[#This Row],[Precio]]*Main[[#This Row],[Qty]]</f>
        <v>159.13978494623655</v>
      </c>
      <c r="Z18">
        <f>_xlfn.XLOOKUP(Main[[#This Row],[Finca]], Fincas[Nombre], Fincas[ID])</f>
        <v>72</v>
      </c>
      <c r="AA18" t="str" cm="1">
        <f t="array" ref="AA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" s="2" t="s">
        <v>36</v>
      </c>
      <c r="AC18" s="5"/>
      <c r="AD18" s="244"/>
    </row>
    <row r="19" spans="1:30" ht="15.75" thickBot="1" x14ac:dyDescent="0.3">
      <c r="A19" s="37" t="s">
        <v>34</v>
      </c>
      <c r="B19" s="157">
        <v>2</v>
      </c>
      <c r="C19" s="157" t="s">
        <v>32</v>
      </c>
      <c r="D19" s="37">
        <v>50</v>
      </c>
      <c r="E19">
        <v>50</v>
      </c>
      <c r="F19" t="s">
        <v>50</v>
      </c>
      <c r="G19" t="str">
        <f>"Playa Blanca " &amp; _xlfn.XLOOKUP(Main[[#This Row],[FechaEntrega]], Guias[Fecha], Guias[Llegada])</f>
        <v>Playa Blanca (T/W)</v>
      </c>
      <c r="H19" s="1" t="s">
        <v>823</v>
      </c>
      <c r="I19" s="259">
        <v>0.51</v>
      </c>
      <c r="J19" s="73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19" s="135">
        <v>1.79</v>
      </c>
      <c r="L19" s="33" t="str" cm="1">
        <f t="array" aca="1" ref="L1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9" s="156">
        <f>Guias!$B$3</f>
        <v>46296</v>
      </c>
      <c r="N19" s="234">
        <f>ROUNDUP((Main[[#This Row],[Cost]]*Main[[#This Row],[Import Duties]]),2)</f>
        <v>0.09</v>
      </c>
      <c r="O19">
        <v>0</v>
      </c>
      <c r="P19">
        <v>1</v>
      </c>
      <c r="Q19">
        <v>0</v>
      </c>
      <c r="R19" s="235">
        <f>ROUNDUP(Main[[#This Row],[Transport2]]/Main[[#This Row],[Cantidad_Min]],2)</f>
        <v>0.73</v>
      </c>
      <c r="S19">
        <f>_xlfn.XLOOKUP(Main[[#This Row],[Type of Box]], Cajas[Nombre], Cajas[Largo])</f>
        <v>105</v>
      </c>
      <c r="T19">
        <f>_xlfn.XLOOKUP(Main[[#This Row],[Type of Box]], Cajas[Nombre], Cajas[Ancho])</f>
        <v>17</v>
      </c>
      <c r="U19">
        <f>_xlfn.XLOOKUP(Main[[#This Row],[Type of Box]], Cajas[Nombre], Cajas[Alto])</f>
        <v>17</v>
      </c>
      <c r="V1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">
        <f>ROUNDUP(((Main[[#This Row],[Volumen]]*5.25))*1.36,2)</f>
        <v>36.119999999999997</v>
      </c>
      <c r="X19" s="238">
        <v>0.15859999999999999</v>
      </c>
      <c r="Y19" s="260">
        <f>Main[[#This Row],[Cantidad_Min]]*Main[[#This Row],[Precio]]*Main[[#This Row],[Qty]]</f>
        <v>179</v>
      </c>
      <c r="Z19">
        <f>_xlfn.XLOOKUP(Main[[#This Row],[Finca]], Fincas[Nombre], Fincas[ID])</f>
        <v>72</v>
      </c>
      <c r="AA19" t="str" cm="1">
        <f t="array" ref="AA1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" s="2" t="s">
        <v>36</v>
      </c>
      <c r="AC19" s="5"/>
      <c r="AD19" s="244"/>
    </row>
    <row r="20" spans="1:30" ht="15.75" thickBot="1" x14ac:dyDescent="0.3">
      <c r="A20" s="37" t="s">
        <v>54</v>
      </c>
      <c r="B20" s="157">
        <v>1</v>
      </c>
      <c r="C20" s="157" t="s">
        <v>33</v>
      </c>
      <c r="D20" s="37">
        <v>125</v>
      </c>
      <c r="E20">
        <v>125</v>
      </c>
      <c r="F20" t="s">
        <v>35</v>
      </c>
      <c r="G20" t="str">
        <f>"Freedom " &amp; _xlfn.XLOOKUP(Main[[#This Row],[FechaEntrega]], Guias[Fecha], Guias[Llegada])</f>
        <v>Freedom (T/W)</v>
      </c>
      <c r="H20" s="1" t="s">
        <v>824</v>
      </c>
      <c r="I20" s="259">
        <v>0.3</v>
      </c>
      <c r="J20" s="73">
        <f>_xlfn.LET(
  _xlpm.result, 1-((Main[[#This Row],[Cost]]+Main[[#This Row],[Duties]]+Main[[#This Row],[Transport]])/((Main[[#This Row],[Precio]]*0.96))),
  IF(_xlpm.result&lt;0, "BAJO", IF(_xlpm.result&gt;1, "ALTO", _xlpm.result))
)</f>
        <v>0.28940568475452189</v>
      </c>
      <c r="K20" s="172">
        <f>IF(OR(AND(ISNUMBER(FIND("(*PAR)",
UPPER(Main[[#This Row],[Standing Orders]]))),
MOD(IFERROR(VALUE(Guias!$M$2),0),2)=0),
AND(ISNUMBER(FIND("(*IMPAR)",
UPPER(Main[[#This Row],[Standing Orders]]))),
MOD(IFERROR(VALUE(Guias!$M$2),
0),2)=1)), 1.3, 1.29)</f>
        <v>1.29</v>
      </c>
      <c r="L20" s="33" t="str" cm="1">
        <f t="array" aca="1" ref="L2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20" s="156">
        <f>Guias!$B$3</f>
        <v>46296</v>
      </c>
      <c r="N20" s="234">
        <f>ROUNDUP((Main[[#This Row],[Cost]]*Main[[#This Row],[Import Duties]]),2)</f>
        <v>0.05</v>
      </c>
      <c r="O20">
        <v>0</v>
      </c>
      <c r="P20">
        <v>1</v>
      </c>
      <c r="Q20">
        <v>0</v>
      </c>
      <c r="R20" s="235">
        <f>ROUNDUP(Main[[#This Row],[Transport2]]/Main[[#This Row],[Cantidad_Min]],2)</f>
        <v>0.53</v>
      </c>
      <c r="S20">
        <f>_xlfn.XLOOKUP(Main[[#This Row],[Type of Box]], Cajas[Nombre], Cajas[Largo])</f>
        <v>99</v>
      </c>
      <c r="T20">
        <f>_xlfn.XLOOKUP(Main[[#This Row],[Type of Box]], Cajas[Nombre], Cajas[Ancho])</f>
        <v>35</v>
      </c>
      <c r="U20">
        <f>_xlfn.XLOOKUP(Main[[#This Row],[Type of Box]], Cajas[Nombre], Cajas[Alto])</f>
        <v>16</v>
      </c>
      <c r="V2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0">
        <f>ROUNDUP(((Main[[#This Row],[Volumen]]*5.25))*1.36,2)</f>
        <v>65.98</v>
      </c>
      <c r="X20" s="238">
        <v>0.15859999999999999</v>
      </c>
      <c r="Y20" s="260">
        <f>Main[[#This Row],[Cantidad_Min]]*Main[[#This Row],[Precio]]*Main[[#This Row],[Qty]]</f>
        <v>161.25</v>
      </c>
      <c r="Z20">
        <f>_xlfn.XLOOKUP(Main[[#This Row],[Finca]], Fincas[Nombre], Fincas[ID])</f>
        <v>58</v>
      </c>
      <c r="AA20" t="str" cm="1">
        <f t="array" ref="AA2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20" s="2" t="s">
        <v>36</v>
      </c>
      <c r="AC20" s="5"/>
      <c r="AD20" t="s">
        <v>739</v>
      </c>
    </row>
    <row r="21" spans="1:30" x14ac:dyDescent="0.25">
      <c r="A21" s="37" t="s">
        <v>41</v>
      </c>
      <c r="B21" s="157">
        <v>1</v>
      </c>
      <c r="C21" s="157" t="s">
        <v>32</v>
      </c>
      <c r="D21" s="37">
        <v>50</v>
      </c>
      <c r="E21">
        <v>50</v>
      </c>
      <c r="F21" t="s">
        <v>38</v>
      </c>
      <c r="G21" t="str">
        <f>"Freedom " &amp; _xlfn.XLOOKUP(Main[[#This Row],[FechaEntrega]], Guias[Fecha], Guias[Llegada])</f>
        <v>Freedom (M/T)</v>
      </c>
      <c r="H21" s="1" t="s">
        <v>825</v>
      </c>
      <c r="I21" s="259">
        <v>0.434</v>
      </c>
      <c r="J21" s="73">
        <f>_xlfn.LET(
  _xlpm.result, 1-((Main[[#This Row],[Cost]]+Main[[#This Row],[Duties]]+Main[[#This Row],[Transport]])/((Main[[#This Row],[Precio]]*0.96))),
  IF(_xlpm.result&lt;0, "BAJO", IF(_xlpm.result&gt;1, "ALTO", _xlpm.result))
)</f>
        <v>0.13730425055928408</v>
      </c>
      <c r="K21" s="135">
        <v>1.49</v>
      </c>
      <c r="L21" s="33" t="str" cm="1">
        <f t="array" aca="1" ref="L2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21" s="156">
        <f>Guias!$B$2</f>
        <v>46295</v>
      </c>
      <c r="N21" s="234">
        <f>ROUNDUP((Main[[#This Row],[Cost]]*Main[[#This Row],[Import Duties]]),2)</f>
        <v>6.9999999999999993E-2</v>
      </c>
      <c r="O21">
        <v>0</v>
      </c>
      <c r="P21">
        <v>1</v>
      </c>
      <c r="Q21">
        <v>0</v>
      </c>
      <c r="R21" s="235">
        <f>ROUNDUP(Main[[#This Row],[Transport2]]/Main[[#This Row],[Cantidad_Min]],2)</f>
        <v>0.73</v>
      </c>
      <c r="S21">
        <f>_xlfn.XLOOKUP(Main[[#This Row],[Type of Box]], Cajas[Nombre], Cajas[Largo])</f>
        <v>105</v>
      </c>
      <c r="T21">
        <f>_xlfn.XLOOKUP(Main[[#This Row],[Type of Box]], Cajas[Nombre], Cajas[Ancho])</f>
        <v>17</v>
      </c>
      <c r="U21">
        <f>_xlfn.XLOOKUP(Main[[#This Row],[Type of Box]], Cajas[Nombre], Cajas[Alto])</f>
        <v>17</v>
      </c>
      <c r="V2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">
        <f>ROUNDUP(((Main[[#This Row],[Volumen]]*5.25))*1.36,2)</f>
        <v>36.119999999999997</v>
      </c>
      <c r="X21" s="238">
        <v>0.15859999999999999</v>
      </c>
      <c r="Y21" s="260">
        <f>Main[[#This Row],[Cantidad_Min]]*Main[[#This Row],[Precio]]*Main[[#This Row],[Qty]]</f>
        <v>74.5</v>
      </c>
      <c r="Z21">
        <f>_xlfn.XLOOKUP(Main[[#This Row],[Finca]], Fincas[Nombre], Fincas[ID])</f>
        <v>38</v>
      </c>
      <c r="AA21" t="str" cm="1">
        <f t="array" ref="AA2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" s="2" t="s">
        <v>36</v>
      </c>
      <c r="AC21" s="5"/>
      <c r="AD21" s="244"/>
    </row>
    <row r="22" spans="1:30" x14ac:dyDescent="0.25">
      <c r="A22" s="37" t="s">
        <v>41</v>
      </c>
      <c r="B22" s="157">
        <v>1</v>
      </c>
      <c r="C22" s="157" t="s">
        <v>33</v>
      </c>
      <c r="D22" s="37">
        <v>125</v>
      </c>
      <c r="E22">
        <v>125</v>
      </c>
      <c r="F22" t="s">
        <v>35</v>
      </c>
      <c r="G22" t="str">
        <f>"Redvolution " &amp; _xlfn.XLOOKUP(Main[[#This Row],[FechaEntrega]], Guias[Fecha], Guias[Llegada])</f>
        <v>Redvolution (M/T)</v>
      </c>
      <c r="H22" s="1" t="s">
        <v>826</v>
      </c>
      <c r="I22" s="259">
        <v>0.36399999999999999</v>
      </c>
      <c r="J22" s="73">
        <f>_xlfn.LET(
  _xlpm.result, 1-((Main[[#This Row],[Cost]]+Main[[#This Row],[Duties]]+Main[[#This Row],[Transport]])/((Main[[#This Row],[Precio]]*0.96))),
  IF(_xlpm.result&lt;0, "BAJO", IF(_xlpm.result&gt;1, "ALTO", _xlpm.result))
)</f>
        <v>0.28507194244604306</v>
      </c>
      <c r="K22" s="135">
        <v>1.39</v>
      </c>
      <c r="L22" s="33" t="str" cm="1">
        <f t="array" aca="1" ref="L2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22" s="156">
        <f>Guias!$B$2</f>
        <v>46295</v>
      </c>
      <c r="N22" s="234">
        <f>ROUNDUP((Main[[#This Row],[Cost]]*Main[[#This Row],[Import Duties]]),2)</f>
        <v>6.0000000000000005E-2</v>
      </c>
      <c r="O22">
        <v>0</v>
      </c>
      <c r="P22">
        <v>1</v>
      </c>
      <c r="Q22">
        <v>0</v>
      </c>
      <c r="R22" s="235">
        <f>ROUNDUP(Main[[#This Row],[Transport2]]/Main[[#This Row],[Cantidad_Min]],2)</f>
        <v>0.53</v>
      </c>
      <c r="S22">
        <f>_xlfn.XLOOKUP(Main[[#This Row],[Type of Box]], Cajas[Nombre], Cajas[Largo])</f>
        <v>99</v>
      </c>
      <c r="T22">
        <f>_xlfn.XLOOKUP(Main[[#This Row],[Type of Box]], Cajas[Nombre], Cajas[Ancho])</f>
        <v>35</v>
      </c>
      <c r="U22">
        <f>_xlfn.XLOOKUP(Main[[#This Row],[Type of Box]], Cajas[Nombre], Cajas[Alto])</f>
        <v>16</v>
      </c>
      <c r="V2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2">
        <f>ROUNDUP(((Main[[#This Row],[Volumen]]*5.25))*1.36,2)</f>
        <v>65.98</v>
      </c>
      <c r="X22" s="238">
        <v>0.15859999999999999</v>
      </c>
      <c r="Y22" s="260">
        <f>Main[[#This Row],[Cantidad_Min]]*Main[[#This Row],[Precio]]*Main[[#This Row],[Qty]]</f>
        <v>173.75</v>
      </c>
      <c r="Z22">
        <f>_xlfn.XLOOKUP(Main[[#This Row],[Finca]], Fincas[Nombre], Fincas[ID])</f>
        <v>38</v>
      </c>
      <c r="AA22" t="str" cm="1">
        <f t="array" ref="AA2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2" s="2" t="s">
        <v>36</v>
      </c>
      <c r="AC22" s="5"/>
      <c r="AD22" s="244"/>
    </row>
    <row r="23" spans="1:30" x14ac:dyDescent="0.25">
      <c r="A23" s="37" t="s">
        <v>41</v>
      </c>
      <c r="B23" s="157">
        <v>1</v>
      </c>
      <c r="C23" s="157" t="s">
        <v>33</v>
      </c>
      <c r="D23" s="37">
        <v>125</v>
      </c>
      <c r="E23">
        <v>125</v>
      </c>
      <c r="F23" t="s">
        <v>35</v>
      </c>
      <c r="G23" t="str">
        <f>"Fortune " &amp; _xlfn.XLOOKUP(Main[[#This Row],[FechaEntrega]], Guias[Fecha], Guias[Llegada])</f>
        <v>Fortune (M/T)</v>
      </c>
      <c r="H23" s="1" t="s">
        <v>827</v>
      </c>
      <c r="I23" s="259">
        <v>0.36399999999999999</v>
      </c>
      <c r="J23" s="73">
        <f>_xlfn.LET(
  _xlpm.result, 1-((Main[[#This Row],[Cost]]+Main[[#This Row],[Duties]]+Main[[#This Row],[Transport]])/((Main[[#This Row],[Precio]]*0.96))),
  IF(_xlpm.result&lt;0, "BAJO", IF(_xlpm.result&gt;1, "ALTO", _xlpm.result))
)</f>
        <v>0.28507194244604306</v>
      </c>
      <c r="K23" s="135">
        <v>1.39</v>
      </c>
      <c r="L23" s="33" t="str" cm="1">
        <f t="array" aca="1" ref="L2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23" s="156">
        <f>Guias!$B$2</f>
        <v>46295</v>
      </c>
      <c r="N23" s="234">
        <f>ROUNDUP((Main[[#This Row],[Cost]]*Main[[#This Row],[Import Duties]]),2)</f>
        <v>6.0000000000000005E-2</v>
      </c>
      <c r="O23">
        <v>0</v>
      </c>
      <c r="P23">
        <v>1</v>
      </c>
      <c r="Q23">
        <v>0</v>
      </c>
      <c r="R23" s="235">
        <f>ROUNDUP(Main[[#This Row],[Transport2]]/Main[[#This Row],[Cantidad_Min]],2)</f>
        <v>0.53</v>
      </c>
      <c r="S23">
        <f>_xlfn.XLOOKUP(Main[[#This Row],[Type of Box]], Cajas[Nombre], Cajas[Largo])</f>
        <v>99</v>
      </c>
      <c r="T23">
        <f>_xlfn.XLOOKUP(Main[[#This Row],[Type of Box]], Cajas[Nombre], Cajas[Ancho])</f>
        <v>35</v>
      </c>
      <c r="U23">
        <f>_xlfn.XLOOKUP(Main[[#This Row],[Type of Box]], Cajas[Nombre], Cajas[Alto])</f>
        <v>16</v>
      </c>
      <c r="V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3">
        <f>ROUNDUP(((Main[[#This Row],[Volumen]]*5.25))*1.36,2)</f>
        <v>65.98</v>
      </c>
      <c r="X23" s="238">
        <v>0.15859999999999999</v>
      </c>
      <c r="Y23" s="260">
        <f>Main[[#This Row],[Cantidad_Min]]*Main[[#This Row],[Precio]]*Main[[#This Row],[Qty]]</f>
        <v>173.75</v>
      </c>
      <c r="Z23">
        <f>_xlfn.XLOOKUP(Main[[#This Row],[Finca]], Fincas[Nombre], Fincas[ID])</f>
        <v>38</v>
      </c>
      <c r="AA23" t="str" cm="1">
        <f t="array" ref="AA2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3" s="2" t="s">
        <v>36</v>
      </c>
      <c r="AC23" s="5"/>
      <c r="AD23" s="244"/>
    </row>
    <row r="24" spans="1:30" x14ac:dyDescent="0.25">
      <c r="A24" s="37" t="s">
        <v>34</v>
      </c>
      <c r="B24" s="157">
        <v>1</v>
      </c>
      <c r="C24" s="157" t="s">
        <v>33</v>
      </c>
      <c r="D24" s="37">
        <v>125</v>
      </c>
      <c r="E24">
        <v>125</v>
      </c>
      <c r="F24" t="s">
        <v>46</v>
      </c>
      <c r="G24" t="str">
        <f>"Freedom " &amp; _xlfn.XLOOKUP(Main[[#This Row],[FechaEntrega]], Guias[Fecha], Guias[Llegada])</f>
        <v>Freedom (T/W)</v>
      </c>
      <c r="H24" s="1" t="s">
        <v>828</v>
      </c>
      <c r="I24" s="259">
        <v>0.38</v>
      </c>
      <c r="J24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24" s="135">
        <v>1.39</v>
      </c>
      <c r="L24" s="33" t="str" cm="1">
        <f t="array" aca="1" ref="L2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24" s="156">
        <f>Guias!$B$3</f>
        <v>46296</v>
      </c>
      <c r="N24" s="234">
        <f>ROUNDUP((Main[[#This Row],[Cost]]*Main[[#This Row],[Import Duties]]),2)</f>
        <v>6.9999999999999993E-2</v>
      </c>
      <c r="O24">
        <v>0</v>
      </c>
      <c r="P24">
        <v>1</v>
      </c>
      <c r="Q24">
        <v>0</v>
      </c>
      <c r="R24" s="235">
        <f>ROUNDUP(Main[[#This Row],[Transport2]]/Main[[#This Row],[Cantidad_Min]],2)</f>
        <v>0.53</v>
      </c>
      <c r="S24">
        <f>_xlfn.XLOOKUP(Main[[#This Row],[Type of Box]], Cajas[Nombre], Cajas[Largo])</f>
        <v>99</v>
      </c>
      <c r="T24">
        <f>_xlfn.XLOOKUP(Main[[#This Row],[Type of Box]], Cajas[Nombre], Cajas[Ancho])</f>
        <v>35</v>
      </c>
      <c r="U24">
        <f>_xlfn.XLOOKUP(Main[[#This Row],[Type of Box]], Cajas[Nombre], Cajas[Alto])</f>
        <v>16</v>
      </c>
      <c r="V2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4">
        <f>ROUNDUP(((Main[[#This Row],[Volumen]]*5.25))*1.36,2)</f>
        <v>65.98</v>
      </c>
      <c r="X24" s="238">
        <v>0.15859999999999999</v>
      </c>
      <c r="Y24" s="260">
        <f>Main[[#This Row],[Cantidad_Min]]*Main[[#This Row],[Precio]]*Main[[#This Row],[Qty]]</f>
        <v>173.75</v>
      </c>
      <c r="Z24">
        <f>_xlfn.XLOOKUP(Main[[#This Row],[Finca]], Fincas[Nombre], Fincas[ID])</f>
        <v>72</v>
      </c>
      <c r="AA24" t="str" cm="1">
        <f t="array" ref="AA2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4" s="2" t="s">
        <v>36</v>
      </c>
      <c r="AC24" s="5"/>
      <c r="AD24" s="244"/>
    </row>
    <row r="25" spans="1:30" x14ac:dyDescent="0.25">
      <c r="A25" s="37" t="s">
        <v>34</v>
      </c>
      <c r="B25" s="157">
        <v>2</v>
      </c>
      <c r="C25" s="157" t="s">
        <v>33</v>
      </c>
      <c r="D25" s="37">
        <v>125</v>
      </c>
      <c r="E25">
        <v>125</v>
      </c>
      <c r="F25" t="s">
        <v>46</v>
      </c>
      <c r="G25" t="str">
        <f>"Freedom " &amp; _xlfn.XLOOKUP(Main[[#This Row],[FechaEntrega]], Guias[Fecha], Guias[Llegada])</f>
        <v>Freedom (W/T)</v>
      </c>
      <c r="H25" s="1" t="s">
        <v>829</v>
      </c>
      <c r="I25" s="259">
        <v>0.38</v>
      </c>
      <c r="J25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25" s="135">
        <v>1.39</v>
      </c>
      <c r="L25" s="33" cm="1">
        <f t="array" aca="1" ref="L2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25" s="156">
        <f>Guias!$B$4</f>
        <v>46297</v>
      </c>
      <c r="N25" s="234">
        <f>ROUNDUP((Main[[#This Row],[Cost]]*Main[[#This Row],[Import Duties]]),2)</f>
        <v>6.9999999999999993E-2</v>
      </c>
      <c r="O25">
        <v>0</v>
      </c>
      <c r="P25">
        <v>1</v>
      </c>
      <c r="Q25">
        <v>0</v>
      </c>
      <c r="R25" s="235">
        <f>ROUNDUP(Main[[#This Row],[Transport2]]/Main[[#This Row],[Cantidad_Min]],2)</f>
        <v>0.53</v>
      </c>
      <c r="S25">
        <f>_xlfn.XLOOKUP(Main[[#This Row],[Type of Box]], Cajas[Nombre], Cajas[Largo])</f>
        <v>99</v>
      </c>
      <c r="T25">
        <f>_xlfn.XLOOKUP(Main[[#This Row],[Type of Box]], Cajas[Nombre], Cajas[Ancho])</f>
        <v>35</v>
      </c>
      <c r="U25">
        <f>_xlfn.XLOOKUP(Main[[#This Row],[Type of Box]], Cajas[Nombre], Cajas[Alto])</f>
        <v>16</v>
      </c>
      <c r="V2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5">
        <f>ROUNDUP(((Main[[#This Row],[Volumen]]*5.25))*1.36,2)</f>
        <v>65.98</v>
      </c>
      <c r="X25" s="238">
        <v>0.15859999999999999</v>
      </c>
      <c r="Y25" s="260">
        <f>Main[[#This Row],[Cantidad_Min]]*Main[[#This Row],[Precio]]*Main[[#This Row],[Qty]]</f>
        <v>347.5</v>
      </c>
      <c r="Z25">
        <f>_xlfn.XLOOKUP(Main[[#This Row],[Finca]], Fincas[Nombre], Fincas[ID])</f>
        <v>72</v>
      </c>
      <c r="AA25" t="str" cm="1">
        <f t="array" ref="AA2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5" s="2" t="s">
        <v>36</v>
      </c>
      <c r="AC25" s="5"/>
      <c r="AD25" s="244"/>
    </row>
    <row r="26" spans="1:30" x14ac:dyDescent="0.25">
      <c r="A26" s="37" t="s">
        <v>39</v>
      </c>
      <c r="B26" s="157">
        <v>1</v>
      </c>
      <c r="C26" s="157" t="s">
        <v>33</v>
      </c>
      <c r="D26" s="37">
        <v>125</v>
      </c>
      <c r="E26">
        <v>125</v>
      </c>
      <c r="F26" t="s">
        <v>38</v>
      </c>
      <c r="G26" t="str">
        <f>"Freedom " &amp; _xlfn.XLOOKUP(Main[[#This Row],[FechaEntrega]], Guias[Fecha], Guias[Llegada])</f>
        <v>Freedom (M/T)</v>
      </c>
      <c r="H26" s="1" t="s">
        <v>830</v>
      </c>
      <c r="I26" s="259">
        <v>0.37</v>
      </c>
      <c r="J26" s="73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26" s="135">
        <v>1.39</v>
      </c>
      <c r="L26" s="33" t="str" cm="1">
        <f t="array" aca="1" ref="L2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26" s="156">
        <f>Guias!$B$2</f>
        <v>46295</v>
      </c>
      <c r="N26" s="234">
        <f>ROUNDUP((Main[[#This Row],[Cost]]*Main[[#This Row],[Import Duties]]),2)</f>
        <v>6.0000000000000005E-2</v>
      </c>
      <c r="O26">
        <v>0</v>
      </c>
      <c r="P26">
        <v>1</v>
      </c>
      <c r="Q26">
        <v>0</v>
      </c>
      <c r="R26" s="235">
        <f>ROUNDUP(Main[[#This Row],[Transport2]]/Main[[#This Row],[Cantidad_Min]],2)</f>
        <v>0.53</v>
      </c>
      <c r="S26">
        <f>_xlfn.XLOOKUP(Main[[#This Row],[Type of Box]], Cajas[Nombre], Cajas[Largo])</f>
        <v>99</v>
      </c>
      <c r="T26">
        <f>_xlfn.XLOOKUP(Main[[#This Row],[Type of Box]], Cajas[Nombre], Cajas[Ancho])</f>
        <v>35</v>
      </c>
      <c r="U26">
        <f>_xlfn.XLOOKUP(Main[[#This Row],[Type of Box]], Cajas[Nombre], Cajas[Alto])</f>
        <v>16</v>
      </c>
      <c r="V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6">
        <f>ROUNDUP(((Main[[#This Row],[Volumen]]*5.25))*1.36,2)</f>
        <v>65.98</v>
      </c>
      <c r="X26" s="238">
        <v>0.15859999999999999</v>
      </c>
      <c r="Y26" s="260">
        <f>Main[[#This Row],[Cantidad_Min]]*Main[[#This Row],[Precio]]*Main[[#This Row],[Qty]]</f>
        <v>173.75</v>
      </c>
      <c r="Z26">
        <f>_xlfn.XLOOKUP(Main[[#This Row],[Finca]], Fincas[Nombre], Fincas[ID])</f>
        <v>76</v>
      </c>
      <c r="AA26" t="str" cm="1">
        <f t="array" ref="AA2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6" s="2" t="s">
        <v>36</v>
      </c>
      <c r="AC26" s="5"/>
      <c r="AD26" s="244"/>
    </row>
    <row r="27" spans="1:30" x14ac:dyDescent="0.25">
      <c r="A27" s="37" t="s">
        <v>37</v>
      </c>
      <c r="B27" s="157">
        <v>2</v>
      </c>
      <c r="C27" s="157" t="s">
        <v>33</v>
      </c>
      <c r="D27" s="37">
        <v>125</v>
      </c>
      <c r="E27">
        <v>125</v>
      </c>
      <c r="F27" t="s">
        <v>38</v>
      </c>
      <c r="G27" t="str">
        <f>"Freedom " &amp; _xlfn.XLOOKUP(Main[[#This Row],[FechaEntrega]], Guias[Fecha], Guias[Llegada])</f>
        <v>Freedom (M/T)</v>
      </c>
      <c r="H27" s="1" t="s">
        <v>831</v>
      </c>
      <c r="I27" s="259">
        <v>0.4</v>
      </c>
      <c r="J27" s="73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27" s="135">
        <v>1.39</v>
      </c>
      <c r="L27" s="33" t="str" cm="1">
        <f t="array" aca="1" ref="L2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27" s="156">
        <f>Guias!$B$2</f>
        <v>46295</v>
      </c>
      <c r="N27" s="234">
        <f>ROUNDUP((Main[[#This Row],[Cost]]*Main[[#This Row],[Import Duties]]),2)</f>
        <v>6.9999999999999993E-2</v>
      </c>
      <c r="O27">
        <v>0</v>
      </c>
      <c r="P27">
        <v>1</v>
      </c>
      <c r="Q27">
        <v>0</v>
      </c>
      <c r="R27" s="235">
        <f>ROUNDUP(Main[[#This Row],[Transport2]]/Main[[#This Row],[Cantidad_Min]],2)</f>
        <v>0.53</v>
      </c>
      <c r="S27">
        <f>_xlfn.XLOOKUP(Main[[#This Row],[Type of Box]], Cajas[Nombre], Cajas[Largo])</f>
        <v>99</v>
      </c>
      <c r="T27">
        <f>_xlfn.XLOOKUP(Main[[#This Row],[Type of Box]], Cajas[Nombre], Cajas[Ancho])</f>
        <v>35</v>
      </c>
      <c r="U27">
        <f>_xlfn.XLOOKUP(Main[[#This Row],[Type of Box]], Cajas[Nombre], Cajas[Alto])</f>
        <v>16</v>
      </c>
      <c r="V2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7">
        <f>ROUNDUP(((Main[[#This Row],[Volumen]]*5.25))*1.36,2)</f>
        <v>65.98</v>
      </c>
      <c r="X27" s="238">
        <v>0.15859999999999999</v>
      </c>
      <c r="Y27" s="260">
        <f>Main[[#This Row],[Cantidad_Min]]*Main[[#This Row],[Precio]]*Main[[#This Row],[Qty]]</f>
        <v>347.5</v>
      </c>
      <c r="Z27">
        <f>_xlfn.XLOOKUP(Main[[#This Row],[Finca]], Fincas[Nombre], Fincas[ID])</f>
        <v>35</v>
      </c>
      <c r="AA27" t="str" cm="1">
        <f t="array" ref="AA2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7" s="2" t="s">
        <v>36</v>
      </c>
      <c r="AC27" s="5"/>
      <c r="AD27" s="244"/>
    </row>
    <row r="28" spans="1:30" x14ac:dyDescent="0.25">
      <c r="A28" s="161" t="s">
        <v>41</v>
      </c>
      <c r="B28" s="162">
        <v>1</v>
      </c>
      <c r="C28" s="162" t="s">
        <v>32</v>
      </c>
      <c r="D28" s="161">
        <v>48</v>
      </c>
      <c r="E28" s="261">
        <v>48</v>
      </c>
      <c r="F28" s="261" t="s">
        <v>214</v>
      </c>
      <c r="G28" t="str">
        <f>"Kings Cross/Princess Crown/Mayras Peach/Louis " &amp; _xlfn.XLOOKUP(Main[[#This Row],[FechaEntrega]], Guias[Fecha], Guias[Llegada])</f>
        <v>Kings Cross/Princess Crown/Mayras Peach/Louis (M/T)</v>
      </c>
      <c r="H28" s="1" t="s">
        <v>832</v>
      </c>
      <c r="I28" s="259">
        <f>AVERAGE(0.56,0.66)</f>
        <v>0.6100000000000001</v>
      </c>
      <c r="J28" s="73">
        <f>_xlfn.LET(
  _xlpm.result, 1-((Main[[#This Row],[Cost]]+Main[[#This Row],[Duties]]+Main[[#This Row],[Transport]])/((Main[[#This Row],[Precio]]*0.96))),
  IF(_xlpm.result&lt;0, "BAJO", IF(_xlpm.result&gt;1, "ALTO", _xlpm.result))
)</f>
        <v>0.14455307262569816</v>
      </c>
      <c r="K28" s="135">
        <v>1.79</v>
      </c>
      <c r="L28" s="33" t="str" cm="1">
        <f t="array" aca="1" ref="L2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28" s="156">
        <f>Guias!$B$2</f>
        <v>46295</v>
      </c>
      <c r="N28" s="234">
        <f>ROUNDUP((Main[[#This Row],[Cost]]*Main[[#This Row],[Import Duties]]),2)</f>
        <v>9.9999999999999992E-2</v>
      </c>
      <c r="O28">
        <v>0</v>
      </c>
      <c r="P28">
        <v>1</v>
      </c>
      <c r="Q28">
        <v>0</v>
      </c>
      <c r="R28" s="235">
        <f>ROUNDUP(Main[[#This Row],[Transport2]]/Main[[#This Row],[Cantidad_Min]],2)</f>
        <v>0.76</v>
      </c>
      <c r="S28">
        <f>_xlfn.XLOOKUP(Main[[#This Row],[Type of Box]], Cajas[Nombre], Cajas[Largo])</f>
        <v>105</v>
      </c>
      <c r="T28">
        <f>_xlfn.XLOOKUP(Main[[#This Row],[Type of Box]], Cajas[Nombre], Cajas[Ancho])</f>
        <v>17</v>
      </c>
      <c r="U28">
        <f>_xlfn.XLOOKUP(Main[[#This Row],[Type of Box]], Cajas[Nombre], Cajas[Alto])</f>
        <v>17</v>
      </c>
      <c r="V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8">
        <f>ROUNDUP(((Main[[#This Row],[Volumen]]*5.25))*1.36,2)</f>
        <v>36.119999999999997</v>
      </c>
      <c r="X28" s="238">
        <v>0.15859999999999999</v>
      </c>
      <c r="Y28" s="260">
        <f>Main[[#This Row],[Cantidad_Min]]*Main[[#This Row],[Precio]]*Main[[#This Row],[Qty]]</f>
        <v>85.92</v>
      </c>
      <c r="Z28">
        <f>_xlfn.XLOOKUP(Main[[#This Row],[Finca]], Fincas[Nombre], Fincas[ID])</f>
        <v>38</v>
      </c>
      <c r="AA28" t="str" cm="1">
        <f t="array" ref="AA2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28" s="2" t="s">
        <v>36</v>
      </c>
      <c r="AC28" s="5" t="s">
        <v>215</v>
      </c>
      <c r="AD28" s="244" t="s">
        <v>213</v>
      </c>
    </row>
    <row r="29" spans="1:30" x14ac:dyDescent="0.25">
      <c r="A29" s="37" t="s">
        <v>34</v>
      </c>
      <c r="B29" s="157">
        <v>1</v>
      </c>
      <c r="C29" s="157" t="s">
        <v>32</v>
      </c>
      <c r="D29" s="37">
        <v>48</v>
      </c>
      <c r="E29">
        <v>48</v>
      </c>
      <c r="F29" t="s">
        <v>69</v>
      </c>
      <c r="G29" t="str">
        <f>"12 Dragonfly/12 White Ohara/12 Antonia/12 Queenscrown " &amp; _xlfn.XLOOKUP(Main[[#This Row],[FechaEntrega]], Guias[Fecha], Guias[Llegada])</f>
        <v>12 Dragonfly/12 White Ohara/12 Antonia/12 Queenscrown (T/W)</v>
      </c>
      <c r="H29" s="1" t="s">
        <v>833</v>
      </c>
      <c r="I29" s="259">
        <v>0.51</v>
      </c>
      <c r="J29" s="73">
        <f>_xlfn.LET(
  _xlpm.result, 1-((Main[[#This Row],[Cost]]+Main[[#This Row],[Duties]]+Main[[#This Row],[Transport]])/((Main[[#This Row],[Precio]]*0.96))),
  IF(_xlpm.result&lt;0, "BAJO", IF(_xlpm.result&gt;1, "ALTO", _xlpm.result))
)</f>
        <v>0.20856610800744879</v>
      </c>
      <c r="K29" s="135">
        <v>1.79</v>
      </c>
      <c r="L29" s="33" t="str" cm="1">
        <f t="array" aca="1" ref="L2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29" s="156">
        <f>Guias!$B$3</f>
        <v>46296</v>
      </c>
      <c r="N29" s="234">
        <f>ROUNDUP((Main[[#This Row],[Cost]]*Main[[#This Row],[Import Duties]]),2)</f>
        <v>0.09</v>
      </c>
      <c r="O29">
        <v>0</v>
      </c>
      <c r="P29">
        <v>1</v>
      </c>
      <c r="Q29">
        <v>0</v>
      </c>
      <c r="R29" s="235">
        <f>ROUNDUP(Main[[#This Row],[Transport2]]/Main[[#This Row],[Cantidad_Min]],2)</f>
        <v>0.76</v>
      </c>
      <c r="S29">
        <f>_xlfn.XLOOKUP(Main[[#This Row],[Type of Box]], Cajas[Nombre], Cajas[Largo])</f>
        <v>105</v>
      </c>
      <c r="T29">
        <f>_xlfn.XLOOKUP(Main[[#This Row],[Type of Box]], Cajas[Nombre], Cajas[Ancho])</f>
        <v>17</v>
      </c>
      <c r="U29">
        <f>_xlfn.XLOOKUP(Main[[#This Row],[Type of Box]], Cajas[Nombre], Cajas[Alto])</f>
        <v>17</v>
      </c>
      <c r="V2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9">
        <f>ROUNDUP(((Main[[#This Row],[Volumen]]*5.25))*1.36,2)</f>
        <v>36.119999999999997</v>
      </c>
      <c r="X29" s="238">
        <v>0.15859999999999999</v>
      </c>
      <c r="Y29" s="260">
        <f>Main[[#This Row],[Cantidad_Min]]*Main[[#This Row],[Precio]]*Main[[#This Row],[Qty]]</f>
        <v>85.92</v>
      </c>
      <c r="Z29">
        <f>_xlfn.XLOOKUP(Main[[#This Row],[Finca]], Fincas[Nombre], Fincas[ID])</f>
        <v>72</v>
      </c>
      <c r="AA29" t="str" cm="1">
        <f t="array" ref="AA2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9" s="2" t="s">
        <v>36</v>
      </c>
      <c r="AC29" s="278"/>
      <c r="AD29" s="245"/>
    </row>
    <row r="30" spans="1:30" x14ac:dyDescent="0.25">
      <c r="A30" s="37" t="s">
        <v>41</v>
      </c>
      <c r="B30" s="157">
        <v>1</v>
      </c>
      <c r="C30" s="157" t="s">
        <v>32</v>
      </c>
      <c r="D30" s="37">
        <v>48</v>
      </c>
      <c r="E30">
        <v>48</v>
      </c>
      <c r="F30" t="s">
        <v>55</v>
      </c>
      <c r="G30" t="str">
        <f>"Piano " &amp; _xlfn.XLOOKUP(Main[[#This Row],[FechaEntrega]], Guias[Fecha], Guias[Llegada])</f>
        <v>Piano (T/W)</v>
      </c>
      <c r="H30" s="1" t="s">
        <v>834</v>
      </c>
      <c r="I30" s="259">
        <v>0.61399999999999999</v>
      </c>
      <c r="J30" s="73">
        <f>_xlfn.LET(
  _xlpm.result, 1-((Main[[#This Row],[Cost]]+Main[[#This Row],[Duties]]+Main[[#This Row],[Transport]])/((Main[[#This Row],[Precio]]*0.96))),
  IF(_xlpm.result&lt;0, "BAJO", IF(_xlpm.result&gt;1, "ALTO", _xlpm.result))
)</f>
        <v>0.22843383584589616</v>
      </c>
      <c r="K30" s="135">
        <v>1.99</v>
      </c>
      <c r="L30" s="33" t="str" cm="1">
        <f t="array" aca="1" ref="L3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30" s="156">
        <f>Guias!$B$3</f>
        <v>46296</v>
      </c>
      <c r="N30" s="234">
        <f>ROUNDUP((Main[[#This Row],[Cost]]*Main[[#This Row],[Import Duties]]),2)</f>
        <v>9.9999999999999992E-2</v>
      </c>
      <c r="O30">
        <v>0</v>
      </c>
      <c r="P30">
        <v>1</v>
      </c>
      <c r="Q30">
        <v>0</v>
      </c>
      <c r="R30" s="235">
        <f>ROUNDUP(Main[[#This Row],[Transport2]]/Main[[#This Row],[Cantidad_Min]],2)</f>
        <v>0.76</v>
      </c>
      <c r="S30">
        <f>_xlfn.XLOOKUP(Main[[#This Row],[Type of Box]], Cajas[Nombre], Cajas[Largo])</f>
        <v>105</v>
      </c>
      <c r="T30">
        <f>_xlfn.XLOOKUP(Main[[#This Row],[Type of Box]], Cajas[Nombre], Cajas[Ancho])</f>
        <v>17</v>
      </c>
      <c r="U30">
        <f>_xlfn.XLOOKUP(Main[[#This Row],[Type of Box]], Cajas[Nombre], Cajas[Alto])</f>
        <v>17</v>
      </c>
      <c r="V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0">
        <f>ROUNDUP(((Main[[#This Row],[Volumen]]*5.25))*1.36,2)</f>
        <v>36.119999999999997</v>
      </c>
      <c r="X30" s="238">
        <v>0.15859999999999999</v>
      </c>
      <c r="Y30" s="260">
        <f>Main[[#This Row],[Cantidad_Min]]*Main[[#This Row],[Precio]]*Main[[#This Row],[Qty]]</f>
        <v>95.52</v>
      </c>
      <c r="Z30">
        <f>_xlfn.XLOOKUP(Main[[#This Row],[Finca]], Fincas[Nombre], Fincas[ID])</f>
        <v>38</v>
      </c>
      <c r="AA30" t="str" cm="1">
        <f t="array" ref="AA3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0" s="2" t="s">
        <v>36</v>
      </c>
      <c r="AC30" s="278"/>
      <c r="AD30" s="245"/>
    </row>
    <row r="31" spans="1:30" x14ac:dyDescent="0.25">
      <c r="A31" s="37" t="s">
        <v>41</v>
      </c>
      <c r="B31" s="157">
        <v>1</v>
      </c>
      <c r="C31" s="157" t="s">
        <v>32</v>
      </c>
      <c r="D31" s="37">
        <v>48</v>
      </c>
      <c r="E31">
        <v>48</v>
      </c>
      <c r="F31" t="s">
        <v>56</v>
      </c>
      <c r="G31" t="str">
        <f>"Piano " &amp; _xlfn.XLOOKUP(Main[[#This Row],[FechaEntrega]], Guias[Fecha], Guias[Llegada])</f>
        <v>Piano (T/W)</v>
      </c>
      <c r="H31" s="1" t="s">
        <v>835</v>
      </c>
      <c r="I31" s="259">
        <v>0.61399999999999999</v>
      </c>
      <c r="J31" s="73">
        <f>_xlfn.LET(
  _xlpm.result, 1-((Main[[#This Row],[Cost]]+Main[[#This Row],[Duties]]+Main[[#This Row],[Transport]])/((Main[[#This Row],[Precio]]*0.96))),
  IF(_xlpm.result&lt;0, "BAJO", IF(_xlpm.result&gt;1, "ALTO", _xlpm.result))
)</f>
        <v>0.22814189189189182</v>
      </c>
      <c r="K31" s="135">
        <v>1.9892473118279568</v>
      </c>
      <c r="L31" s="33" t="str" cm="1">
        <f t="array" aca="1" ref="L3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31" s="156">
        <f>Guias!$B$3</f>
        <v>46296</v>
      </c>
      <c r="N31" s="234">
        <f>ROUNDUP((Main[[#This Row],[Cost]]*Main[[#This Row],[Import Duties]]),2)</f>
        <v>9.9999999999999992E-2</v>
      </c>
      <c r="O31">
        <v>0</v>
      </c>
      <c r="P31">
        <v>1</v>
      </c>
      <c r="Q31">
        <v>0</v>
      </c>
      <c r="R31" s="235">
        <f>ROUNDUP(Main[[#This Row],[Transport2]]/Main[[#This Row],[Cantidad_Min]],2)</f>
        <v>0.76</v>
      </c>
      <c r="S31">
        <f>_xlfn.XLOOKUP(Main[[#This Row],[Type of Box]], Cajas[Nombre], Cajas[Largo])</f>
        <v>105</v>
      </c>
      <c r="T31">
        <f>_xlfn.XLOOKUP(Main[[#This Row],[Type of Box]], Cajas[Nombre], Cajas[Ancho])</f>
        <v>17</v>
      </c>
      <c r="U31">
        <f>_xlfn.XLOOKUP(Main[[#This Row],[Type of Box]], Cajas[Nombre], Cajas[Alto])</f>
        <v>17</v>
      </c>
      <c r="V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1">
        <f>ROUNDUP(((Main[[#This Row],[Volumen]]*5.25))*1.36,2)</f>
        <v>36.119999999999997</v>
      </c>
      <c r="X31" s="238">
        <v>0.15859999999999999</v>
      </c>
      <c r="Y31" s="260">
        <f>Main[[#This Row],[Cantidad_Min]]*Main[[#This Row],[Precio]]*Main[[#This Row],[Qty]]</f>
        <v>95.483870967741922</v>
      </c>
      <c r="Z31">
        <f>_xlfn.XLOOKUP(Main[[#This Row],[Finca]], Fincas[Nombre], Fincas[ID])</f>
        <v>38</v>
      </c>
      <c r="AA31" t="str" cm="1">
        <f t="array" ref="AA3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1" s="2" t="s">
        <v>36</v>
      </c>
      <c r="AC31" s="278"/>
      <c r="AD31" s="245"/>
    </row>
    <row r="32" spans="1:30" x14ac:dyDescent="0.25">
      <c r="A32" s="37" t="s">
        <v>509</v>
      </c>
      <c r="B32" s="157">
        <v>2</v>
      </c>
      <c r="C32" s="157" t="s">
        <v>33</v>
      </c>
      <c r="D32" s="37">
        <v>100</v>
      </c>
      <c r="E32">
        <v>100</v>
      </c>
      <c r="F32" t="s">
        <v>664</v>
      </c>
      <c r="G32" t="str">
        <f>"50 Catalina/50 Sweet Catalina " &amp; _xlfn.XLOOKUP(Main[[#This Row],[FechaEntrega]], Guias[Fecha], Guias[Llegada])</f>
        <v>50 Catalina/50 Sweet Catalina (T/W)</v>
      </c>
      <c r="H32" s="1" t="s">
        <v>836</v>
      </c>
      <c r="I32" s="259">
        <v>0.65</v>
      </c>
      <c r="J32" s="73">
        <f>_xlfn.LET(
  _xlpm.result, 1-((Main[[#This Row],[Cost]]+Main[[#This Row],[Duties]]+Main[[#This Row],[Transport]])/((Main[[#This Row],[Precio]]*0.96))),
  IF(_xlpm.result&lt;0, "BAJO", IF(_xlpm.result&gt;1, "ALTO", _xlpm.result))
)</f>
        <v>0.25641891891891888</v>
      </c>
      <c r="K32" s="135">
        <v>1.9892473118279568</v>
      </c>
      <c r="L32" s="33" t="str" cm="1">
        <f t="array" aca="1" ref="L3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32" s="156">
        <f>Guias!$B$3</f>
        <v>46296</v>
      </c>
      <c r="N32" s="234">
        <f>ROUNDUP((Main[[#This Row],[Cost]]*Main[[#This Row],[Import Duties]]),2)</f>
        <v>0.11</v>
      </c>
      <c r="O32">
        <v>0</v>
      </c>
      <c r="P32">
        <v>1</v>
      </c>
      <c r="Q32">
        <v>0</v>
      </c>
      <c r="R32" s="235">
        <f>ROUNDUP(Main[[#This Row],[Transport2]]/Main[[#This Row],[Cantidad_Min]],2)</f>
        <v>0.66</v>
      </c>
      <c r="S32">
        <f>_xlfn.XLOOKUP(Main[[#This Row],[Type of Box]], Cajas[Nombre], Cajas[Largo])</f>
        <v>99</v>
      </c>
      <c r="T32">
        <f>_xlfn.XLOOKUP(Main[[#This Row],[Type of Box]], Cajas[Nombre], Cajas[Ancho])</f>
        <v>35</v>
      </c>
      <c r="U32">
        <f>_xlfn.XLOOKUP(Main[[#This Row],[Type of Box]], Cajas[Nombre], Cajas[Alto])</f>
        <v>16</v>
      </c>
      <c r="V3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2">
        <f>ROUNDUP(((Main[[#This Row],[Volumen]]*5.25))*1.36,2)</f>
        <v>65.98</v>
      </c>
      <c r="X32" s="238">
        <v>0.15859999999999999</v>
      </c>
      <c r="Y32" s="260">
        <f>Main[[#This Row],[Cantidad_Min]]*Main[[#This Row],[Precio]]*Main[[#This Row],[Qty]]</f>
        <v>397.84946236559136</v>
      </c>
      <c r="Z32">
        <f>_xlfn.XLOOKUP(Main[[#This Row],[Finca]], Fincas[Nombre], Fincas[ID])</f>
        <v>106</v>
      </c>
      <c r="AA32" t="str" cm="1">
        <f t="array" ref="AA3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2" s="2" t="s">
        <v>36</v>
      </c>
      <c r="AC32" s="276"/>
      <c r="AD32" s="248"/>
    </row>
    <row r="33" spans="1:30" x14ac:dyDescent="0.25">
      <c r="A33" s="37" t="s">
        <v>41</v>
      </c>
      <c r="B33" s="157">
        <v>1</v>
      </c>
      <c r="C33" s="157" t="s">
        <v>32</v>
      </c>
      <c r="D33" s="37">
        <v>50</v>
      </c>
      <c r="E33">
        <v>50</v>
      </c>
      <c r="F33" t="s">
        <v>57</v>
      </c>
      <c r="G33" t="str">
        <f>"Jeanine " &amp; _xlfn.XLOOKUP(Main[[#This Row],[FechaEntrega]], Guias[Fecha], Guias[Llegada])</f>
        <v>Jeanine (T/W)</v>
      </c>
      <c r="H33" s="1" t="s">
        <v>837</v>
      </c>
      <c r="I33" s="259">
        <v>0.56000000000000005</v>
      </c>
      <c r="J33" s="73">
        <f>_xlfn.LET(
  _xlpm.result, 1-((Main[[#This Row],[Cost]]+Main[[#This Row],[Duties]]+Main[[#This Row],[Transport]])/((Main[[#This Row],[Precio]]*0.96))),
  IF(_xlpm.result&lt;0, "BAJO", IF(_xlpm.result&gt;1, "ALTO", _xlpm.result))
)</f>
        <v>0.24041193181818188</v>
      </c>
      <c r="K33" s="135">
        <v>1.8924731182795698</v>
      </c>
      <c r="L33" s="33" t="str" cm="1">
        <f t="array" aca="1" ref="L3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33" s="156">
        <f>Guias!$B$3</f>
        <v>46296</v>
      </c>
      <c r="N33" s="234">
        <f>ROUNDUP((Main[[#This Row],[Cost]]*Main[[#This Row],[Import Duties]]),2)</f>
        <v>0.09</v>
      </c>
      <c r="O33">
        <v>0</v>
      </c>
      <c r="P33">
        <v>1</v>
      </c>
      <c r="Q33">
        <v>0</v>
      </c>
      <c r="R33" s="235">
        <f>ROUNDUP(Main[[#This Row],[Transport2]]/Main[[#This Row],[Cantidad_Min]],2)</f>
        <v>0.73</v>
      </c>
      <c r="S33">
        <f>_xlfn.XLOOKUP(Main[[#This Row],[Type of Box]], Cajas[Nombre], Cajas[Largo])</f>
        <v>105</v>
      </c>
      <c r="T33">
        <f>_xlfn.XLOOKUP(Main[[#This Row],[Type of Box]], Cajas[Nombre], Cajas[Ancho])</f>
        <v>17</v>
      </c>
      <c r="U33">
        <f>_xlfn.XLOOKUP(Main[[#This Row],[Type of Box]], Cajas[Nombre], Cajas[Alto])</f>
        <v>17</v>
      </c>
      <c r="V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3">
        <f>ROUNDUP(((Main[[#This Row],[Volumen]]*5.25))*1.36,2)</f>
        <v>36.119999999999997</v>
      </c>
      <c r="X33" s="238">
        <v>0.15859999999999999</v>
      </c>
      <c r="Y33" s="260">
        <f>Main[[#This Row],[Cantidad_Min]]*Main[[#This Row],[Precio]]*Main[[#This Row],[Qty]]</f>
        <v>94.623655913978482</v>
      </c>
      <c r="Z33">
        <f>_xlfn.XLOOKUP(Main[[#This Row],[Finca]], Fincas[Nombre], Fincas[ID])</f>
        <v>38</v>
      </c>
      <c r="AA33" t="str" cm="1">
        <f t="array" ref="AA3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3" s="2" t="s">
        <v>36</v>
      </c>
      <c r="AC33" s="5"/>
      <c r="AD33" s="244"/>
    </row>
    <row r="34" spans="1:30" x14ac:dyDescent="0.25">
      <c r="A34" s="37" t="s">
        <v>34</v>
      </c>
      <c r="B34" s="157">
        <v>1</v>
      </c>
      <c r="C34" s="157" t="s">
        <v>32</v>
      </c>
      <c r="D34" s="37">
        <v>50</v>
      </c>
      <c r="E34">
        <v>50</v>
      </c>
      <c r="F34" t="s">
        <v>57</v>
      </c>
      <c r="G34" t="str">
        <f>"Jeanine " &amp; _xlfn.XLOOKUP(Main[[#This Row],[FechaEntrega]], Guias[Fecha], Guias[Llegada])</f>
        <v>Jeanine (T/W)</v>
      </c>
      <c r="H34" s="1" t="s">
        <v>838</v>
      </c>
      <c r="I34" s="259">
        <v>0.51</v>
      </c>
      <c r="J34" s="73">
        <f>_xlfn.LET(
  _xlpm.result, 1-((Main[[#This Row],[Cost]]+Main[[#This Row],[Duties]]+Main[[#This Row],[Transport]])/((Main[[#This Row],[Precio]]*0.96))),
  IF(_xlpm.result&lt;0, "BAJO", IF(_xlpm.result&gt;1, "ALTO", _xlpm.result))
)</f>
        <v>0.26793323863636354</v>
      </c>
      <c r="K34" s="135">
        <v>1.8924731182795698</v>
      </c>
      <c r="L34" s="33" t="str" cm="1">
        <f t="array" aca="1" ref="L3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34" s="156">
        <f>Guias!$B$3</f>
        <v>46296</v>
      </c>
      <c r="N34" s="234">
        <f>ROUNDUP((Main[[#This Row],[Cost]]*Main[[#This Row],[Import Duties]]),2)</f>
        <v>0.09</v>
      </c>
      <c r="O34">
        <v>0</v>
      </c>
      <c r="P34">
        <v>1</v>
      </c>
      <c r="Q34">
        <v>0</v>
      </c>
      <c r="R34" s="235">
        <f>ROUNDUP(Main[[#This Row],[Transport2]]/Main[[#This Row],[Cantidad_Min]],2)</f>
        <v>0.73</v>
      </c>
      <c r="S34">
        <f>_xlfn.XLOOKUP(Main[[#This Row],[Type of Box]], Cajas[Nombre], Cajas[Largo])</f>
        <v>105</v>
      </c>
      <c r="T34">
        <f>_xlfn.XLOOKUP(Main[[#This Row],[Type of Box]], Cajas[Nombre], Cajas[Ancho])</f>
        <v>17</v>
      </c>
      <c r="U34">
        <f>_xlfn.XLOOKUP(Main[[#This Row],[Type of Box]], Cajas[Nombre], Cajas[Alto])</f>
        <v>17</v>
      </c>
      <c r="V3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4">
        <f>ROUNDUP(((Main[[#This Row],[Volumen]]*5.25))*1.36,2)</f>
        <v>36.119999999999997</v>
      </c>
      <c r="X34" s="238">
        <v>0.15859999999999999</v>
      </c>
      <c r="Y34" s="260">
        <f>Main[[#This Row],[Cantidad_Min]]*Main[[#This Row],[Precio]]*Main[[#This Row],[Qty]]</f>
        <v>94.623655913978482</v>
      </c>
      <c r="Z34">
        <f>_xlfn.XLOOKUP(Main[[#This Row],[Finca]], Fincas[Nombre], Fincas[ID])</f>
        <v>72</v>
      </c>
      <c r="AA34" t="str" cm="1">
        <f t="array" ref="AA3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4" s="2" t="s">
        <v>36</v>
      </c>
      <c r="AC34" s="31"/>
      <c r="AD34" s="246"/>
    </row>
    <row r="35" spans="1:30" x14ac:dyDescent="0.25">
      <c r="A35" s="37" t="s">
        <v>34</v>
      </c>
      <c r="B35" s="157">
        <v>1</v>
      </c>
      <c r="C35" s="157" t="s">
        <v>32</v>
      </c>
      <c r="D35" s="37">
        <v>50</v>
      </c>
      <c r="E35">
        <v>50</v>
      </c>
      <c r="F35" t="s">
        <v>79</v>
      </c>
      <c r="G35" t="str">
        <f>"30 Rosanella/20 Jeanine " &amp; _xlfn.XLOOKUP(Main[[#This Row],[FechaEntrega]], Guias[Fecha], Guias[Llegada])</f>
        <v>30 Rosanella/20 Jeanine (M/T)</v>
      </c>
      <c r="H35" s="1" t="s">
        <v>839</v>
      </c>
      <c r="I35" s="259">
        <v>0.51</v>
      </c>
      <c r="J35" s="73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35" s="135">
        <v>1.79</v>
      </c>
      <c r="L35" s="33" t="str" cm="1">
        <f t="array" aca="1" ref="L3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35" s="156">
        <f>Guias!$B$2</f>
        <v>46295</v>
      </c>
      <c r="N35" s="234">
        <f>ROUNDUP((Main[[#This Row],[Cost]]*Main[[#This Row],[Import Duties]]),2)</f>
        <v>0.09</v>
      </c>
      <c r="O35">
        <v>0</v>
      </c>
      <c r="P35">
        <v>1</v>
      </c>
      <c r="Q35">
        <v>0</v>
      </c>
      <c r="R35" s="235">
        <f>ROUNDUP(Main[[#This Row],[Transport2]]/Main[[#This Row],[Cantidad_Min]],2)</f>
        <v>0.73</v>
      </c>
      <c r="S35">
        <f>_xlfn.XLOOKUP(Main[[#This Row],[Type of Box]], Cajas[Nombre], Cajas[Largo])</f>
        <v>105</v>
      </c>
      <c r="T35">
        <f>_xlfn.XLOOKUP(Main[[#This Row],[Type of Box]], Cajas[Nombre], Cajas[Ancho])</f>
        <v>17</v>
      </c>
      <c r="U35">
        <f>_xlfn.XLOOKUP(Main[[#This Row],[Type of Box]], Cajas[Nombre], Cajas[Alto])</f>
        <v>17</v>
      </c>
      <c r="V3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5">
        <f>ROUNDUP(((Main[[#This Row],[Volumen]]*5.25))*1.36,2)</f>
        <v>36.119999999999997</v>
      </c>
      <c r="X35" s="238">
        <v>0.15859999999999999</v>
      </c>
      <c r="Y35" s="260">
        <f>Main[[#This Row],[Cantidad_Min]]*Main[[#This Row],[Precio]]*Main[[#This Row],[Qty]]</f>
        <v>89.5</v>
      </c>
      <c r="Z35">
        <f>_xlfn.XLOOKUP(Main[[#This Row],[Finca]], Fincas[Nombre], Fincas[ID])</f>
        <v>72</v>
      </c>
      <c r="AA35" t="str" cm="1">
        <f t="array" ref="AA3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5" s="2" t="s">
        <v>36</v>
      </c>
      <c r="AC35" s="278"/>
      <c r="AD35" s="248"/>
    </row>
    <row r="36" spans="1:30" x14ac:dyDescent="0.25">
      <c r="A36" s="161" t="s">
        <v>54</v>
      </c>
      <c r="B36" s="162">
        <v>1</v>
      </c>
      <c r="C36" s="162" t="s">
        <v>32</v>
      </c>
      <c r="D36" s="161">
        <v>60</v>
      </c>
      <c r="E36" s="261">
        <v>60</v>
      </c>
      <c r="F36" s="261" t="s">
        <v>58</v>
      </c>
      <c r="G36" t="str">
        <f>"10 Rubicon/10 Suncity/10 Hot Majolica/10 Starblush/10 Mambo " &amp; _xlfn.XLOOKUP(Main[[#This Row],[FechaEntrega]], Guias[Fecha], Guias[Llegada])</f>
        <v>10 Rubicon/10 Suncity/10 Hot Majolica/10 Starblush/10 Mambo (T/W)</v>
      </c>
      <c r="H36" s="1" t="s">
        <v>840</v>
      </c>
      <c r="I36" s="259">
        <v>0.3</v>
      </c>
      <c r="J36" s="73">
        <f>_xlfn.LET(
  _xlpm.result, 1-((Main[[#This Row],[Cost]]+Main[[#This Row],[Duties]]+Main[[#This Row],[Transport]])/((Main[[#This Row],[Precio]]*0.96))),
  IF(_xlpm.result&lt;0, "BAJO", IF(_xlpm.result&gt;1, "ALTO", _xlpm.result))
)</f>
        <v>0.32116788321167877</v>
      </c>
      <c r="K36" s="135">
        <v>1.4731182795698925</v>
      </c>
      <c r="L36" s="33" t="str" cm="1">
        <f t="array" aca="1" ref="L3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36" s="156">
        <f>Guias!$B$3</f>
        <v>46296</v>
      </c>
      <c r="N36" s="234">
        <f>ROUNDUP((Main[[#This Row],[Cost]]*Main[[#This Row],[Import Duties]]),2)</f>
        <v>0.05</v>
      </c>
      <c r="O36">
        <v>0</v>
      </c>
      <c r="P36">
        <v>1</v>
      </c>
      <c r="Q36">
        <v>0</v>
      </c>
      <c r="R36" s="235">
        <f>ROUNDUP(Main[[#This Row],[Transport2]]/Main[[#This Row],[Cantidad_Min]],2)</f>
        <v>0.61</v>
      </c>
      <c r="S36">
        <f>_xlfn.XLOOKUP(Main[[#This Row],[Type of Box]], Cajas[Nombre], Cajas[Largo])</f>
        <v>105</v>
      </c>
      <c r="T36">
        <f>_xlfn.XLOOKUP(Main[[#This Row],[Type of Box]], Cajas[Nombre], Cajas[Ancho])</f>
        <v>17</v>
      </c>
      <c r="U36">
        <f>_xlfn.XLOOKUP(Main[[#This Row],[Type of Box]], Cajas[Nombre], Cajas[Alto])</f>
        <v>17</v>
      </c>
      <c r="V3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6">
        <f>ROUNDUP(((Main[[#This Row],[Volumen]]*5.25))*1.36,2)</f>
        <v>36.119999999999997</v>
      </c>
      <c r="X36" s="238">
        <v>0.15859999999999999</v>
      </c>
      <c r="Y36" s="260">
        <f>Main[[#This Row],[Cantidad_Min]]*Main[[#This Row],[Precio]]*Main[[#This Row],[Qty]]</f>
        <v>88.387096774193552</v>
      </c>
      <c r="Z36">
        <f>_xlfn.XLOOKUP(Main[[#This Row],[Finca]], Fincas[Nombre], Fincas[ID])</f>
        <v>58</v>
      </c>
      <c r="AA36" t="str" cm="1">
        <f t="array" ref="AA3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36" s="2" t="s">
        <v>36</v>
      </c>
      <c r="AC36" s="5"/>
      <c r="AD36" s="244" t="s">
        <v>59</v>
      </c>
    </row>
    <row r="37" spans="1:30" x14ac:dyDescent="0.25">
      <c r="A37" s="161" t="s">
        <v>60</v>
      </c>
      <c r="B37" s="162">
        <v>1</v>
      </c>
      <c r="C37" s="162" t="s">
        <v>32</v>
      </c>
      <c r="D37" s="161">
        <v>60</v>
      </c>
      <c r="E37" s="261">
        <v>60</v>
      </c>
      <c r="F37" s="261" t="s">
        <v>58</v>
      </c>
      <c r="G37" t="str">
        <f>"10 Yellow/10 Orange/10 White/10 Pink/10 Hot Pink/10 Red " &amp; _xlfn.XLOOKUP(Main[[#This Row],[FechaEntrega]], Guias[Fecha], Guias[Llegada])</f>
        <v>10 Yellow/10 Orange/10 White/10 Pink/10 Hot Pink/10 Red (M/T)</v>
      </c>
      <c r="H37" s="1" t="s">
        <v>841</v>
      </c>
      <c r="I37" s="259">
        <v>0.35</v>
      </c>
      <c r="J37" s="73">
        <f>_xlfn.LET(
  _xlpm.result, 1-((Main[[#This Row],[Cost]]+Main[[#This Row],[Duties]]+Main[[#This Row],[Transport]])/((Main[[#This Row],[Precio]]*0.96))),
  IF(_xlpm.result&lt;0, "BAJO", IF(_xlpm.result&gt;1, "ALTO", _xlpm.result))
)</f>
        <v>0.23401162790697672</v>
      </c>
      <c r="K37" s="135">
        <v>1.3870967741935483</v>
      </c>
      <c r="L37" s="33" t="str" cm="1">
        <f t="array" aca="1" ref="L3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37" s="156">
        <f>Guias!$B$2</f>
        <v>46295</v>
      </c>
      <c r="N37" s="234">
        <f>ROUNDUP((Main[[#This Row],[Cost]]*Main[[#This Row],[Import Duties]]),2)</f>
        <v>6.0000000000000005E-2</v>
      </c>
      <c r="O37">
        <v>0</v>
      </c>
      <c r="P37">
        <v>1</v>
      </c>
      <c r="Q37">
        <v>0</v>
      </c>
      <c r="R37" s="235">
        <f>ROUNDUP(Main[[#This Row],[Transport2]]/Main[[#This Row],[Cantidad_Min]],2)</f>
        <v>0.61</v>
      </c>
      <c r="S37">
        <f>_xlfn.XLOOKUP(Main[[#This Row],[Type of Box]], Cajas[Nombre], Cajas[Largo])</f>
        <v>105</v>
      </c>
      <c r="T37">
        <f>_xlfn.XLOOKUP(Main[[#This Row],[Type of Box]], Cajas[Nombre], Cajas[Ancho])</f>
        <v>17</v>
      </c>
      <c r="U37">
        <f>_xlfn.XLOOKUP(Main[[#This Row],[Type of Box]], Cajas[Nombre], Cajas[Alto])</f>
        <v>17</v>
      </c>
      <c r="V3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7">
        <f>ROUNDUP(((Main[[#This Row],[Volumen]]*5.25))*1.36,2)</f>
        <v>36.119999999999997</v>
      </c>
      <c r="X37" s="238">
        <v>0.15859999999999999</v>
      </c>
      <c r="Y37" s="260">
        <f>Main[[#This Row],[Cantidad_Min]]*Main[[#This Row],[Precio]]*Main[[#This Row],[Qty]]</f>
        <v>83.225806451612897</v>
      </c>
      <c r="Z37">
        <f>_xlfn.XLOOKUP(Main[[#This Row],[Finca]], Fincas[Nombre], Fincas[ID])</f>
        <v>40</v>
      </c>
      <c r="AA37" t="str" cm="1">
        <f t="array" ref="AA3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37" s="2" t="s">
        <v>36</v>
      </c>
      <c r="AC37" s="31"/>
      <c r="AD37" s="244" t="s">
        <v>61</v>
      </c>
    </row>
    <row r="38" spans="1:30" x14ac:dyDescent="0.25">
      <c r="A38" s="163" t="s">
        <v>34</v>
      </c>
      <c r="B38" s="164">
        <v>1</v>
      </c>
      <c r="C38" s="164" t="s">
        <v>32</v>
      </c>
      <c r="D38" s="163">
        <v>60</v>
      </c>
      <c r="E38" s="262">
        <v>60</v>
      </c>
      <c r="F38" s="262" t="s">
        <v>58</v>
      </c>
      <c r="G38" t="str">
        <f>"10 Yellow/10 Orange/10 White/10 Pink/10 Hot Pink/10 Red " &amp; _xlfn.XLOOKUP(Main[[#This Row],[FechaEntrega]], Guias[Fecha], Guias[Llegada])</f>
        <v>10 Yellow/10 Orange/10 White/10 Pink/10 Hot Pink/10 Red (M/T)</v>
      </c>
      <c r="H38" s="1" t="s">
        <v>842</v>
      </c>
      <c r="I38" s="259">
        <v>0.36</v>
      </c>
      <c r="J38" s="73">
        <f>_xlfn.LET(
  _xlpm.result, 1-((Main[[#This Row],[Cost]]+Main[[#This Row],[Duties]]+Main[[#This Row],[Transport]])/((Main[[#This Row],[Precio]]*0.96))),
  IF(_xlpm.result&lt;0, "BAJO", IF(_xlpm.result&gt;1, "ALTO", _xlpm.result))
)</f>
        <v>0.22811750599520375</v>
      </c>
      <c r="K38" s="135">
        <v>1.39</v>
      </c>
      <c r="L38" s="33" t="str" cm="1">
        <f t="array" aca="1" ref="L3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38" s="156">
        <f>Guias!$B$2</f>
        <v>46295</v>
      </c>
      <c r="N38" s="234">
        <f>ROUNDUP((Main[[#This Row],[Cost]]*Main[[#This Row],[Import Duties]]),2)</f>
        <v>6.0000000000000005E-2</v>
      </c>
      <c r="O38">
        <v>0</v>
      </c>
      <c r="P38">
        <v>1</v>
      </c>
      <c r="Q38">
        <v>0</v>
      </c>
      <c r="R38" s="235">
        <f>ROUNDUP(Main[[#This Row],[Transport2]]/Main[[#This Row],[Cantidad_Min]],2)</f>
        <v>0.61</v>
      </c>
      <c r="S38">
        <f>_xlfn.XLOOKUP(Main[[#This Row],[Type of Box]], Cajas[Nombre], Cajas[Largo])</f>
        <v>105</v>
      </c>
      <c r="T38">
        <f>_xlfn.XLOOKUP(Main[[#This Row],[Type of Box]], Cajas[Nombre], Cajas[Ancho])</f>
        <v>17</v>
      </c>
      <c r="U38">
        <f>_xlfn.XLOOKUP(Main[[#This Row],[Type of Box]], Cajas[Nombre], Cajas[Alto])</f>
        <v>17</v>
      </c>
      <c r="V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8">
        <f>ROUNDUP(((Main[[#This Row],[Volumen]]*5.25))*1.36,2)</f>
        <v>36.119999999999997</v>
      </c>
      <c r="X38" s="238">
        <v>0.15859999999999999</v>
      </c>
      <c r="Y38" s="260">
        <f>Main[[#This Row],[Cantidad_Min]]*Main[[#This Row],[Precio]]*Main[[#This Row],[Qty]]</f>
        <v>83.399999999999991</v>
      </c>
      <c r="Z38">
        <f>_xlfn.XLOOKUP(Main[[#This Row],[Finca]], Fincas[Nombre], Fincas[ID])</f>
        <v>72</v>
      </c>
      <c r="AA38" t="str" cm="1">
        <f t="array" ref="AA3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38" s="2" t="s">
        <v>36</v>
      </c>
      <c r="AC38" s="31"/>
      <c r="AD38" s="244" t="s">
        <v>62</v>
      </c>
    </row>
    <row r="39" spans="1:30" x14ac:dyDescent="0.25">
      <c r="A39" s="37" t="s">
        <v>34</v>
      </c>
      <c r="B39" s="157">
        <v>3</v>
      </c>
      <c r="C39" s="157" t="s">
        <v>32</v>
      </c>
      <c r="D39" s="37">
        <v>60</v>
      </c>
      <c r="E39">
        <v>60</v>
      </c>
      <c r="F39" t="s">
        <v>58</v>
      </c>
      <c r="G39" t="str">
        <f>"10 Yellow/10 Orange/10 White/10 Pink/10 Hot Pink/10 Red " &amp; _xlfn.XLOOKUP(Main[[#This Row],[FechaEntrega]], Guias[Fecha], Guias[Llegada])</f>
        <v>10 Yellow/10 Orange/10 White/10 Pink/10 Hot Pink/10 Red (T/W)</v>
      </c>
      <c r="H39" s="1" t="s">
        <v>843</v>
      </c>
      <c r="I39" s="259">
        <v>0.36</v>
      </c>
      <c r="J39" s="73">
        <f>_xlfn.LET(
  _xlpm.result, 1-((Main[[#This Row],[Cost]]+Main[[#This Row],[Duties]]+Main[[#This Row],[Transport]])/((Main[[#This Row],[Precio]]*0.96))),
  IF(_xlpm.result&lt;0, "BAJO", IF(_xlpm.result&gt;1, "ALTO", _xlpm.result))
)</f>
        <v>0.22650193798449603</v>
      </c>
      <c r="K39" s="135">
        <v>1.3870967741935483</v>
      </c>
      <c r="L39" s="33" t="str" cm="1">
        <f t="array" aca="1" ref="L3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39" s="156">
        <f>Guias!$B$3</f>
        <v>46296</v>
      </c>
      <c r="N39" s="234">
        <f>ROUNDUP((Main[[#This Row],[Cost]]*Main[[#This Row],[Import Duties]]),2)</f>
        <v>6.0000000000000005E-2</v>
      </c>
      <c r="O39">
        <v>0</v>
      </c>
      <c r="P39">
        <v>1</v>
      </c>
      <c r="Q39">
        <v>0</v>
      </c>
      <c r="R39" s="235">
        <f>ROUNDUP(Main[[#This Row],[Transport2]]/Main[[#This Row],[Cantidad_Min]],2)</f>
        <v>0.61</v>
      </c>
      <c r="S39">
        <f>_xlfn.XLOOKUP(Main[[#This Row],[Type of Box]], Cajas[Nombre], Cajas[Largo])</f>
        <v>105</v>
      </c>
      <c r="T39">
        <f>_xlfn.XLOOKUP(Main[[#This Row],[Type of Box]], Cajas[Nombre], Cajas[Ancho])</f>
        <v>17</v>
      </c>
      <c r="U39">
        <f>_xlfn.XLOOKUP(Main[[#This Row],[Type of Box]], Cajas[Nombre], Cajas[Alto])</f>
        <v>17</v>
      </c>
      <c r="V3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9">
        <f>ROUNDUP(((Main[[#This Row],[Volumen]]*5.25))*1.36,2)</f>
        <v>36.119999999999997</v>
      </c>
      <c r="X39" s="238">
        <v>0.15859999999999999</v>
      </c>
      <c r="Y39" s="260">
        <f>Main[[#This Row],[Cantidad_Min]]*Main[[#This Row],[Precio]]*Main[[#This Row],[Qty]]</f>
        <v>249.67741935483869</v>
      </c>
      <c r="Z39">
        <f>_xlfn.XLOOKUP(Main[[#This Row],[Finca]], Fincas[Nombre], Fincas[ID])</f>
        <v>72</v>
      </c>
      <c r="AA39" t="str" cm="1">
        <f t="array" ref="AA3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9" s="2" t="s">
        <v>36</v>
      </c>
      <c r="AC39" s="31"/>
      <c r="AD39" s="244"/>
    </row>
    <row r="40" spans="1:30" x14ac:dyDescent="0.25">
      <c r="A40" s="161" t="s">
        <v>34</v>
      </c>
      <c r="B40" s="162">
        <v>1</v>
      </c>
      <c r="C40" s="162" t="s">
        <v>33</v>
      </c>
      <c r="D40" s="161">
        <v>100</v>
      </c>
      <c r="E40" s="261">
        <v>100</v>
      </c>
      <c r="F40" s="261" t="s">
        <v>35</v>
      </c>
      <c r="G40" t="str">
        <f>"25 Explorer/25 Mondial/25 Deep Purple/25 Hot Pink " &amp; _xlfn.XLOOKUP(Main[[#This Row],[FechaEntrega]], Guias[Fecha], Guias[Llegada])</f>
        <v>25 Explorer/25 Mondial/25 Deep Purple/25 Hot Pink (M/T)</v>
      </c>
      <c r="H40" s="1" t="s">
        <v>844</v>
      </c>
      <c r="I40" s="259">
        <v>0.33</v>
      </c>
      <c r="J40" s="73">
        <f>_xlfn.LET(
  _xlpm.result, 1-((Main[[#This Row],[Cost]]+Main[[#This Row],[Duties]]+Main[[#This Row],[Transport]])/((Main[[#This Row],[Precio]]*0.96))),
  IF(_xlpm.result&lt;0, "BAJO", IF(_xlpm.result&gt;1, "ALTO", _xlpm.result))
)</f>
        <v>0.21754807692307665</v>
      </c>
      <c r="K40" s="135">
        <v>1.397849462365591</v>
      </c>
      <c r="L40" s="33" t="str" cm="1">
        <f t="array" aca="1" ref="L4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40" s="156">
        <f>Guias!$B$2</f>
        <v>46295</v>
      </c>
      <c r="N40" s="234">
        <f>ROUNDUP((Main[[#This Row],[Cost]]*Main[[#This Row],[Import Duties]]),2)</f>
        <v>6.0000000000000005E-2</v>
      </c>
      <c r="O40">
        <v>0</v>
      </c>
      <c r="P40">
        <v>1</v>
      </c>
      <c r="Q40">
        <v>0</v>
      </c>
      <c r="R40" s="235">
        <f>ROUNDUP(Main[[#This Row],[Transport2]]/Main[[#This Row],[Cantidad_Min]],2)</f>
        <v>0.66</v>
      </c>
      <c r="S40">
        <f>_xlfn.XLOOKUP(Main[[#This Row],[Type of Box]], Cajas[Nombre], Cajas[Largo])</f>
        <v>99</v>
      </c>
      <c r="T40">
        <f>_xlfn.XLOOKUP(Main[[#This Row],[Type of Box]], Cajas[Nombre], Cajas[Ancho])</f>
        <v>35</v>
      </c>
      <c r="U40">
        <f>_xlfn.XLOOKUP(Main[[#This Row],[Type of Box]], Cajas[Nombre], Cajas[Alto])</f>
        <v>16</v>
      </c>
      <c r="V4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0">
        <f>ROUNDUP(((Main[[#This Row],[Volumen]]*5.25))*1.36,2)</f>
        <v>65.98</v>
      </c>
      <c r="X40" s="238">
        <v>0.15859999999999999</v>
      </c>
      <c r="Y40" s="260">
        <f>Main[[#This Row],[Cantidad_Min]]*Main[[#This Row],[Precio]]*Main[[#This Row],[Qty]]</f>
        <v>139.78494623655911</v>
      </c>
      <c r="Z40">
        <f>_xlfn.XLOOKUP(Main[[#This Row],[Finca]], Fincas[Nombre], Fincas[ID])</f>
        <v>72</v>
      </c>
      <c r="AA40" t="str" cm="1">
        <f t="array" ref="AA4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40" s="2" t="s">
        <v>36</v>
      </c>
      <c r="AC40" s="5"/>
      <c r="AD40" s="244" t="s">
        <v>63</v>
      </c>
    </row>
    <row r="41" spans="1:30" x14ac:dyDescent="0.25">
      <c r="A41" s="161" t="s">
        <v>41</v>
      </c>
      <c r="B41" s="162">
        <v>1</v>
      </c>
      <c r="C41" s="162" t="s">
        <v>33</v>
      </c>
      <c r="D41" s="161">
        <v>1</v>
      </c>
      <c r="E41" s="261">
        <v>1</v>
      </c>
      <c r="F41" s="261" t="s">
        <v>64</v>
      </c>
      <c r="G41" t="str">
        <f>"75 Standard Roses/36 Garden Roses/20 Spray Roses x 131 " &amp; _xlfn.XLOOKUP(Main[[#This Row],[FechaEntrega]], Guias[Fecha], Guias[Llegada])</f>
        <v>75 Standard Roses/36 Garden Roses/20 Spray Roses x 131 (T/W)</v>
      </c>
      <c r="H41" s="1" t="s">
        <v>845</v>
      </c>
      <c r="I41" s="259">
        <v>61.283999999999999</v>
      </c>
      <c r="J41" s="73">
        <f>_xlfn.LET(
  _xlpm.result, 1-((Main[[#This Row],[Cost]]+Main[[#This Row],[Duties]]+Main[[#This Row],[Transport]])/((Main[[#This Row],[Precio]]*0.96))),
  IF(_xlpm.result&lt;0, "BAJO", IF(_xlpm.result&gt;1, "ALTO", _xlpm.result))
)</f>
        <v>0.27074105621805789</v>
      </c>
      <c r="K41" s="135">
        <v>195.66666666666669</v>
      </c>
      <c r="L41" s="33" t="str" cm="1">
        <f t="array" aca="1" ref="L4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41" s="156">
        <f>Guias!$B$3</f>
        <v>46296</v>
      </c>
      <c r="N41" s="234">
        <f>ROUNDUP((Main[[#This Row],[Cost]]*Main[[#This Row],[Import Duties]]),2)</f>
        <v>9.7200000000000006</v>
      </c>
      <c r="O41">
        <v>0</v>
      </c>
      <c r="P41">
        <v>1</v>
      </c>
      <c r="Q41">
        <v>0</v>
      </c>
      <c r="R41" s="235">
        <f>ROUNDUP(Main[[#This Row],[Transport2]]/Main[[#This Row],[Cantidad_Min]],2)</f>
        <v>65.98</v>
      </c>
      <c r="S41">
        <f>_xlfn.XLOOKUP(Main[[#This Row],[Type of Box]], Cajas[Nombre], Cajas[Largo])</f>
        <v>99</v>
      </c>
      <c r="T41">
        <f>_xlfn.XLOOKUP(Main[[#This Row],[Type of Box]], Cajas[Nombre], Cajas[Ancho])</f>
        <v>35</v>
      </c>
      <c r="U41">
        <f>_xlfn.XLOOKUP(Main[[#This Row],[Type of Box]], Cajas[Nombre], Cajas[Alto])</f>
        <v>16</v>
      </c>
      <c r="V4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1">
        <f>ROUNDUP(((Main[[#This Row],[Volumen]]*5.25))*1.36,2)</f>
        <v>65.98</v>
      </c>
      <c r="X41" s="238">
        <v>0.15859999999999999</v>
      </c>
      <c r="Y41" s="260">
        <f>Main[[#This Row],[Cantidad_Min]]*Main[[#This Row],[Precio]]*Main[[#This Row],[Qty]]</f>
        <v>195.66666666666669</v>
      </c>
      <c r="Z41">
        <f>_xlfn.XLOOKUP(Main[[#This Row],[Finca]], Fincas[Nombre], Fincas[ID])</f>
        <v>38</v>
      </c>
      <c r="AA41" t="str" cm="1">
        <f t="array" ref="AA4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41" s="2" t="s">
        <v>36</v>
      </c>
      <c r="AC41" s="278"/>
      <c r="AD41" s="245" t="s">
        <v>65</v>
      </c>
    </row>
    <row r="42" spans="1:30" x14ac:dyDescent="0.25">
      <c r="A42" s="161" t="s">
        <v>41</v>
      </c>
      <c r="B42" s="162">
        <v>1</v>
      </c>
      <c r="C42" s="162" t="s">
        <v>33</v>
      </c>
      <c r="D42" s="161">
        <v>1</v>
      </c>
      <c r="E42" s="261">
        <v>1</v>
      </c>
      <c r="F42" s="261" t="s">
        <v>64</v>
      </c>
      <c r="G42" t="str">
        <f>"75 Standard Roses/36 Garden Roses/20 Spray Roses x 131 " &amp; _xlfn.XLOOKUP(Main[[#This Row],[FechaEntrega]], Guias[Fecha], Guias[Llegada])</f>
        <v>75 Standard Roses/36 Garden Roses/20 Spray Roses x 131 (T/W)</v>
      </c>
      <c r="H42" s="1" t="s">
        <v>846</v>
      </c>
      <c r="I42" s="259">
        <v>61.283999999999999</v>
      </c>
      <c r="J42" s="73">
        <f>_xlfn.LET(
  _xlpm.result, 1-((Main[[#This Row],[Cost]]+Main[[#This Row],[Duties]]+Main[[#This Row],[Transport]])/((Main[[#This Row],[Precio]]*0.96))),
  IF(_xlpm.result&lt;0, "BAJO", IF(_xlpm.result&gt;1, "ALTO", _xlpm.result))
)</f>
        <v>0.24501763668430332</v>
      </c>
      <c r="K42" s="135">
        <v>189</v>
      </c>
      <c r="L42" s="33" t="str" cm="1">
        <f t="array" aca="1" ref="L4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42" s="156">
        <f>Guias!$B$3</f>
        <v>46296</v>
      </c>
      <c r="N42" s="234">
        <f>ROUNDUP((Main[[#This Row],[Cost]]*Main[[#This Row],[Import Duties]]),2)</f>
        <v>9.7200000000000006</v>
      </c>
      <c r="O42">
        <v>0</v>
      </c>
      <c r="P42">
        <v>1</v>
      </c>
      <c r="Q42">
        <v>0</v>
      </c>
      <c r="R42" s="235">
        <f>ROUNDUP(Main[[#This Row],[Transport2]]/Main[[#This Row],[Cantidad_Min]],2)</f>
        <v>65.98</v>
      </c>
      <c r="S42">
        <f>_xlfn.XLOOKUP(Main[[#This Row],[Type of Box]], Cajas[Nombre], Cajas[Largo])</f>
        <v>99</v>
      </c>
      <c r="T42">
        <f>_xlfn.XLOOKUP(Main[[#This Row],[Type of Box]], Cajas[Nombre], Cajas[Ancho])</f>
        <v>35</v>
      </c>
      <c r="U42">
        <f>_xlfn.XLOOKUP(Main[[#This Row],[Type of Box]], Cajas[Nombre], Cajas[Alto])</f>
        <v>16</v>
      </c>
      <c r="V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2">
        <f>ROUNDUP(((Main[[#This Row],[Volumen]]*5.25))*1.36,2)</f>
        <v>65.98</v>
      </c>
      <c r="X42" s="238">
        <v>0.15859999999999999</v>
      </c>
      <c r="Y42" s="260">
        <f>Main[[#This Row],[Cantidad_Min]]*Main[[#This Row],[Precio]]*Main[[#This Row],[Qty]]</f>
        <v>189</v>
      </c>
      <c r="Z42">
        <f>_xlfn.XLOOKUP(Main[[#This Row],[Finca]], Fincas[Nombre], Fincas[ID])</f>
        <v>38</v>
      </c>
      <c r="AA42" t="str" cm="1">
        <f t="array" ref="AA4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42" s="2" t="s">
        <v>36</v>
      </c>
      <c r="AC42" s="278"/>
      <c r="AD42" s="245" t="s">
        <v>660</v>
      </c>
    </row>
    <row r="43" spans="1:30" x14ac:dyDescent="0.25">
      <c r="A43" s="161" t="s">
        <v>41</v>
      </c>
      <c r="B43" s="162">
        <v>1</v>
      </c>
      <c r="C43" s="162" t="s">
        <v>43</v>
      </c>
      <c r="D43" s="161">
        <v>200</v>
      </c>
      <c r="E43" s="261">
        <v>200</v>
      </c>
      <c r="F43" s="261" t="s">
        <v>38</v>
      </c>
      <c r="G43" t="str">
        <f>"50 Orange/50 Brighton/50 Jacaranda/50 Jetset " &amp; _xlfn.XLOOKUP(Main[[#This Row],[FechaEntrega]], Guias[Fecha], Guias[Llegada])</f>
        <v>50 Orange/50 Brighton/50 Jacaranda/50 Jetset (M/T)</v>
      </c>
      <c r="H43" s="1" t="s">
        <v>847</v>
      </c>
      <c r="I43" s="259">
        <v>0.434</v>
      </c>
      <c r="J43" s="73">
        <f>_xlfn.LET(
  _xlpm.result, 1-((Main[[#This Row],[Cost]]+Main[[#This Row],[Duties]]+Main[[#This Row],[Transport]])/((Main[[#This Row],[Precio]]*0.96))),
  IF(_xlpm.result&lt;0, "BAJO", IF(_xlpm.result&gt;1, "ALTO", _xlpm.result))
)</f>
        <v>7.3304263565891481E-2</v>
      </c>
      <c r="K43" s="135">
        <v>1.3870967741935483</v>
      </c>
      <c r="L43" s="33" t="str" cm="1">
        <f t="array" aca="1" ref="L4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43" s="156">
        <f>Guias!$B$2</f>
        <v>46295</v>
      </c>
      <c r="N43" s="234">
        <f>ROUNDUP((Main[[#This Row],[Cost]]*Main[[#This Row],[Import Duties]]),2)</f>
        <v>6.9999999999999993E-2</v>
      </c>
      <c r="O43">
        <v>0</v>
      </c>
      <c r="P43">
        <v>1</v>
      </c>
      <c r="Q43">
        <v>0</v>
      </c>
      <c r="R43" s="235">
        <f>ROUNDUP(Main[[#This Row],[Transport2]]/Main[[#This Row],[Cantidad_Min]],2)</f>
        <v>0.73</v>
      </c>
      <c r="S43">
        <f>_xlfn.XLOOKUP(Main[[#This Row],[Type of Box]], Cajas[Nombre], Cajas[Largo])</f>
        <v>105</v>
      </c>
      <c r="T43">
        <f>_xlfn.XLOOKUP(Main[[#This Row],[Type of Box]], Cajas[Nombre], Cajas[Ancho])</f>
        <v>35</v>
      </c>
      <c r="U43">
        <f>_xlfn.XLOOKUP(Main[[#This Row],[Type of Box]], Cajas[Nombre], Cajas[Alto])</f>
        <v>33</v>
      </c>
      <c r="V4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3">
        <f>ROUNDUP(((Main[[#This Row],[Volumen]]*5.25))*1.36,2)</f>
        <v>144.32</v>
      </c>
      <c r="X43" s="238">
        <v>0.15859999999999999</v>
      </c>
      <c r="Y43" s="260">
        <f>Main[[#This Row],[Cantidad_Min]]*Main[[#This Row],[Precio]]*Main[[#This Row],[Qty]]</f>
        <v>277.41935483870964</v>
      </c>
      <c r="Z43">
        <f>_xlfn.XLOOKUP(Main[[#This Row],[Finca]], Fincas[Nombre], Fincas[ID])</f>
        <v>38</v>
      </c>
      <c r="AA43" t="str" cm="1">
        <f t="array" ref="AA4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3" s="2" t="s">
        <v>36</v>
      </c>
      <c r="AC43" s="5"/>
      <c r="AD43" s="244" t="s">
        <v>44</v>
      </c>
    </row>
    <row r="44" spans="1:30" x14ac:dyDescent="0.25">
      <c r="A44" s="161" t="s">
        <v>41</v>
      </c>
      <c r="B44" s="162">
        <v>1</v>
      </c>
      <c r="C44" s="162" t="s">
        <v>33</v>
      </c>
      <c r="D44" s="161">
        <v>100</v>
      </c>
      <c r="E44" s="261">
        <v>100</v>
      </c>
      <c r="F44" s="261" t="s">
        <v>38</v>
      </c>
      <c r="G44" t="str">
        <f>"50 Vendela/50 Free Spirit  " &amp; _xlfn.XLOOKUP(Main[[#This Row],[FechaEntrega]], Guias[Fecha], Guias[Llegada])</f>
        <v>50 Vendela/50 Free Spirit  (M/T)</v>
      </c>
      <c r="H44" s="1" t="s">
        <v>848</v>
      </c>
      <c r="I44" s="259">
        <v>0.40400000000000003</v>
      </c>
      <c r="J44" s="73">
        <f>_xlfn.LET(
  _xlpm.result, 1-((Main[[#This Row],[Cost]]+Main[[#This Row],[Duties]]+Main[[#This Row],[Transport]])/((Main[[#This Row],[Precio]]*0.96))),
  IF(_xlpm.result&lt;0, "BAJO", IF(_xlpm.result&gt;1, "ALTO", _xlpm.result))
)</f>
        <v>0.20394021739130419</v>
      </c>
      <c r="K44" s="135">
        <v>1.4838709677419353</v>
      </c>
      <c r="L44" s="33" t="str" cm="1">
        <f t="array" aca="1" ref="L4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44" s="156">
        <f>Guias!$B$2</f>
        <v>46295</v>
      </c>
      <c r="N44" s="234">
        <f>ROUNDUP((Main[[#This Row],[Cost]]*Main[[#This Row],[Import Duties]]),2)</f>
        <v>6.9999999999999993E-2</v>
      </c>
      <c r="O44">
        <v>0</v>
      </c>
      <c r="P44">
        <v>1</v>
      </c>
      <c r="Q44">
        <v>0</v>
      </c>
      <c r="R44" s="235">
        <f>ROUNDUP(Main[[#This Row],[Transport2]]/Main[[#This Row],[Cantidad_Min]],2)</f>
        <v>0.66</v>
      </c>
      <c r="S44">
        <f>_xlfn.XLOOKUP(Main[[#This Row],[Type of Box]], Cajas[Nombre], Cajas[Largo])</f>
        <v>99</v>
      </c>
      <c r="T44">
        <f>_xlfn.XLOOKUP(Main[[#This Row],[Type of Box]], Cajas[Nombre], Cajas[Ancho])</f>
        <v>35</v>
      </c>
      <c r="U44">
        <f>_xlfn.XLOOKUP(Main[[#This Row],[Type of Box]], Cajas[Nombre], Cajas[Alto])</f>
        <v>16</v>
      </c>
      <c r="V4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4">
        <f>ROUNDUP(((Main[[#This Row],[Volumen]]*5.25))*1.36,2)</f>
        <v>65.98</v>
      </c>
      <c r="X44" s="238">
        <v>0.15859999999999999</v>
      </c>
      <c r="Y44" s="260">
        <f>Main[[#This Row],[Cantidad_Min]]*Main[[#This Row],[Precio]]*Main[[#This Row],[Qty]]</f>
        <v>148.38709677419354</v>
      </c>
      <c r="Z44">
        <f>_xlfn.XLOOKUP(Main[[#This Row],[Finca]], Fincas[Nombre], Fincas[ID])</f>
        <v>38</v>
      </c>
      <c r="AA44" t="str" cm="1">
        <f t="array" ref="AA4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4" s="2" t="s">
        <v>36</v>
      </c>
      <c r="AC44" s="5"/>
      <c r="AD44" s="244" t="s">
        <v>44</v>
      </c>
    </row>
    <row r="45" spans="1:30" x14ac:dyDescent="0.25">
      <c r="A45" s="161" t="s">
        <v>41</v>
      </c>
      <c r="B45" s="162">
        <v>1</v>
      </c>
      <c r="C45" s="162" t="s">
        <v>33</v>
      </c>
      <c r="D45" s="161">
        <v>100</v>
      </c>
      <c r="E45" s="261">
        <v>100</v>
      </c>
      <c r="F45" s="261" t="s">
        <v>35</v>
      </c>
      <c r="G45" t="str">
        <f>"Hearts/Cold Brew/Aloha/Faith " &amp; _xlfn.XLOOKUP(Main[[#This Row],[FechaEntrega]], Guias[Fecha], Guias[Llegada])</f>
        <v>Hearts/Cold Brew/Aloha/Faith (M/T)</v>
      </c>
      <c r="H45" s="1" t="s">
        <v>849</v>
      </c>
      <c r="I45" s="259">
        <v>0.36</v>
      </c>
      <c r="J45" s="73">
        <f>_xlfn.LET(
  _xlpm.result, 1-((Main[[#This Row],[Cost]]+Main[[#This Row],[Duties]]+Main[[#This Row],[Transport]])/((Main[[#This Row],[Precio]]*0.96))),
  IF(_xlpm.result&lt;0, "BAJO", IF(_xlpm.result&gt;1, "ALTO", _xlpm.result))
)</f>
        <v>0.22413793103448265</v>
      </c>
      <c r="K45" s="135">
        <v>1.45</v>
      </c>
      <c r="L45" s="33" t="str" cm="1">
        <f t="array" aca="1" ref="L4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45" s="156">
        <f>Guias!$B$2</f>
        <v>46295</v>
      </c>
      <c r="N45" s="234">
        <f>ROUNDUP((Main[[#This Row],[Cost]]*Main[[#This Row],[Import Duties]]),2)</f>
        <v>6.0000000000000005E-2</v>
      </c>
      <c r="O45">
        <v>0</v>
      </c>
      <c r="P45">
        <v>1</v>
      </c>
      <c r="Q45">
        <v>0</v>
      </c>
      <c r="R45" s="235">
        <f>ROUNDUP(Main[[#This Row],[Transport2]]/Main[[#This Row],[Cantidad_Min]],2)</f>
        <v>0.66</v>
      </c>
      <c r="S45">
        <f>_xlfn.XLOOKUP(Main[[#This Row],[Type of Box]], Cajas[Nombre], Cajas[Largo])</f>
        <v>99</v>
      </c>
      <c r="T45">
        <f>_xlfn.XLOOKUP(Main[[#This Row],[Type of Box]], Cajas[Nombre], Cajas[Ancho])</f>
        <v>35</v>
      </c>
      <c r="U45">
        <f>_xlfn.XLOOKUP(Main[[#This Row],[Type of Box]], Cajas[Nombre], Cajas[Alto])</f>
        <v>16</v>
      </c>
      <c r="V4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5">
        <f>ROUNDUP(((Main[[#This Row],[Volumen]]*5.25))*1.36,2)</f>
        <v>65.98</v>
      </c>
      <c r="X45" s="238">
        <v>0.15859999999999999</v>
      </c>
      <c r="Y45" s="260">
        <f>Main[[#This Row],[Cantidad_Min]]*Main[[#This Row],[Precio]]*Main[[#This Row],[Qty]]</f>
        <v>145</v>
      </c>
      <c r="Z45">
        <f>_xlfn.XLOOKUP(Main[[#This Row],[Finca]], Fincas[Nombre], Fincas[ID])</f>
        <v>38</v>
      </c>
      <c r="AA45" t="str" cm="1">
        <f t="array" ref="AA4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45" s="2" t="s">
        <v>36</v>
      </c>
      <c r="AC45" s="5" t="s">
        <v>212</v>
      </c>
      <c r="AD45" s="244" t="s">
        <v>213</v>
      </c>
    </row>
    <row r="46" spans="1:30" x14ac:dyDescent="0.25">
      <c r="A46" s="161" t="s">
        <v>39</v>
      </c>
      <c r="B46" s="162">
        <v>1</v>
      </c>
      <c r="C46" s="162" t="s">
        <v>43</v>
      </c>
      <c r="D46" s="161">
        <v>250</v>
      </c>
      <c r="E46" s="261">
        <v>250</v>
      </c>
      <c r="F46" s="261" t="s">
        <v>35</v>
      </c>
      <c r="G46" t="str">
        <f>"25 Fredm/25 Vndla/25 Swet Mem/25 Ful Mty/25 Cabar/25 Bright/25 Shimr/25 Orage Onl " &amp; _xlfn.XLOOKUP(Main[[#This Row],[FechaEntrega]], Guias[Fecha], Guias[Llegada])</f>
        <v>25 Fredm/25 Vndla/25 Swet Mem/25 Ful Mty/25 Cabar/25 Bright/25 Shimr/25 Orage Onl (M/T)</v>
      </c>
      <c r="H46" s="1" t="s">
        <v>850</v>
      </c>
      <c r="I46" s="259">
        <v>0.37</v>
      </c>
      <c r="J46" s="73">
        <f>_xlfn.LET(
  _xlpm.result, 1-((Main[[#This Row],[Cost]]+Main[[#This Row],[Duties]]+Main[[#This Row],[Transport]])/((Main[[#This Row],[Precio]]*0.96))),
  IF(_xlpm.result&lt;0, "BAJO", IF(_xlpm.result&gt;1, "ALTO", _xlpm.result))
)</f>
        <v>0.21093749999999989</v>
      </c>
      <c r="K46" s="135">
        <v>1.3333333333333333</v>
      </c>
      <c r="L46" s="33" t="str" cm="1">
        <f t="array" aca="1" ref="L4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46" s="156">
        <f>Guias!$B$2</f>
        <v>46295</v>
      </c>
      <c r="N46" s="234">
        <f>ROUNDUP((Main[[#This Row],[Cost]]*Main[[#This Row],[Import Duties]]),2)</f>
        <v>6.0000000000000005E-2</v>
      </c>
      <c r="O46">
        <v>0</v>
      </c>
      <c r="P46">
        <v>1</v>
      </c>
      <c r="Q46">
        <v>0</v>
      </c>
      <c r="R46" s="235">
        <f>ROUNDUP(Main[[#This Row],[Transport2]]/Main[[#This Row],[Cantidad_Min]],2)</f>
        <v>0.57999999999999996</v>
      </c>
      <c r="S46">
        <f>_xlfn.XLOOKUP(Main[[#This Row],[Type of Box]], Cajas[Nombre], Cajas[Largo])</f>
        <v>105</v>
      </c>
      <c r="T46">
        <f>_xlfn.XLOOKUP(Main[[#This Row],[Type of Box]], Cajas[Nombre], Cajas[Ancho])</f>
        <v>35</v>
      </c>
      <c r="U46">
        <f>_xlfn.XLOOKUP(Main[[#This Row],[Type of Box]], Cajas[Nombre], Cajas[Alto])</f>
        <v>33</v>
      </c>
      <c r="V4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6">
        <f>ROUNDUP(((Main[[#This Row],[Volumen]]*5.25))*1.36,2)</f>
        <v>144.32</v>
      </c>
      <c r="X46" s="238">
        <v>0.15859999999999999</v>
      </c>
      <c r="Y46" s="260">
        <f>Main[[#This Row],[Cantidad_Min]]*Main[[#This Row],[Precio]]*Main[[#This Row],[Qty]]</f>
        <v>333.33333333333331</v>
      </c>
      <c r="Z46">
        <f>_xlfn.XLOOKUP(Main[[#This Row],[Finca]], Fincas[Nombre], Fincas[ID])</f>
        <v>76</v>
      </c>
      <c r="AA46" t="str" cm="1">
        <f t="array" ref="AA4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6" s="2" t="s">
        <v>36</v>
      </c>
      <c r="AC46" s="5"/>
      <c r="AD46" s="244" t="s">
        <v>66</v>
      </c>
    </row>
    <row r="47" spans="1:30" x14ac:dyDescent="0.25">
      <c r="A47" s="161" t="s">
        <v>39</v>
      </c>
      <c r="B47" s="162">
        <v>1</v>
      </c>
      <c r="C47" s="162" t="s">
        <v>43</v>
      </c>
      <c r="D47" s="161">
        <v>250</v>
      </c>
      <c r="E47" s="261">
        <v>250</v>
      </c>
      <c r="F47" s="261" t="s">
        <v>35</v>
      </c>
      <c r="G47" t="str">
        <f>"50 Red/50 White/25 Hot Pink/25 Light Pink/25 Purple/25 Yellow/25 Orange/25 Peach " &amp; _xlfn.XLOOKUP(Main[[#This Row],[FechaEntrega]], Guias[Fecha], Guias[Llegada])</f>
        <v>50 Red/50 White/25 Hot Pink/25 Light Pink/25 Purple/25 Yellow/25 Orange/25 Peach (T/W)</v>
      </c>
      <c r="H47" s="1" t="s">
        <v>851</v>
      </c>
      <c r="I47" s="259">
        <v>0.37</v>
      </c>
      <c r="J47" s="73">
        <f>_xlfn.LET(
  _xlpm.result, 1-((Main[[#This Row],[Cost]]+Main[[#This Row],[Duties]]+Main[[#This Row],[Transport]])/((Main[[#This Row],[Precio]]*0.96))),
  IF(_xlpm.result&lt;0, "BAJO", IF(_xlpm.result&gt;1, "ALTO", _xlpm.result))
)</f>
        <v>0.11852477477477452</v>
      </c>
      <c r="K47" s="135">
        <v>1.193548387096774</v>
      </c>
      <c r="L47" s="33" t="str" cm="1">
        <f t="array" aca="1" ref="L4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47" s="156">
        <f>Guias!$B$3</f>
        <v>46296</v>
      </c>
      <c r="N47" s="234">
        <f>ROUNDUP((Main[[#This Row],[Cost]]*Main[[#This Row],[Import Duties]]),2)</f>
        <v>6.0000000000000005E-2</v>
      </c>
      <c r="O47">
        <v>0</v>
      </c>
      <c r="P47">
        <v>1</v>
      </c>
      <c r="Q47">
        <v>0</v>
      </c>
      <c r="R47" s="235">
        <f>ROUNDUP(Main[[#This Row],[Transport2]]/Main[[#This Row],[Cantidad_Min]],2)</f>
        <v>0.57999999999999996</v>
      </c>
      <c r="S47">
        <f>_xlfn.XLOOKUP(Main[[#This Row],[Type of Box]], Cajas[Nombre], Cajas[Largo])</f>
        <v>105</v>
      </c>
      <c r="T47">
        <f>_xlfn.XLOOKUP(Main[[#This Row],[Type of Box]], Cajas[Nombre], Cajas[Ancho])</f>
        <v>35</v>
      </c>
      <c r="U47">
        <f>_xlfn.XLOOKUP(Main[[#This Row],[Type of Box]], Cajas[Nombre], Cajas[Alto])</f>
        <v>33</v>
      </c>
      <c r="V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7">
        <f>ROUNDUP(((Main[[#This Row],[Volumen]]*5.25))*1.36,2)</f>
        <v>144.32</v>
      </c>
      <c r="X47" s="238">
        <v>0.15859999999999999</v>
      </c>
      <c r="Y47" s="260">
        <f>Main[[#This Row],[Cantidad_Min]]*Main[[#This Row],[Precio]]*Main[[#This Row],[Qty]]</f>
        <v>298.38709677419348</v>
      </c>
      <c r="Z47">
        <f>_xlfn.XLOOKUP(Main[[#This Row],[Finca]], Fincas[Nombre], Fincas[ID])</f>
        <v>76</v>
      </c>
      <c r="AA47" t="str" cm="1">
        <f t="array" ref="AA4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7" s="2" t="s">
        <v>36</v>
      </c>
      <c r="AC47" s="5"/>
      <c r="AD47" s="244" t="s">
        <v>45</v>
      </c>
    </row>
    <row r="48" spans="1:30" x14ac:dyDescent="0.25">
      <c r="A48" s="161" t="s">
        <v>67</v>
      </c>
      <c r="B48" s="162">
        <v>1</v>
      </c>
      <c r="C48" s="162" t="s">
        <v>33</v>
      </c>
      <c r="D48" s="161">
        <v>100</v>
      </c>
      <c r="E48" s="261">
        <v>100</v>
      </c>
      <c r="F48" s="261" t="s">
        <v>35</v>
      </c>
      <c r="G48" t="str">
        <f>"50 Miss Piggy/25 Yellow/25 Purple " &amp; _xlfn.XLOOKUP(Main[[#This Row],[FechaEntrega]], Guias[Fecha], Guias[Llegada])</f>
        <v>50 Miss Piggy/25 Yellow/25 Purple (T/W)</v>
      </c>
      <c r="H48" s="1" t="s">
        <v>852</v>
      </c>
      <c r="I48" s="259">
        <v>0.35</v>
      </c>
      <c r="J48" s="73">
        <f>_xlfn.LET(
  _xlpm.result, 1-((Main[[#This Row],[Cost]]+Main[[#This Row],[Duties]]+Main[[#This Row],[Transport]])/((Main[[#This Row],[Precio]]*0.96))),
  IF(_xlpm.result&lt;0, "BAJO", IF(_xlpm.result&gt;1, "ALTO", _xlpm.result))
)</f>
        <v>0.28016493055555547</v>
      </c>
      <c r="K48" s="135">
        <v>1.5483870967741935</v>
      </c>
      <c r="L48" s="33" t="str" cm="1">
        <f t="array" aca="1" ref="L4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48" s="156">
        <f>Guias!$B$3</f>
        <v>46296</v>
      </c>
      <c r="N48" s="234">
        <f>ROUNDUP((Main[[#This Row],[Cost]]*Main[[#This Row],[Import Duties]]),2)</f>
        <v>6.0000000000000005E-2</v>
      </c>
      <c r="O48">
        <v>0</v>
      </c>
      <c r="P48">
        <v>1</v>
      </c>
      <c r="Q48">
        <v>0</v>
      </c>
      <c r="R48" s="235">
        <f>ROUNDUP(Main[[#This Row],[Transport2]]/Main[[#This Row],[Cantidad_Min]],2)</f>
        <v>0.66</v>
      </c>
      <c r="S48">
        <f>_xlfn.XLOOKUP(Main[[#This Row],[Type of Box]], Cajas[Nombre], Cajas[Largo])</f>
        <v>99</v>
      </c>
      <c r="T48">
        <f>_xlfn.XLOOKUP(Main[[#This Row],[Type of Box]], Cajas[Nombre], Cajas[Ancho])</f>
        <v>35</v>
      </c>
      <c r="U48">
        <f>_xlfn.XLOOKUP(Main[[#This Row],[Type of Box]], Cajas[Nombre], Cajas[Alto])</f>
        <v>16</v>
      </c>
      <c r="V4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8">
        <f>ROUNDUP(((Main[[#This Row],[Volumen]]*5.25))*1.36,2)</f>
        <v>65.98</v>
      </c>
      <c r="X48" s="238">
        <v>0.15859999999999999</v>
      </c>
      <c r="Y48" s="260">
        <f>Main[[#This Row],[Cantidad_Min]]*Main[[#This Row],[Precio]]*Main[[#This Row],[Qty]]</f>
        <v>154.83870967741936</v>
      </c>
      <c r="Z48">
        <f>_xlfn.XLOOKUP(Main[[#This Row],[Finca]], Fincas[Nombre], Fincas[ID])</f>
        <v>23</v>
      </c>
      <c r="AA48" t="str" cm="1">
        <f t="array" ref="AA4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8" s="2" t="s">
        <v>36</v>
      </c>
      <c r="AC48" s="278"/>
      <c r="AD48" s="245" t="s">
        <v>68</v>
      </c>
    </row>
    <row r="49" spans="1:30" x14ac:dyDescent="0.25">
      <c r="A49" s="161" t="s">
        <v>34</v>
      </c>
      <c r="B49" s="162">
        <v>1</v>
      </c>
      <c r="C49" s="162" t="s">
        <v>33</v>
      </c>
      <c r="D49" s="161">
        <v>125</v>
      </c>
      <c r="E49" s="261">
        <v>125</v>
      </c>
      <c r="F49" s="261" t="s">
        <v>69</v>
      </c>
      <c r="G49" t="str">
        <f>"Free Spirit/Think Pink/Explorer/Hot Explorer/White " &amp; _xlfn.XLOOKUP(Main[[#This Row],[FechaEntrega]], Guias[Fecha], Guias[Llegada])</f>
        <v>Free Spirit/Think Pink/Explorer/Hot Explorer/White (W/T)</v>
      </c>
      <c r="H49" s="1" t="s">
        <v>853</v>
      </c>
      <c r="I49" s="259">
        <v>0.46</v>
      </c>
      <c r="J49" s="73">
        <f>_xlfn.LET(
  _xlpm.result, 1-((Main[[#This Row],[Cost]]+Main[[#This Row],[Duties]]+Main[[#This Row],[Transport]])/((Main[[#This Row],[Precio]]*0.96))),
  IF(_xlpm.result&lt;0, "BAJO", IF(_xlpm.result&gt;1, "ALTO", _xlpm.result))
)</f>
        <v>0.22644589552238803</v>
      </c>
      <c r="K49" s="135">
        <v>1.4408602150537635</v>
      </c>
      <c r="L49" s="33" cm="1">
        <f t="array" aca="1" ref="L4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49" s="156">
        <f>Guias!$B$4</f>
        <v>46297</v>
      </c>
      <c r="N49" s="234">
        <f>ROUNDUP((Main[[#This Row],[Cost]]*Main[[#This Row],[Import Duties]]),2)</f>
        <v>0.08</v>
      </c>
      <c r="O49">
        <v>0</v>
      </c>
      <c r="P49">
        <v>1</v>
      </c>
      <c r="Q49">
        <v>0</v>
      </c>
      <c r="R49" s="235">
        <f>ROUNDUP(Main[[#This Row],[Transport2]]/Main[[#This Row],[Cantidad_Min]],2)</f>
        <v>0.53</v>
      </c>
      <c r="S49">
        <f>_xlfn.XLOOKUP(Main[[#This Row],[Type of Box]], Cajas[Nombre], Cajas[Largo])</f>
        <v>99</v>
      </c>
      <c r="T49">
        <f>_xlfn.XLOOKUP(Main[[#This Row],[Type of Box]], Cajas[Nombre], Cajas[Ancho])</f>
        <v>35</v>
      </c>
      <c r="U49">
        <f>_xlfn.XLOOKUP(Main[[#This Row],[Type of Box]], Cajas[Nombre], Cajas[Alto])</f>
        <v>16</v>
      </c>
      <c r="V4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9">
        <f>ROUNDUP(((Main[[#This Row],[Volumen]]*5.25))*1.36,2)</f>
        <v>65.98</v>
      </c>
      <c r="X49" s="238">
        <v>0.15859999999999999</v>
      </c>
      <c r="Y49" s="260">
        <f>Main[[#This Row],[Cantidad_Min]]*Main[[#This Row],[Precio]]*Main[[#This Row],[Qty]]</f>
        <v>180.10752688172045</v>
      </c>
      <c r="Z49">
        <f>_xlfn.XLOOKUP(Main[[#This Row],[Finca]], Fincas[Nombre], Fincas[ID])</f>
        <v>72</v>
      </c>
      <c r="AA49" t="str" cm="1">
        <f t="array" ref="AA4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49" s="2" t="s">
        <v>36</v>
      </c>
      <c r="AC49" s="5" t="s">
        <v>70</v>
      </c>
      <c r="AD49" s="244" t="s">
        <v>71</v>
      </c>
    </row>
    <row r="50" spans="1:30" x14ac:dyDescent="0.25">
      <c r="A50" s="161" t="s">
        <v>39</v>
      </c>
      <c r="B50" s="162">
        <v>1</v>
      </c>
      <c r="C50" s="162" t="s">
        <v>33</v>
      </c>
      <c r="D50" s="161">
        <v>125</v>
      </c>
      <c r="E50" s="261">
        <v>125</v>
      </c>
      <c r="F50" s="261" t="s">
        <v>38</v>
      </c>
      <c r="G50" t="str">
        <f>"50 Freedom/25 Tibet/25 Pink Floyd/25 Jessica " &amp; _xlfn.XLOOKUP(Main[[#This Row],[FechaEntrega]], Guias[Fecha], Guias[Llegada])</f>
        <v>50 Freedom/25 Tibet/25 Pink Floyd/25 Jessica (M/T)</v>
      </c>
      <c r="H50" s="1" t="s">
        <v>854</v>
      </c>
      <c r="I50" s="259">
        <v>0.38</v>
      </c>
      <c r="J50" s="73">
        <f>_xlfn.LET(
  _xlpm.result, 1-((Main[[#This Row],[Cost]]+Main[[#This Row],[Duties]]+Main[[#This Row],[Transport]])/((Main[[#This Row],[Precio]]*0.96))),
  IF(_xlpm.result&lt;0, "BAJO", IF(_xlpm.result&gt;1, "ALTO", _xlpm.result))
)</f>
        <v>0.31699640287769781</v>
      </c>
      <c r="K50" s="135">
        <v>1.4946236559139785</v>
      </c>
      <c r="L50" s="33" t="str" cm="1">
        <f t="array" aca="1" ref="L5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50" s="156">
        <f>Guias!$B$2</f>
        <v>46295</v>
      </c>
      <c r="N50" s="234">
        <f>ROUNDUP((Main[[#This Row],[Cost]]*Main[[#This Row],[Import Duties]]),2)</f>
        <v>6.9999999999999993E-2</v>
      </c>
      <c r="O50">
        <v>0</v>
      </c>
      <c r="P50">
        <v>1</v>
      </c>
      <c r="Q50">
        <v>0</v>
      </c>
      <c r="R50" s="235">
        <f>ROUNDUP(Main[[#This Row],[Transport2]]/Main[[#This Row],[Cantidad_Min]],2)</f>
        <v>0.53</v>
      </c>
      <c r="S50">
        <f>_xlfn.XLOOKUP(Main[[#This Row],[Type of Box]], Cajas[Nombre], Cajas[Largo])</f>
        <v>99</v>
      </c>
      <c r="T50">
        <f>_xlfn.XLOOKUP(Main[[#This Row],[Type of Box]], Cajas[Nombre], Cajas[Ancho])</f>
        <v>35</v>
      </c>
      <c r="U50">
        <f>_xlfn.XLOOKUP(Main[[#This Row],[Type of Box]], Cajas[Nombre], Cajas[Alto])</f>
        <v>16</v>
      </c>
      <c r="V5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0">
        <f>ROUNDUP(((Main[[#This Row],[Volumen]]*5.25))*1.36,2)</f>
        <v>65.98</v>
      </c>
      <c r="X50" s="238">
        <v>0.15859999999999999</v>
      </c>
      <c r="Y50" s="260">
        <f>Main[[#This Row],[Cantidad_Min]]*Main[[#This Row],[Precio]]*Main[[#This Row],[Qty]]</f>
        <v>186.82795698924733</v>
      </c>
      <c r="Z50">
        <f>_xlfn.XLOOKUP(Main[[#This Row],[Finca]], Fincas[Nombre], Fincas[ID])</f>
        <v>76</v>
      </c>
      <c r="AA50" t="str" cm="1">
        <f t="array" ref="AA5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50" s="2" t="s">
        <v>36</v>
      </c>
      <c r="AC50" s="5"/>
      <c r="AD50" s="244" t="s">
        <v>72</v>
      </c>
    </row>
    <row r="51" spans="1:30" x14ac:dyDescent="0.25">
      <c r="A51" s="161" t="s">
        <v>34</v>
      </c>
      <c r="B51" s="162">
        <v>1</v>
      </c>
      <c r="C51" s="162" t="s">
        <v>33</v>
      </c>
      <c r="D51" s="161">
        <v>96</v>
      </c>
      <c r="E51" s="261">
        <v>96</v>
      </c>
      <c r="F51" s="261" t="s">
        <v>73</v>
      </c>
      <c r="G51" t="str">
        <f>"Roses/Garden Roses/Garden Spray " &amp; _xlfn.XLOOKUP(Main[[#This Row],[FechaEntrega]], Guias[Fecha], Guias[Llegada])</f>
        <v>Roses/Garden Roses/Garden Spray (M/T)</v>
      </c>
      <c r="H51" s="1" t="s">
        <v>855</v>
      </c>
      <c r="I51" s="259">
        <v>0.46</v>
      </c>
      <c r="J51" s="73">
        <f>_xlfn.LET(
  _xlpm.result, 1-((Main[[#This Row],[Cost]]+Main[[#This Row],[Duties]]+Main[[#This Row],[Transport]])/((Main[[#This Row],[Precio]]*0.96))),
  IF(_xlpm.result&lt;0, "BAJO", IF(_xlpm.result&gt;1, "ALTO", _xlpm.result))
)</f>
        <v>0.14276079136690645</v>
      </c>
      <c r="K51" s="135">
        <v>1.4946236559139785</v>
      </c>
      <c r="L51" s="33" t="str" cm="1">
        <f t="array" aca="1" ref="L5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51" s="156">
        <f>Guias!$B$2</f>
        <v>46295</v>
      </c>
      <c r="N51" s="234">
        <f>ROUNDUP((Main[[#This Row],[Cost]]*Main[[#This Row],[Import Duties]]),2)</f>
        <v>0.08</v>
      </c>
      <c r="O51">
        <v>0</v>
      </c>
      <c r="P51">
        <v>1</v>
      </c>
      <c r="Q51">
        <v>0</v>
      </c>
      <c r="R51" s="235">
        <f>ROUNDUP(Main[[#This Row],[Transport2]]/Main[[#This Row],[Cantidad_Min]],2)</f>
        <v>0.69000000000000006</v>
      </c>
      <c r="S51">
        <f>_xlfn.XLOOKUP(Main[[#This Row],[Type of Box]], Cajas[Nombre], Cajas[Largo])</f>
        <v>99</v>
      </c>
      <c r="T51">
        <f>_xlfn.XLOOKUP(Main[[#This Row],[Type of Box]], Cajas[Nombre], Cajas[Ancho])</f>
        <v>35</v>
      </c>
      <c r="U51">
        <f>_xlfn.XLOOKUP(Main[[#This Row],[Type of Box]], Cajas[Nombre], Cajas[Alto])</f>
        <v>16</v>
      </c>
      <c r="V5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1">
        <f>ROUNDUP(((Main[[#This Row],[Volumen]]*5.25))*1.36,2)</f>
        <v>65.98</v>
      </c>
      <c r="X51" s="238">
        <v>0.15859999999999999</v>
      </c>
      <c r="Y51" s="260">
        <f>Main[[#This Row],[Cantidad_Min]]*Main[[#This Row],[Precio]]*Main[[#This Row],[Qty]]</f>
        <v>143.48387096774195</v>
      </c>
      <c r="Z51">
        <f>_xlfn.XLOOKUP(Main[[#This Row],[Finca]], Fincas[Nombre], Fincas[ID])</f>
        <v>72</v>
      </c>
      <c r="AA51" t="str" cm="1">
        <f t="array" ref="AA5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51" s="2" t="s">
        <v>36</v>
      </c>
      <c r="AC51" s="5"/>
      <c r="AD51" s="244" t="s">
        <v>74</v>
      </c>
    </row>
    <row r="52" spans="1:30" x14ac:dyDescent="0.25">
      <c r="A52" s="161" t="s">
        <v>34</v>
      </c>
      <c r="B52" s="162">
        <v>1</v>
      </c>
      <c r="C52" s="162" t="s">
        <v>33</v>
      </c>
      <c r="D52" s="161">
        <v>124</v>
      </c>
      <c r="E52" s="261">
        <v>124</v>
      </c>
      <c r="F52" s="261" t="s">
        <v>35</v>
      </c>
      <c r="G52" t="str">
        <f>"24 Candy Xpression/25 Babbaloo/25 Key Lime Pie/25 Tibet/25 Think Pink  " &amp; _xlfn.XLOOKUP(Main[[#This Row],[FechaEntrega]], Guias[Fecha], Guias[Llegada])</f>
        <v>24 Candy Xpression/25 Babbaloo/25 Key Lime Pie/25 Tibet/25 Think Pink  (M/T)</v>
      </c>
      <c r="H52" s="1" t="s">
        <v>856</v>
      </c>
      <c r="I52" s="259">
        <v>0.47</v>
      </c>
      <c r="J52" s="73">
        <f>_xlfn.LET(
  _xlpm.result, 1-((Main[[#This Row],[Cost]]+Main[[#This Row],[Duties]]+Main[[#This Row],[Transport]])/((Main[[#This Row],[Precio]]*0.96))),
  IF(_xlpm.result&lt;0, "BAJO", IF(_xlpm.result&gt;1, "ALTO", _xlpm.result))
)</f>
        <v>0.24033273381294962</v>
      </c>
      <c r="K52" s="135">
        <v>1.4946236559139783</v>
      </c>
      <c r="L52" s="33" t="str" cm="1">
        <f t="array" aca="1" ref="L5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52" s="156">
        <f>Guias!$B$2</f>
        <v>46295</v>
      </c>
      <c r="N52" s="234">
        <f>ROUNDUP((Main[[#This Row],[Cost]]*Main[[#This Row],[Import Duties]]),2)</f>
        <v>0.08</v>
      </c>
      <c r="O52">
        <v>0</v>
      </c>
      <c r="P52">
        <v>1</v>
      </c>
      <c r="Q52">
        <v>0</v>
      </c>
      <c r="R52" s="235">
        <f>ROUNDUP(Main[[#This Row],[Transport2]]/Main[[#This Row],[Cantidad_Min]],2)</f>
        <v>0.54</v>
      </c>
      <c r="S52">
        <f>_xlfn.XLOOKUP(Main[[#This Row],[Type of Box]], Cajas[Nombre], Cajas[Largo])</f>
        <v>99</v>
      </c>
      <c r="T52">
        <f>_xlfn.XLOOKUP(Main[[#This Row],[Type of Box]], Cajas[Nombre], Cajas[Ancho])</f>
        <v>35</v>
      </c>
      <c r="U52">
        <f>_xlfn.XLOOKUP(Main[[#This Row],[Type of Box]], Cajas[Nombre], Cajas[Alto])</f>
        <v>16</v>
      </c>
      <c r="V5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2">
        <f>ROUNDUP(((Main[[#This Row],[Volumen]]*5.25))*1.36,2)</f>
        <v>65.98</v>
      </c>
      <c r="X52" s="238">
        <v>0.15859999999999999</v>
      </c>
      <c r="Y52" s="260">
        <f>Main[[#This Row],[Cantidad_Min]]*Main[[#This Row],[Precio]]*Main[[#This Row],[Qty]]</f>
        <v>185.33333333333331</v>
      </c>
      <c r="Z52">
        <f>_xlfn.XLOOKUP(Main[[#This Row],[Finca]], Fincas[Nombre], Fincas[ID])</f>
        <v>72</v>
      </c>
      <c r="AA52" t="str" cm="1">
        <f t="array" ref="AA5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52" s="2" t="s">
        <v>36</v>
      </c>
      <c r="AC52" s="5"/>
      <c r="AD52" s="244" t="s">
        <v>75</v>
      </c>
    </row>
    <row r="53" spans="1:30" x14ac:dyDescent="0.25">
      <c r="A53" s="161" t="s">
        <v>34</v>
      </c>
      <c r="B53" s="162">
        <v>1</v>
      </c>
      <c r="C53" s="162" t="s">
        <v>33</v>
      </c>
      <c r="D53" s="161">
        <v>124</v>
      </c>
      <c r="E53" s="261">
        <v>124</v>
      </c>
      <c r="F53" s="261" t="s">
        <v>35</v>
      </c>
      <c r="G53" t="str">
        <f>"25 Think Pink/25 Babbaloo/25 Key Lime Pie/25 Tibet/24 Candy Xpression " &amp; _xlfn.XLOOKUP(Main[[#This Row],[FechaEntrega]], Guias[Fecha], Guias[Llegada])</f>
        <v>25 Think Pink/25 Babbaloo/25 Key Lime Pie/25 Tibet/24 Candy Xpression (M/T)</v>
      </c>
      <c r="H53" s="1" t="s">
        <v>857</v>
      </c>
      <c r="I53" s="259">
        <v>0.45999999999999996</v>
      </c>
      <c r="J53" s="73">
        <f>_xlfn.LET(
  _xlpm.result, 1-((Main[[#This Row],[Cost]]+Main[[#This Row],[Duties]]+Main[[#This Row],[Transport]])/((Main[[#This Row],[Precio]]*0.96))),
  IF(_xlpm.result&lt;0, "BAJO", IF(_xlpm.result&gt;1, "ALTO", _xlpm.result))
)</f>
        <v>0.2473021582733812</v>
      </c>
      <c r="K53" s="135">
        <v>1.4946236559139785</v>
      </c>
      <c r="L53" s="33" t="str" cm="1">
        <f t="array" aca="1" ref="L5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53" s="156">
        <f>Guias!$B$2</f>
        <v>46295</v>
      </c>
      <c r="N53" s="234">
        <f>ROUNDUP((Main[[#This Row],[Cost]]*Main[[#This Row],[Import Duties]]),2)</f>
        <v>0.08</v>
      </c>
      <c r="O53">
        <v>0</v>
      </c>
      <c r="P53">
        <v>1</v>
      </c>
      <c r="Q53">
        <v>0</v>
      </c>
      <c r="R53" s="235">
        <f>ROUNDUP(Main[[#This Row],[Transport2]]/Main[[#This Row],[Cantidad_Min]],2)</f>
        <v>0.54</v>
      </c>
      <c r="S53">
        <f>_xlfn.XLOOKUP(Main[[#This Row],[Type of Box]], Cajas[Nombre], Cajas[Largo])</f>
        <v>99</v>
      </c>
      <c r="T53">
        <f>_xlfn.XLOOKUP(Main[[#This Row],[Type of Box]], Cajas[Nombre], Cajas[Ancho])</f>
        <v>35</v>
      </c>
      <c r="U53">
        <f>_xlfn.XLOOKUP(Main[[#This Row],[Type of Box]], Cajas[Nombre], Cajas[Alto])</f>
        <v>16</v>
      </c>
      <c r="V5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3">
        <f>ROUNDUP(((Main[[#This Row],[Volumen]]*5.25))*1.36,2)</f>
        <v>65.98</v>
      </c>
      <c r="X53" s="238">
        <v>0.15859999999999999</v>
      </c>
      <c r="Y53" s="260">
        <f>Main[[#This Row],[Cantidad_Min]]*Main[[#This Row],[Precio]]*Main[[#This Row],[Qty]]</f>
        <v>185.33333333333334</v>
      </c>
      <c r="Z53">
        <f>_xlfn.XLOOKUP(Main[[#This Row],[Finca]], Fincas[Nombre], Fincas[ID])</f>
        <v>72</v>
      </c>
      <c r="AA53" t="str" cm="1">
        <f t="array" ref="AA5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53" s="2" t="s">
        <v>36</v>
      </c>
      <c r="AC53" s="5"/>
      <c r="AD53" s="244" t="s">
        <v>75</v>
      </c>
    </row>
    <row r="54" spans="1:30" x14ac:dyDescent="0.25">
      <c r="A54" s="161" t="s">
        <v>34</v>
      </c>
      <c r="B54" s="162">
        <v>1</v>
      </c>
      <c r="C54" s="162" t="s">
        <v>33</v>
      </c>
      <c r="D54" s="161">
        <f>15*15</f>
        <v>225</v>
      </c>
      <c r="E54" s="261">
        <f>15*15</f>
        <v>225</v>
      </c>
      <c r="F54" s="261" t="s">
        <v>76</v>
      </c>
      <c r="G54" t="str">
        <f>"12 Roses + 3 Fillers " &amp; _xlfn.XLOOKUP(Main[[#This Row],[FechaEntrega]], Guias[Fecha], Guias[Llegada])</f>
        <v>12 Roses + 3 Fillers (M/T)</v>
      </c>
      <c r="H54" s="1" t="s">
        <v>858</v>
      </c>
      <c r="I54" s="259">
        <v>0.2</v>
      </c>
      <c r="J54" s="73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54" s="135">
        <v>0.72</v>
      </c>
      <c r="L54" s="33" t="str" cm="1">
        <f t="array" aca="1" ref="L5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54" s="156">
        <f>Guias!$B$2</f>
        <v>46295</v>
      </c>
      <c r="N54" s="234">
        <f>ROUNDUP((Main[[#This Row],[Cost]]*Main[[#This Row],[Import Duties]]),2)</f>
        <v>0.04</v>
      </c>
      <c r="O54">
        <v>0</v>
      </c>
      <c r="P54">
        <v>1</v>
      </c>
      <c r="Q54">
        <v>0</v>
      </c>
      <c r="R54" s="235">
        <f>ROUNDUP(Main[[#This Row],[Transport2]]/Main[[#This Row],[Cantidad_Min]],2)</f>
        <v>0.3</v>
      </c>
      <c r="S54">
        <f>_xlfn.XLOOKUP(Main[[#This Row],[Type of Box]], Cajas[Nombre], Cajas[Largo])</f>
        <v>99</v>
      </c>
      <c r="T54">
        <f>_xlfn.XLOOKUP(Main[[#This Row],[Type of Box]], Cajas[Nombre], Cajas[Ancho])</f>
        <v>35</v>
      </c>
      <c r="U54">
        <f>_xlfn.XLOOKUP(Main[[#This Row],[Type of Box]], Cajas[Nombre], Cajas[Alto])</f>
        <v>16</v>
      </c>
      <c r="V5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4">
        <f>ROUNDUP(((Main[[#This Row],[Volumen]]*5.25))*1.36,2)</f>
        <v>65.98</v>
      </c>
      <c r="X54" s="238">
        <v>0.15859999999999999</v>
      </c>
      <c r="Y54" s="260">
        <f>Main[[#This Row],[Cantidad_Min]]*Main[[#This Row],[Precio]]*Main[[#This Row],[Qty]]</f>
        <v>162</v>
      </c>
      <c r="Z54">
        <f>_xlfn.XLOOKUP(Main[[#This Row],[Finca]], Fincas[Nombre], Fincas[ID])</f>
        <v>72</v>
      </c>
      <c r="AA54" t="str" cm="1">
        <f t="array" ref="AA5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54" s="2" t="s">
        <v>36</v>
      </c>
      <c r="AC54" s="5" t="s">
        <v>77</v>
      </c>
      <c r="AD54" s="244" t="s">
        <v>78</v>
      </c>
    </row>
    <row r="55" spans="1:30" x14ac:dyDescent="0.25">
      <c r="A55" s="161" t="s">
        <v>34</v>
      </c>
      <c r="B55" s="162">
        <v>1</v>
      </c>
      <c r="C55" s="162" t="s">
        <v>33</v>
      </c>
      <c r="D55" s="161">
        <v>125</v>
      </c>
      <c r="E55" s="261">
        <v>125</v>
      </c>
      <c r="F55" s="261" t="s">
        <v>35</v>
      </c>
      <c r="G55" t="str">
        <f>"25 Think Pink/25 Babbaloo/25 Key lime pie/25 Tibet/25 Powderpuff " &amp; _xlfn.XLOOKUP(Main[[#This Row],[FechaEntrega]], Guias[Fecha], Guias[Llegada])</f>
        <v>25 Think Pink/25 Babbaloo/25 Key lime pie/25 Tibet/25 Powderpuff (M/T)</v>
      </c>
      <c r="H55" s="1" t="s">
        <v>859</v>
      </c>
      <c r="I55" s="259">
        <v>0.45999999999999996</v>
      </c>
      <c r="J55" s="73">
        <f>_xlfn.LET(
  _xlpm.result, 1-((Main[[#This Row],[Cost]]+Main[[#This Row],[Duties]]+Main[[#This Row],[Transport]])/((Main[[#This Row],[Precio]]*0.96))),
  IF(_xlpm.result&lt;0, "BAJO", IF(_xlpm.result&gt;1, "ALTO", _xlpm.result))
)</f>
        <v>0.25427158273381301</v>
      </c>
      <c r="K55" s="135">
        <v>1.4946236559139785</v>
      </c>
      <c r="L55" s="33" t="str" cm="1">
        <f t="array" aca="1" ref="L5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55" s="156">
        <f>Guias!$B$2</f>
        <v>46295</v>
      </c>
      <c r="N55" s="234">
        <f>ROUNDUP((Main[[#This Row],[Cost]]*Main[[#This Row],[Import Duties]]),2)</f>
        <v>0.08</v>
      </c>
      <c r="O55">
        <v>0</v>
      </c>
      <c r="P55">
        <v>1</v>
      </c>
      <c r="Q55">
        <v>0</v>
      </c>
      <c r="R55" s="235">
        <f>ROUNDUP(Main[[#This Row],[Transport2]]/Main[[#This Row],[Cantidad_Min]],2)</f>
        <v>0.53</v>
      </c>
      <c r="S55">
        <f>_xlfn.XLOOKUP(Main[[#This Row],[Type of Box]], Cajas[Nombre], Cajas[Largo])</f>
        <v>99</v>
      </c>
      <c r="T55">
        <f>_xlfn.XLOOKUP(Main[[#This Row],[Type of Box]], Cajas[Nombre], Cajas[Ancho])</f>
        <v>35</v>
      </c>
      <c r="U55">
        <f>_xlfn.XLOOKUP(Main[[#This Row],[Type of Box]], Cajas[Nombre], Cajas[Alto])</f>
        <v>16</v>
      </c>
      <c r="V5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5">
        <f>ROUNDUP(((Main[[#This Row],[Volumen]]*5.25))*1.36,2)</f>
        <v>65.98</v>
      </c>
      <c r="X55" s="238">
        <v>0.15859999999999999</v>
      </c>
      <c r="Y55" s="260">
        <f>Main[[#This Row],[Cantidad_Min]]*Main[[#This Row],[Precio]]*Main[[#This Row],[Qty]]</f>
        <v>186.82795698924733</v>
      </c>
      <c r="Z55">
        <f>_xlfn.XLOOKUP(Main[[#This Row],[Finca]], Fincas[Nombre], Fincas[ID])</f>
        <v>72</v>
      </c>
      <c r="AA55" t="str" cm="1">
        <f t="array" ref="AA5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55" s="2" t="s">
        <v>36</v>
      </c>
      <c r="AC55" s="5"/>
      <c r="AD55" s="244" t="s">
        <v>75</v>
      </c>
    </row>
    <row r="56" spans="1:30" x14ac:dyDescent="0.25">
      <c r="A56" s="161" t="s">
        <v>41</v>
      </c>
      <c r="B56" s="162">
        <v>1</v>
      </c>
      <c r="C56" s="162" t="s">
        <v>32</v>
      </c>
      <c r="D56" s="161">
        <v>50</v>
      </c>
      <c r="E56" s="261">
        <v>50</v>
      </c>
      <c r="F56" s="261" t="s">
        <v>79</v>
      </c>
      <c r="G56" t="str">
        <f>"30 Rosanella/20 Jeanine " &amp; _xlfn.XLOOKUP(Main[[#This Row],[FechaEntrega]], Guias[Fecha], Guias[Llegada])</f>
        <v>30 Rosanella/20 Jeanine (M/T)</v>
      </c>
      <c r="H56" s="1" t="s">
        <v>860</v>
      </c>
      <c r="I56" s="259">
        <v>0.56000000000000005</v>
      </c>
      <c r="J56" s="73">
        <f>_xlfn.LET(
  _xlpm.result, 1-((Main[[#This Row],[Cost]]+Main[[#This Row],[Duties]]+Main[[#This Row],[Transport]])/((Main[[#This Row],[Precio]]*0.96))),
  IF(_xlpm.result&lt;0, "BAJO", IF(_xlpm.result&gt;1, "ALTO", _xlpm.result))
)</f>
        <v>0.37235915492957739</v>
      </c>
      <c r="K56" s="135">
        <v>2.290322580645161</v>
      </c>
      <c r="L56" s="33" t="str" cm="1">
        <f t="array" aca="1" ref="L5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56" s="156">
        <f>Guias!$B$2</f>
        <v>46295</v>
      </c>
      <c r="N56" s="234">
        <f>ROUNDUP((Main[[#This Row],[Cost]]*Main[[#This Row],[Import Duties]]),2)</f>
        <v>0.09</v>
      </c>
      <c r="O56">
        <v>0</v>
      </c>
      <c r="P56">
        <v>1</v>
      </c>
      <c r="Q56">
        <v>0</v>
      </c>
      <c r="R56" s="235">
        <f>ROUNDUP(Main[[#This Row],[Transport2]]/Main[[#This Row],[Cantidad_Min]],2)</f>
        <v>0.73</v>
      </c>
      <c r="S56">
        <f>_xlfn.XLOOKUP(Main[[#This Row],[Type of Box]], Cajas[Nombre], Cajas[Largo])</f>
        <v>105</v>
      </c>
      <c r="T56">
        <f>_xlfn.XLOOKUP(Main[[#This Row],[Type of Box]], Cajas[Nombre], Cajas[Ancho])</f>
        <v>17</v>
      </c>
      <c r="U56">
        <f>_xlfn.XLOOKUP(Main[[#This Row],[Type of Box]], Cajas[Nombre], Cajas[Alto])</f>
        <v>17</v>
      </c>
      <c r="V5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6">
        <f>ROUNDUP(((Main[[#This Row],[Volumen]]*5.25))*1.36,2)</f>
        <v>36.119999999999997</v>
      </c>
      <c r="X56" s="238">
        <v>0.15859999999999999</v>
      </c>
      <c r="Y56" s="260">
        <f>Main[[#This Row],[Cantidad_Min]]*Main[[#This Row],[Precio]]*Main[[#This Row],[Qty]]</f>
        <v>114.51612903225805</v>
      </c>
      <c r="Z56">
        <f>_xlfn.XLOOKUP(Main[[#This Row],[Finca]], Fincas[Nombre], Fincas[ID])</f>
        <v>38</v>
      </c>
      <c r="AA56" t="str" cm="1">
        <f t="array" ref="AA5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56" s="2" t="s">
        <v>36</v>
      </c>
      <c r="AC56" s="278"/>
      <c r="AD56" s="245" t="s">
        <v>80</v>
      </c>
    </row>
    <row r="57" spans="1:30" x14ac:dyDescent="0.25">
      <c r="A57" s="161" t="s">
        <v>67</v>
      </c>
      <c r="B57" s="162">
        <v>1</v>
      </c>
      <c r="C57" s="162" t="s">
        <v>33</v>
      </c>
      <c r="D57" s="161">
        <v>125</v>
      </c>
      <c r="E57" s="261">
        <v>125</v>
      </c>
      <c r="F57" s="261" t="s">
        <v>35</v>
      </c>
      <c r="G57" t="s">
        <v>81</v>
      </c>
      <c r="H57" s="1" t="s">
        <v>861</v>
      </c>
      <c r="I57" s="259">
        <v>0.4</v>
      </c>
      <c r="J57" s="73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57" s="135">
        <v>1.39</v>
      </c>
      <c r="L57" s="33" cm="1">
        <f t="array" aca="1" ref="L5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57" s="156">
        <f>Guias!$B$4</f>
        <v>46297</v>
      </c>
      <c r="N57" s="234">
        <f>ROUNDUP((Main[[#This Row],[Cost]]*Main[[#This Row],[Import Duties]]),2)</f>
        <v>6.9999999999999993E-2</v>
      </c>
      <c r="O57">
        <v>0</v>
      </c>
      <c r="P57">
        <v>1</v>
      </c>
      <c r="Q57">
        <v>0</v>
      </c>
      <c r="R57" s="235">
        <f>ROUNDUP(Main[[#This Row],[Transport2]]/Main[[#This Row],[Cantidad_Min]],2)</f>
        <v>0.53</v>
      </c>
      <c r="S57">
        <f>_xlfn.XLOOKUP(Main[[#This Row],[Type of Box]], Cajas[Nombre], Cajas[Largo])</f>
        <v>99</v>
      </c>
      <c r="T57">
        <f>_xlfn.XLOOKUP(Main[[#This Row],[Type of Box]], Cajas[Nombre], Cajas[Ancho])</f>
        <v>35</v>
      </c>
      <c r="U57">
        <f>_xlfn.XLOOKUP(Main[[#This Row],[Type of Box]], Cajas[Nombre], Cajas[Alto])</f>
        <v>16</v>
      </c>
      <c r="V5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7">
        <f>ROUNDUP(((Main[[#This Row],[Volumen]]*5.25))*1.36,2)</f>
        <v>65.98</v>
      </c>
      <c r="X57" s="238">
        <v>0.15859999999999999</v>
      </c>
      <c r="Y57" s="260">
        <f>Main[[#This Row],[Cantidad_Min]]*Main[[#This Row],[Precio]]*Main[[#This Row],[Qty]]</f>
        <v>173.75</v>
      </c>
      <c r="Z57">
        <f>_xlfn.XLOOKUP(Main[[#This Row],[Finca]], Fincas[Nombre], Fincas[ID])</f>
        <v>23</v>
      </c>
      <c r="AA57" t="str" cm="1">
        <f t="array" ref="AA5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57" s="2" t="s">
        <v>36</v>
      </c>
      <c r="AC57" s="278"/>
      <c r="AD57" s="245" t="s">
        <v>82</v>
      </c>
    </row>
    <row r="58" spans="1:30" ht="15.75" thickBot="1" x14ac:dyDescent="0.3">
      <c r="A58" s="161" t="s">
        <v>41</v>
      </c>
      <c r="B58" s="162">
        <v>1</v>
      </c>
      <c r="C58" s="162" t="s">
        <v>33</v>
      </c>
      <c r="D58" s="161">
        <v>100</v>
      </c>
      <c r="E58" s="261">
        <v>100</v>
      </c>
      <c r="F58" s="261" t="s">
        <v>38</v>
      </c>
      <c r="G58" t="str">
        <f>"25 Explorer/25 Carnelian/25 Playa Blanca/25 Pink Amaretto " &amp; _xlfn.XLOOKUP(Main[[#This Row],[FechaEntrega]], Guias[Fecha], Guias[Llegada])</f>
        <v>25 Explorer/25 Carnelian/25 Playa Blanca/25 Pink Amaretto (T/W)</v>
      </c>
      <c r="H58" s="1" t="s">
        <v>862</v>
      </c>
      <c r="I58" s="259">
        <v>0.47899999999999998</v>
      </c>
      <c r="J58" s="73">
        <f>_xlfn.LET(
  _xlpm.result, 1-((Main[[#This Row],[Cost]]+Main[[#This Row],[Duties]]+Main[[#This Row],[Transport]])/((Main[[#This Row],[Precio]]*0.96))),
  IF(_xlpm.result&lt;0, "BAJO", IF(_xlpm.result&gt;1, "ALTO", _xlpm.result))
)</f>
        <v>0.18077956989247324</v>
      </c>
      <c r="K58" s="135">
        <v>1.55</v>
      </c>
      <c r="L58" s="33" t="str" cm="1">
        <f t="array" aca="1" ref="L5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58" s="156">
        <f>Guias!$B$3</f>
        <v>46296</v>
      </c>
      <c r="N58" s="234">
        <f>ROUNDUP((Main[[#This Row],[Cost]]*Main[[#This Row],[Import Duties]]),2)</f>
        <v>0.08</v>
      </c>
      <c r="O58">
        <v>0</v>
      </c>
      <c r="P58">
        <v>1</v>
      </c>
      <c r="Q58">
        <v>0</v>
      </c>
      <c r="R58" s="235">
        <f>ROUNDUP(Main[[#This Row],[Transport2]]/Main[[#This Row],[Cantidad_Min]],2)</f>
        <v>0.66</v>
      </c>
      <c r="S58">
        <f>_xlfn.XLOOKUP(Main[[#This Row],[Type of Box]], Cajas[Nombre], Cajas[Largo])</f>
        <v>99</v>
      </c>
      <c r="T58">
        <f>_xlfn.XLOOKUP(Main[[#This Row],[Type of Box]], Cajas[Nombre], Cajas[Ancho])</f>
        <v>35</v>
      </c>
      <c r="U58">
        <f>_xlfn.XLOOKUP(Main[[#This Row],[Type of Box]], Cajas[Nombre], Cajas[Alto])</f>
        <v>16</v>
      </c>
      <c r="V5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8">
        <f>ROUNDUP(((Main[[#This Row],[Volumen]]*5.25))*1.36,2)</f>
        <v>65.98</v>
      </c>
      <c r="X58" s="238">
        <v>0.15859999999999999</v>
      </c>
      <c r="Y58" s="260">
        <f>Main[[#This Row],[Cantidad_Min]]*Main[[#This Row],[Precio]]*Main[[#This Row],[Qty]]</f>
        <v>155</v>
      </c>
      <c r="Z58">
        <f>_xlfn.XLOOKUP(Main[[#This Row],[Finca]], Fincas[Nombre], Fincas[ID])</f>
        <v>38</v>
      </c>
      <c r="AA58" t="str" cm="1">
        <f t="array" ref="AA5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58" s="2" t="s">
        <v>36</v>
      </c>
      <c r="AC58" s="278"/>
      <c r="AD58" s="245" t="s">
        <v>666</v>
      </c>
    </row>
    <row r="59" spans="1:30" ht="15.75" thickBot="1" x14ac:dyDescent="0.3">
      <c r="A59" s="163" t="s">
        <v>34</v>
      </c>
      <c r="B59" s="171">
        <f>IF(Main[[#This Row],[SendEmail]]="Y", 1, 0)</f>
        <v>1</v>
      </c>
      <c r="C59" s="164" t="s">
        <v>33</v>
      </c>
      <c r="D59" s="163">
        <v>144</v>
      </c>
      <c r="E59" s="262">
        <v>144</v>
      </c>
      <c r="F59" s="262" t="s">
        <v>83</v>
      </c>
      <c r="G59" t="str">
        <f>"Roses/Garden Roses/Spray Roses " &amp; _xlfn.XLOOKUP(Main[[#This Row],[FechaEntrega]], Guias[Fecha], Guias[Llegada])</f>
        <v>Roses/Garden Roses/Spray Roses (M/T)</v>
      </c>
      <c r="H59" s="1" t="s">
        <v>863</v>
      </c>
      <c r="I59" s="259">
        <v>0.46</v>
      </c>
      <c r="J59" s="73">
        <f>_xlfn.LET(
  _xlpm.result, 1-((Main[[#This Row],[Cost]]+Main[[#This Row],[Duties]]+Main[[#This Row],[Transport]])/((Main[[#This Row],[Precio]]*0.96))),
  IF(_xlpm.result&lt;0, "BAJO", IF(_xlpm.result&gt;1, "ALTO", _xlpm.result))
)</f>
        <v>0.3101545253863135</v>
      </c>
      <c r="K59" s="135">
        <v>1.51</v>
      </c>
      <c r="L59" s="33" t="str" cm="1">
        <f t="array" aca="1" ref="L5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59" s="156">
        <f>Guias!$B$2</f>
        <v>46295</v>
      </c>
      <c r="N59" s="234">
        <f>ROUNDUP((Main[[#This Row],[Cost]]*Main[[#This Row],[Import Duties]]),2)</f>
        <v>0.08</v>
      </c>
      <c r="O59">
        <v>0</v>
      </c>
      <c r="P59">
        <v>1</v>
      </c>
      <c r="Q59">
        <v>0</v>
      </c>
      <c r="R59" s="235">
        <f>ROUNDUP(Main[[#This Row],[Transport2]]/Main[[#This Row],[Cantidad_Min]],2)</f>
        <v>0.46</v>
      </c>
      <c r="S59">
        <f>_xlfn.XLOOKUP(Main[[#This Row],[Type of Box]], Cajas[Nombre], Cajas[Largo])</f>
        <v>99</v>
      </c>
      <c r="T59">
        <f>_xlfn.XLOOKUP(Main[[#This Row],[Type of Box]], Cajas[Nombre], Cajas[Ancho])</f>
        <v>35</v>
      </c>
      <c r="U59">
        <f>_xlfn.XLOOKUP(Main[[#This Row],[Type of Box]], Cajas[Nombre], Cajas[Alto])</f>
        <v>16</v>
      </c>
      <c r="V5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9">
        <f>ROUNDUP(((Main[[#This Row],[Volumen]]*5.25))*1.36,2)</f>
        <v>65.98</v>
      </c>
      <c r="X59" s="238">
        <v>0.15859999999999999</v>
      </c>
      <c r="Y59" s="260">
        <f>Main[[#This Row],[Cantidad_Min]]*Main[[#This Row],[Precio]]*Main[[#This Row],[Qty]]</f>
        <v>217.44</v>
      </c>
      <c r="Z59">
        <f>_xlfn.XLOOKUP(Main[[#This Row],[Finca]], Fincas[Nombre], Fincas[ID])</f>
        <v>72</v>
      </c>
      <c r="AA59" t="str" cm="1">
        <f t="array" ref="AA5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59" s="266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59" s="5"/>
      <c r="AD59" s="244" t="s">
        <v>84</v>
      </c>
    </row>
    <row r="60" spans="1:30" ht="15.75" thickBot="1" x14ac:dyDescent="0.3">
      <c r="A60" s="163" t="s">
        <v>85</v>
      </c>
      <c r="B60" s="171">
        <f>IF(Main[[#This Row],[SendEmail]]="Y", 1, 0)</f>
        <v>1</v>
      </c>
      <c r="C60" s="164" t="s">
        <v>33</v>
      </c>
      <c r="D60" s="163">
        <v>125</v>
      </c>
      <c r="E60" s="262">
        <v>125</v>
      </c>
      <c r="F60" s="262" t="s">
        <v>35</v>
      </c>
      <c r="G60" t="str">
        <f>"25 Explorer/25 Pink Mondial/25 Hermosa/25 White Mondial/25 Phoenix " &amp; _xlfn.XLOOKUP(Main[[#This Row],[FechaEntrega]], Guias[Fecha], Guias[Llegada])</f>
        <v>25 Explorer/25 Pink Mondial/25 Hermosa/25 White Mondial/25 Phoenix (M/T)</v>
      </c>
      <c r="H60" s="1" t="s">
        <v>864</v>
      </c>
      <c r="I60" s="259">
        <v>0.3</v>
      </c>
      <c r="J60" s="73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60" s="135">
        <v>1.1499999999999999</v>
      </c>
      <c r="L60" s="33" t="str" cm="1">
        <f t="array" aca="1" ref="L6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60" s="156">
        <f>Guias!$B$2</f>
        <v>46295</v>
      </c>
      <c r="N60" s="234">
        <f>ROUNDUP((Main[[#This Row],[Cost]]*Main[[#This Row],[Import Duties]]),2)</f>
        <v>0.05</v>
      </c>
      <c r="O60">
        <v>0</v>
      </c>
      <c r="P60">
        <v>1</v>
      </c>
      <c r="Q60">
        <v>0</v>
      </c>
      <c r="R60" s="235">
        <f>ROUNDUP(Main[[#This Row],[Transport2]]/Main[[#This Row],[Cantidad_Min]],2)</f>
        <v>0.53</v>
      </c>
      <c r="S60">
        <f>_xlfn.XLOOKUP(Main[[#This Row],[Type of Box]], Cajas[Nombre], Cajas[Largo])</f>
        <v>99</v>
      </c>
      <c r="T60">
        <f>_xlfn.XLOOKUP(Main[[#This Row],[Type of Box]], Cajas[Nombre], Cajas[Ancho])</f>
        <v>35</v>
      </c>
      <c r="U60">
        <f>_xlfn.XLOOKUP(Main[[#This Row],[Type of Box]], Cajas[Nombre], Cajas[Alto])</f>
        <v>16</v>
      </c>
      <c r="V6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0">
        <f>ROUNDUP(((Main[[#This Row],[Volumen]]*5.25))*1.36,2)</f>
        <v>65.98</v>
      </c>
      <c r="X60" s="238">
        <v>0.15859999999999999</v>
      </c>
      <c r="Y60" s="260">
        <f>Main[[#This Row],[Cantidad_Min]]*Main[[#This Row],[Precio]]*Main[[#This Row],[Qty]]</f>
        <v>143.75</v>
      </c>
      <c r="Z60">
        <f>_xlfn.XLOOKUP(Main[[#This Row],[Finca]], Fincas[Nombre], Fincas[ID])</f>
        <v>2</v>
      </c>
      <c r="AA60" t="str" cm="1">
        <f t="array" ref="AA6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60" s="266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60" s="276"/>
      <c r="AD60" s="244" t="s">
        <v>86</v>
      </c>
    </row>
    <row r="61" spans="1:30" ht="15" customHeight="1" thickBot="1" x14ac:dyDescent="0.3">
      <c r="A61" s="163" t="s">
        <v>87</v>
      </c>
      <c r="B61" s="171">
        <f>IF(Main[[#This Row],[SendEmail]]="Y", 1, 0)</f>
        <v>1</v>
      </c>
      <c r="C61" s="164" t="s">
        <v>33</v>
      </c>
      <c r="D61" s="163">
        <v>125</v>
      </c>
      <c r="E61" s="262">
        <v>125</v>
      </c>
      <c r="F61" s="262" t="s">
        <v>38</v>
      </c>
      <c r="G61" t="s">
        <v>88</v>
      </c>
      <c r="H61" s="1" t="s">
        <v>865</v>
      </c>
      <c r="I61" s="259">
        <v>0.3</v>
      </c>
      <c r="J61" s="73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61" s="135">
        <v>1.1499999999999999</v>
      </c>
      <c r="L61" s="33" t="str" cm="1">
        <f t="array" aca="1" ref="L6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61" s="156">
        <f>Guias!$B$2</f>
        <v>46295</v>
      </c>
      <c r="N61" s="169">
        <f>ROUNDUP((Main[[#This Row],[Cost]]*Main[[#This Row],[Import Duties]]),2)</f>
        <v>0.05</v>
      </c>
      <c r="O61">
        <v>0</v>
      </c>
      <c r="P61">
        <v>1</v>
      </c>
      <c r="Q61">
        <v>0</v>
      </c>
      <c r="R61" s="170">
        <f>ROUNDUP(Main[[#This Row],[Transport2]]/Main[[#This Row],[Cantidad_Min]],2)</f>
        <v>0.53</v>
      </c>
      <c r="S61">
        <f>_xlfn.XLOOKUP(Main[[#This Row],[Type of Box]], Cajas[Nombre], Cajas[Largo])</f>
        <v>99</v>
      </c>
      <c r="T61">
        <f>_xlfn.XLOOKUP(Main[[#This Row],[Type of Box]], Cajas[Nombre], Cajas[Ancho])</f>
        <v>35</v>
      </c>
      <c r="U61">
        <f>_xlfn.XLOOKUP(Main[[#This Row],[Type of Box]], Cajas[Nombre], Cajas[Alto])</f>
        <v>16</v>
      </c>
      <c r="V6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1">
        <f>ROUNDUP(((Main[[#This Row],[Volumen]]*5.25))*1.36,2)</f>
        <v>65.98</v>
      </c>
      <c r="X61" s="238">
        <v>0.15859999999999999</v>
      </c>
      <c r="Y61" s="260">
        <f>Main[[#This Row],[Cantidad_Min]]*Main[[#This Row],[Precio]]*Main[[#This Row],[Qty]]</f>
        <v>143.75</v>
      </c>
      <c r="Z61">
        <f>_xlfn.XLOOKUP(Main[[#This Row],[Finca]], Fincas[Nombre], Fincas[ID])</f>
        <v>70</v>
      </c>
      <c r="AA61" t="str" cm="1">
        <f t="array" ref="AA6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61" s="266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61" s="278"/>
      <c r="AD61" s="244" t="s">
        <v>89</v>
      </c>
    </row>
    <row r="62" spans="1:30" ht="15" customHeight="1" thickBot="1" x14ac:dyDescent="0.3">
      <c r="A62" s="163" t="s">
        <v>54</v>
      </c>
      <c r="B62" s="164">
        <v>1</v>
      </c>
      <c r="C62" s="164" t="s">
        <v>33</v>
      </c>
      <c r="D62" s="163">
        <v>125</v>
      </c>
      <c r="E62" s="262">
        <v>125</v>
      </c>
      <c r="F62" s="262" t="s">
        <v>97</v>
      </c>
      <c r="G62" t="str">
        <f>"25 Explorer/25 Country Blues/25 Goldfinsh/25 Be Sweet/25 Matchpoint " &amp; _xlfn.XLOOKUP(Main[[#This Row],[FechaEntrega]], Guias[Fecha], Guias[Llegada])</f>
        <v>25 Explorer/25 Country Blues/25 Goldfinsh/25 Be Sweet/25 Matchpoint (T/W)</v>
      </c>
      <c r="H62" s="1" t="s">
        <v>866</v>
      </c>
      <c r="I62" s="259">
        <v>0.38</v>
      </c>
      <c r="J62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62" s="268">
        <v>1.39</v>
      </c>
      <c r="L62" s="33" t="str" cm="1">
        <f t="array" aca="1" ref="L6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62" s="156">
        <f>Guias!$B$3</f>
        <v>46296</v>
      </c>
      <c r="N62" s="234">
        <f>ROUNDUP((Main[[#This Row],[Cost]]*Main[[#This Row],[Import Duties]]),2)</f>
        <v>6.9999999999999993E-2</v>
      </c>
      <c r="O62">
        <v>0</v>
      </c>
      <c r="P62">
        <v>1</v>
      </c>
      <c r="Q62">
        <v>0</v>
      </c>
      <c r="R62" s="235">
        <f>ROUNDUP(Main[[#This Row],[Transport2]]/Main[[#This Row],[Cantidad_Min]],2)</f>
        <v>0.53</v>
      </c>
      <c r="S62">
        <f>_xlfn.XLOOKUP(Main[[#This Row],[Type of Box]], Cajas[Nombre], Cajas[Largo])</f>
        <v>99</v>
      </c>
      <c r="T62">
        <f>_xlfn.XLOOKUP(Main[[#This Row],[Type of Box]], Cajas[Nombre], Cajas[Ancho])</f>
        <v>35</v>
      </c>
      <c r="U62">
        <f>_xlfn.XLOOKUP(Main[[#This Row],[Type of Box]], Cajas[Nombre], Cajas[Alto])</f>
        <v>16</v>
      </c>
      <c r="V6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2">
        <f>ROUNDUP(((Main[[#This Row],[Volumen]]*5.25))*1.36,2)</f>
        <v>65.98</v>
      </c>
      <c r="X62" s="238">
        <v>0.15859999999999999</v>
      </c>
      <c r="Y62" s="260">
        <f>Main[[#This Row],[Cantidad_Min]]*Main[[#This Row],[Precio]]*Main[[#This Row],[Qty]]</f>
        <v>173.75</v>
      </c>
      <c r="Z62">
        <f>_xlfn.XLOOKUP(Main[[#This Row],[Finca]], Fincas[Nombre], Fincas[ID])</f>
        <v>58</v>
      </c>
      <c r="AA62" t="str" cm="1">
        <f t="array" ref="AA6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62" s="18" t="s">
        <v>36</v>
      </c>
      <c r="AC62" s="5" t="s">
        <v>644</v>
      </c>
      <c r="AD62" s="244" t="s">
        <v>216</v>
      </c>
    </row>
    <row r="63" spans="1:30" ht="15.75" thickBot="1" x14ac:dyDescent="0.3">
      <c r="A63" s="163" t="s">
        <v>39</v>
      </c>
      <c r="B63" s="164">
        <v>1</v>
      </c>
      <c r="C63" s="164" t="s">
        <v>33</v>
      </c>
      <c r="D63" s="163">
        <v>125</v>
      </c>
      <c r="E63" s="262">
        <v>125</v>
      </c>
      <c r="F63" s="262" t="s">
        <v>35</v>
      </c>
      <c r="G63" t="str">
        <f>"Fortune " &amp; _xlfn.XLOOKUP(Main[[#This Row],[FechaEntrega]], Guias[Fecha], Guias[Llegada])</f>
        <v>Fortune (T/W)</v>
      </c>
      <c r="H63" s="1" t="s">
        <v>867</v>
      </c>
      <c r="I63" s="259">
        <v>0.37</v>
      </c>
      <c r="J63" s="73">
        <f>_xlfn.LET(
  _xlpm.result, 1-((Main[[#This Row],[Cost]]+Main[[#This Row],[Duties]]+Main[[#This Row],[Transport]])/((Main[[#This Row],[Precio]]*0.96))),
  IF(_xlpm.result&lt;0, "BAJO", IF(_xlpm.result&gt;1, "ALTO", _xlpm.result))
)</f>
        <v>0.13043478260869557</v>
      </c>
      <c r="K63" s="172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63" s="33" t="str" cm="1">
        <f t="array" aca="1" ref="L6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63" s="156">
        <f>Guias!$B$3</f>
        <v>46296</v>
      </c>
      <c r="N63" s="234">
        <f>ROUNDUP((Main[[#This Row],[Cost]]*Main[[#This Row],[Import Duties]]),2)</f>
        <v>6.0000000000000005E-2</v>
      </c>
      <c r="O63">
        <v>0</v>
      </c>
      <c r="P63">
        <v>1</v>
      </c>
      <c r="Q63">
        <v>0</v>
      </c>
      <c r="R63" s="235">
        <f>ROUNDUP(Main[[#This Row],[Transport2]]/Main[[#This Row],[Cantidad_Min]],2)</f>
        <v>0.53</v>
      </c>
      <c r="S63">
        <f>_xlfn.XLOOKUP(Main[[#This Row],[Type of Box]], Cajas[Nombre], Cajas[Largo])</f>
        <v>99</v>
      </c>
      <c r="T63">
        <f>_xlfn.XLOOKUP(Main[[#This Row],[Type of Box]], Cajas[Nombre], Cajas[Ancho])</f>
        <v>35</v>
      </c>
      <c r="U63">
        <f>_xlfn.XLOOKUP(Main[[#This Row],[Type of Box]], Cajas[Nombre], Cajas[Alto])</f>
        <v>16</v>
      </c>
      <c r="V6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3">
        <f>ROUNDUP(((Main[[#This Row],[Volumen]]*5.25))*1.36,2)</f>
        <v>65.98</v>
      </c>
      <c r="X63" s="238">
        <v>0.15859999999999999</v>
      </c>
      <c r="Y63" s="260">
        <f>Main[[#This Row],[Cantidad_Min]]*Main[[#This Row],[Precio]]*Main[[#This Row],[Qty]]</f>
        <v>143.75</v>
      </c>
      <c r="Z63">
        <f>_xlfn.XLOOKUP(Main[[#This Row],[Finca]], Fincas[Nombre], Fincas[ID])</f>
        <v>76</v>
      </c>
      <c r="AA63" t="str" cm="1">
        <f t="array" ref="AA6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63" s="2" t="s">
        <v>36</v>
      </c>
      <c r="AC63" s="31"/>
      <c r="AD63" s="244" t="s">
        <v>90</v>
      </c>
    </row>
    <row r="64" spans="1:30" ht="15.75" thickBot="1" x14ac:dyDescent="0.3">
      <c r="A64" s="163" t="s">
        <v>39</v>
      </c>
      <c r="B64" s="164">
        <v>1</v>
      </c>
      <c r="C64" s="164" t="s">
        <v>33</v>
      </c>
      <c r="D64" s="163">
        <v>125</v>
      </c>
      <c r="E64" s="262">
        <v>125</v>
      </c>
      <c r="F64" s="262" t="s">
        <v>35</v>
      </c>
      <c r="G64" t="str">
        <f>"75 Rhoslyn/50 Mondial " &amp; _xlfn.XLOOKUP(Main[[#This Row],[FechaEntrega]], Guias[Fecha], Guias[Llegada])</f>
        <v>75 Rhoslyn/50 Mondial (T/W)</v>
      </c>
      <c r="H64" s="1" t="s">
        <v>868</v>
      </c>
      <c r="I64" s="259">
        <v>0.37</v>
      </c>
      <c r="J64" s="73">
        <f>_xlfn.LET(
  _xlpm.result, 1-((Main[[#This Row],[Cost]]+Main[[#This Row],[Duties]]+Main[[#This Row],[Transport]])/((Main[[#This Row],[Precio]]*0.96))),
  IF(_xlpm.result&lt;0, "BAJO", IF(_xlpm.result&gt;1, "ALTO", _xlpm.result))
)</f>
        <v>0.13043478260869557</v>
      </c>
      <c r="K64" s="172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64" s="33" t="str" cm="1">
        <f t="array" aca="1" ref="L6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64" s="156">
        <f>Guias!$B$3</f>
        <v>46296</v>
      </c>
      <c r="N64" s="234">
        <f>ROUNDUP((Main[[#This Row],[Cost]]*Main[[#This Row],[Import Duties]]),2)</f>
        <v>6.0000000000000005E-2</v>
      </c>
      <c r="O64">
        <v>0</v>
      </c>
      <c r="P64">
        <v>1</v>
      </c>
      <c r="Q64">
        <v>0</v>
      </c>
      <c r="R64" s="235">
        <f>ROUNDUP(Main[[#This Row],[Transport2]]/Main[[#This Row],[Cantidad_Min]],2)</f>
        <v>0.53</v>
      </c>
      <c r="S64">
        <f>_xlfn.XLOOKUP(Main[[#This Row],[Type of Box]], Cajas[Nombre], Cajas[Largo])</f>
        <v>99</v>
      </c>
      <c r="T64">
        <f>_xlfn.XLOOKUP(Main[[#This Row],[Type of Box]], Cajas[Nombre], Cajas[Ancho])</f>
        <v>35</v>
      </c>
      <c r="U64">
        <f>_xlfn.XLOOKUP(Main[[#This Row],[Type of Box]], Cajas[Nombre], Cajas[Alto])</f>
        <v>16</v>
      </c>
      <c r="V6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4">
        <f>ROUNDUP(((Main[[#This Row],[Volumen]]*5.25))*1.36,2)</f>
        <v>65.98</v>
      </c>
      <c r="X64" s="238">
        <v>0.15859999999999999</v>
      </c>
      <c r="Y64" s="260">
        <f>Main[[#This Row],[Cantidad_Min]]*Main[[#This Row],[Precio]]*Main[[#This Row],[Qty]]</f>
        <v>143.75</v>
      </c>
      <c r="Z64">
        <f>_xlfn.XLOOKUP(Main[[#This Row],[Finca]], Fincas[Nombre], Fincas[ID])</f>
        <v>76</v>
      </c>
      <c r="AA64" t="str" cm="1">
        <f t="array" ref="AA6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64" s="2" t="s">
        <v>36</v>
      </c>
      <c r="AC64" s="31"/>
      <c r="AD64" s="244" t="s">
        <v>90</v>
      </c>
    </row>
    <row r="65" spans="1:30" ht="15.75" thickBot="1" x14ac:dyDescent="0.3">
      <c r="A65" s="166" t="s">
        <v>39</v>
      </c>
      <c r="B65" s="167">
        <v>1</v>
      </c>
      <c r="C65" s="167" t="s">
        <v>33</v>
      </c>
      <c r="D65" s="166">
        <v>100</v>
      </c>
      <c r="E65" s="263">
        <v>100</v>
      </c>
      <c r="F65" s="263" t="s">
        <v>35</v>
      </c>
      <c r="G65" t="str">
        <f>"Fortune " &amp; _xlfn.XLOOKUP(Main[[#This Row],[FechaEntrega]], Guias[Fecha], Guias[Llegada])</f>
        <v>Fortune (M/T)</v>
      </c>
      <c r="H65" s="1" t="s">
        <v>869</v>
      </c>
      <c r="I65" s="259">
        <v>0.37</v>
      </c>
      <c r="J65" s="73">
        <f>_xlfn.LET(
  _xlpm.result, 1-((Main[[#This Row],[Cost]]+Main[[#This Row],[Duties]]+Main[[#This Row],[Transport]])/((Main[[#This Row],[Precio]]*0.96))),
  IF(_xlpm.result&lt;0, "BAJO", IF(_xlpm.result&gt;1, "ALTO", _xlpm.result))
)</f>
        <v>0.11983204134366909</v>
      </c>
      <c r="K65" s="172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65" s="33" t="str" cm="1">
        <f t="array" aca="1" ref="L6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65" s="156">
        <f>Guias!$B$2</f>
        <v>46295</v>
      </c>
      <c r="N65" s="234">
        <f>ROUNDUP((Main[[#This Row],[Cost]]*Main[[#This Row],[Import Duties]]),2)</f>
        <v>6.0000000000000005E-2</v>
      </c>
      <c r="O65">
        <v>0</v>
      </c>
      <c r="P65">
        <v>1</v>
      </c>
      <c r="Q65">
        <v>0</v>
      </c>
      <c r="R65" s="235">
        <f>ROUNDUP(Main[[#This Row],[Transport2]]/Main[[#This Row],[Cantidad_Min]],2)</f>
        <v>0.66</v>
      </c>
      <c r="S65">
        <f>_xlfn.XLOOKUP(Main[[#This Row],[Type of Box]], Cajas[Nombre], Cajas[Largo])</f>
        <v>99</v>
      </c>
      <c r="T65">
        <f>_xlfn.XLOOKUP(Main[[#This Row],[Type of Box]], Cajas[Nombre], Cajas[Ancho])</f>
        <v>35</v>
      </c>
      <c r="U65">
        <f>_xlfn.XLOOKUP(Main[[#This Row],[Type of Box]], Cajas[Nombre], Cajas[Alto])</f>
        <v>16</v>
      </c>
      <c r="V6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5">
        <f>ROUNDUP(((Main[[#This Row],[Volumen]]*5.25))*1.36,2)</f>
        <v>65.98</v>
      </c>
      <c r="X65" s="238">
        <v>0.15859999999999999</v>
      </c>
      <c r="Y65" s="260">
        <f>Main[[#This Row],[Cantidad_Min]]*Main[[#This Row],[Precio]]*Main[[#This Row],[Qty]]</f>
        <v>129</v>
      </c>
      <c r="Z65">
        <f>_xlfn.XLOOKUP(Main[[#This Row],[Finca]], Fincas[Nombre], Fincas[ID])</f>
        <v>76</v>
      </c>
      <c r="AA65" t="str" cm="1">
        <f t="array" ref="AA6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5" s="2" t="s">
        <v>36</v>
      </c>
      <c r="AC65" s="31"/>
      <c r="AD65" s="244" t="s">
        <v>91</v>
      </c>
    </row>
    <row r="66" spans="1:30" ht="15.75" thickBot="1" x14ac:dyDescent="0.3">
      <c r="A66" s="166" t="s">
        <v>39</v>
      </c>
      <c r="B66" s="167">
        <v>1</v>
      </c>
      <c r="C66" s="167" t="s">
        <v>33</v>
      </c>
      <c r="D66" s="166">
        <v>100</v>
      </c>
      <c r="E66" s="263">
        <v>100</v>
      </c>
      <c r="F66" s="263" t="s">
        <v>35</v>
      </c>
      <c r="G66" t="str">
        <f>"50 Fortune/25 Rhoslyn/25 Luciano 60cm " &amp; _xlfn.XLOOKUP(Main[[#This Row],[FechaEntrega]], Guias[Fecha], Guias[Llegada])</f>
        <v>50 Fortune/25 Rhoslyn/25 Luciano 60cm (M/T)</v>
      </c>
      <c r="H66" s="1" t="s">
        <v>870</v>
      </c>
      <c r="I66" s="259">
        <f>AVERAGE(0.37,0.37,0.37,0.47)</f>
        <v>0.39499999999999996</v>
      </c>
      <c r="J66" s="73">
        <f>_xlfn.LET(
  _xlpm.result, 1-((Main[[#This Row],[Cost]]+Main[[#This Row],[Duties]]+Main[[#This Row],[Transport]])/((Main[[#This Row],[Precio]]*0.96))),
  IF(_xlpm.result&lt;0, "BAJO", IF(_xlpm.result&gt;1, "ALTO", _xlpm.result))
)</f>
        <v>9.1569767441860406E-2</v>
      </c>
      <c r="K66" s="172">
        <f>IF(OR(AND(ISNUMBER(FIND("(*PAR)",
UPPER(Main[[#This Row],[Standing Orders]]))),
MOD(IFERROR(VALUE(Guias!$M$2),0),2)=0),
AND(ISNUMBER(FIND("(*IMPAR)",
UPPER(Main[[#This Row],[Standing Orders]]))),
MOD(IFERROR(VALUE(Guias!$M$2),
0),2)=1)), 1.18, 1.29)</f>
        <v>1.29</v>
      </c>
      <c r="L66" s="33" t="str" cm="1">
        <f t="array" aca="1" ref="L6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66" s="156">
        <f>Guias!$B$2</f>
        <v>46295</v>
      </c>
      <c r="N66" s="234">
        <f>ROUNDUP((Main[[#This Row],[Cost]]*Main[[#This Row],[Import Duties]]),2)</f>
        <v>6.9999999999999993E-2</v>
      </c>
      <c r="O66">
        <v>0</v>
      </c>
      <c r="P66">
        <v>1</v>
      </c>
      <c r="Q66">
        <v>0</v>
      </c>
      <c r="R66" s="235">
        <f>ROUNDUP(Main[[#This Row],[Transport2]]/Main[[#This Row],[Cantidad_Min]],2)</f>
        <v>0.66</v>
      </c>
      <c r="S66">
        <f>_xlfn.XLOOKUP(Main[[#This Row],[Type of Box]], Cajas[Nombre], Cajas[Largo])</f>
        <v>99</v>
      </c>
      <c r="T66">
        <f>_xlfn.XLOOKUP(Main[[#This Row],[Type of Box]], Cajas[Nombre], Cajas[Ancho])</f>
        <v>35</v>
      </c>
      <c r="U66">
        <f>_xlfn.XLOOKUP(Main[[#This Row],[Type of Box]], Cajas[Nombre], Cajas[Alto])</f>
        <v>16</v>
      </c>
      <c r="V6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6">
        <f>ROUNDUP(((Main[[#This Row],[Volumen]]*5.25))*1.36,2)</f>
        <v>65.98</v>
      </c>
      <c r="X66" s="238">
        <v>0.15859999999999999</v>
      </c>
      <c r="Y66" s="260">
        <f>Main[[#This Row],[Cantidad_Min]]*Main[[#This Row],[Precio]]*Main[[#This Row],[Qty]]</f>
        <v>129</v>
      </c>
      <c r="Z66">
        <f>_xlfn.XLOOKUP(Main[[#This Row],[Finca]], Fincas[Nombre], Fincas[ID])</f>
        <v>76</v>
      </c>
      <c r="AA66" t="str" cm="1">
        <f t="array" ref="AA6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6" s="2" t="s">
        <v>36</v>
      </c>
      <c r="AC66" s="31"/>
      <c r="AD66" s="244" t="s">
        <v>91</v>
      </c>
    </row>
    <row r="67" spans="1:30" ht="15.75" thickBot="1" x14ac:dyDescent="0.3">
      <c r="A67" s="166" t="s">
        <v>39</v>
      </c>
      <c r="B67" s="167">
        <v>1</v>
      </c>
      <c r="C67" s="167" t="s">
        <v>33</v>
      </c>
      <c r="D67" s="166">
        <v>100</v>
      </c>
      <c r="E67" s="263">
        <v>100</v>
      </c>
      <c r="F67" s="263" t="s">
        <v>35</v>
      </c>
      <c r="G67" t="s">
        <v>92</v>
      </c>
      <c r="H67" s="1" t="s">
        <v>871</v>
      </c>
      <c r="I67" s="259">
        <v>0.37</v>
      </c>
      <c r="J67" s="73">
        <f>_xlfn.LET(
  _xlpm.result, 1-((Main[[#This Row],[Cost]]+Main[[#This Row],[Duties]]+Main[[#This Row],[Transport]])/((Main[[#This Row],[Precio]]*0.96))),
  IF(_xlpm.result&lt;0, "BAJO", IF(_xlpm.result&gt;1, "ALTO", _xlpm.result))
)</f>
        <v>0.11983204134366909</v>
      </c>
      <c r="K67" s="172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67" s="33" cm="1">
        <f t="array" aca="1" ref="L6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67" s="156">
        <f>Guias!$B$5</f>
        <v>46298</v>
      </c>
      <c r="N67" s="234">
        <f>ROUNDUP((Main[[#This Row],[Cost]]*Main[[#This Row],[Import Duties]]),2)</f>
        <v>6.0000000000000005E-2</v>
      </c>
      <c r="O67">
        <v>0</v>
      </c>
      <c r="P67">
        <v>1</v>
      </c>
      <c r="Q67">
        <v>0</v>
      </c>
      <c r="R67" s="235">
        <f>ROUNDUP(Main[[#This Row],[Transport2]]/Main[[#This Row],[Cantidad_Min]],2)</f>
        <v>0.66</v>
      </c>
      <c r="S67">
        <f>_xlfn.XLOOKUP(Main[[#This Row],[Type of Box]], Cajas[Nombre], Cajas[Largo])</f>
        <v>99</v>
      </c>
      <c r="T67">
        <f>_xlfn.XLOOKUP(Main[[#This Row],[Type of Box]], Cajas[Nombre], Cajas[Ancho])</f>
        <v>35</v>
      </c>
      <c r="U67">
        <f>_xlfn.XLOOKUP(Main[[#This Row],[Type of Box]], Cajas[Nombre], Cajas[Alto])</f>
        <v>16</v>
      </c>
      <c r="V6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7">
        <f>ROUNDUP(((Main[[#This Row],[Volumen]]*5.25))*1.36,2)</f>
        <v>65.98</v>
      </c>
      <c r="X67" s="238">
        <v>0.15859999999999999</v>
      </c>
      <c r="Y67" s="260">
        <f>Main[[#This Row],[Cantidad_Min]]*Main[[#This Row],[Precio]]*Main[[#This Row],[Qty]]</f>
        <v>129</v>
      </c>
      <c r="Z67">
        <f>_xlfn.XLOOKUP(Main[[#This Row],[Finca]], Fincas[Nombre], Fincas[ID])</f>
        <v>76</v>
      </c>
      <c r="AA67" t="str" cm="1">
        <f t="array" ref="AA6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7" s="2" t="s">
        <v>36</v>
      </c>
      <c r="AC67" s="31"/>
      <c r="AD67" s="244" t="s">
        <v>91</v>
      </c>
    </row>
    <row r="68" spans="1:30" ht="15.75" thickBot="1" x14ac:dyDescent="0.3">
      <c r="A68" s="166" t="s">
        <v>39</v>
      </c>
      <c r="B68" s="167">
        <v>1</v>
      </c>
      <c r="C68" s="167" t="s">
        <v>33</v>
      </c>
      <c r="D68" s="166">
        <v>100</v>
      </c>
      <c r="E68" s="263">
        <v>100</v>
      </c>
      <c r="F68" s="263" t="s">
        <v>35</v>
      </c>
      <c r="G68" t="s">
        <v>93</v>
      </c>
      <c r="H68" s="1" t="s">
        <v>872</v>
      </c>
      <c r="I68" s="259">
        <v>0.37</v>
      </c>
      <c r="J68" s="73">
        <f>_xlfn.LET(
  _xlpm.result, 1-((Main[[#This Row],[Cost]]+Main[[#This Row],[Duties]]+Main[[#This Row],[Transport]])/((Main[[#This Row],[Precio]]*0.96))),
  IF(_xlpm.result&lt;0, "BAJO", IF(_xlpm.result&gt;1, "ALTO", _xlpm.result))
)</f>
        <v>0.11983204134366909</v>
      </c>
      <c r="K68" s="172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68" s="33" cm="1">
        <f t="array" aca="1" ref="L6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68" s="156">
        <f>Guias!$B$5</f>
        <v>46298</v>
      </c>
      <c r="N68" s="234">
        <f>ROUNDUP((Main[[#This Row],[Cost]]*Main[[#This Row],[Import Duties]]),2)</f>
        <v>6.0000000000000005E-2</v>
      </c>
      <c r="O68">
        <v>0</v>
      </c>
      <c r="P68">
        <v>1</v>
      </c>
      <c r="Q68">
        <v>0</v>
      </c>
      <c r="R68" s="235">
        <f>ROUNDUP(Main[[#This Row],[Transport2]]/Main[[#This Row],[Cantidad_Min]],2)</f>
        <v>0.66</v>
      </c>
      <c r="S68">
        <f>_xlfn.XLOOKUP(Main[[#This Row],[Type of Box]], Cajas[Nombre], Cajas[Largo])</f>
        <v>99</v>
      </c>
      <c r="T68">
        <f>_xlfn.XLOOKUP(Main[[#This Row],[Type of Box]], Cajas[Nombre], Cajas[Ancho])</f>
        <v>35</v>
      </c>
      <c r="U68">
        <f>_xlfn.XLOOKUP(Main[[#This Row],[Type of Box]], Cajas[Nombre], Cajas[Alto])</f>
        <v>16</v>
      </c>
      <c r="V6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8">
        <f>ROUNDUP(((Main[[#This Row],[Volumen]]*5.25))*1.36,2)</f>
        <v>65.98</v>
      </c>
      <c r="X68" s="238">
        <v>0.15859999999999999</v>
      </c>
      <c r="Y68" s="260">
        <f>Main[[#This Row],[Cantidad_Min]]*Main[[#This Row],[Precio]]*Main[[#This Row],[Qty]]</f>
        <v>129</v>
      </c>
      <c r="Z68">
        <f>_xlfn.XLOOKUP(Main[[#This Row],[Finca]], Fincas[Nombre], Fincas[ID])</f>
        <v>76</v>
      </c>
      <c r="AA68" t="str" cm="1">
        <f t="array" ref="AA6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8" s="2" t="s">
        <v>36</v>
      </c>
      <c r="AC68" s="31"/>
      <c r="AD68" s="244" t="s">
        <v>91</v>
      </c>
    </row>
    <row r="69" spans="1:30" ht="15.75" thickBot="1" x14ac:dyDescent="0.3">
      <c r="A69" s="166" t="s">
        <v>39</v>
      </c>
      <c r="B69" s="167">
        <v>1</v>
      </c>
      <c r="C69" s="167" t="s">
        <v>33</v>
      </c>
      <c r="D69" s="166">
        <v>100</v>
      </c>
      <c r="E69" s="263">
        <v>100</v>
      </c>
      <c r="F69" s="263" t="s">
        <v>35</v>
      </c>
      <c r="G69" t="s">
        <v>94</v>
      </c>
      <c r="H69" s="1" t="s">
        <v>873</v>
      </c>
      <c r="I69" s="259">
        <v>0.37</v>
      </c>
      <c r="J69" s="73">
        <f>_xlfn.LET(
  _xlpm.result, 1-((Main[[#This Row],[Cost]]+Main[[#This Row],[Duties]]+Main[[#This Row],[Transport]])/((Main[[#This Row],[Precio]]*0.96))),
  IF(_xlpm.result&lt;0, "BAJO", IF(_xlpm.result&gt;1, "ALTO", _xlpm.result))
)</f>
        <v>0.11983204134366909</v>
      </c>
      <c r="K69" s="172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69" s="33" cm="1">
        <f t="array" aca="1" ref="L6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69" s="156">
        <f>Guias!$B$5</f>
        <v>46298</v>
      </c>
      <c r="N69" s="234">
        <f>ROUNDUP((Main[[#This Row],[Cost]]*Main[[#This Row],[Import Duties]]),2)</f>
        <v>6.0000000000000005E-2</v>
      </c>
      <c r="O69">
        <v>0</v>
      </c>
      <c r="P69">
        <v>1</v>
      </c>
      <c r="Q69">
        <v>0</v>
      </c>
      <c r="R69" s="235">
        <f>ROUNDUP(Main[[#This Row],[Transport2]]/Main[[#This Row],[Cantidad_Min]],2)</f>
        <v>0.66</v>
      </c>
      <c r="S69">
        <f>_xlfn.XLOOKUP(Main[[#This Row],[Type of Box]], Cajas[Nombre], Cajas[Largo])</f>
        <v>99</v>
      </c>
      <c r="T69">
        <f>_xlfn.XLOOKUP(Main[[#This Row],[Type of Box]], Cajas[Nombre], Cajas[Ancho])</f>
        <v>35</v>
      </c>
      <c r="U69">
        <f>_xlfn.XLOOKUP(Main[[#This Row],[Type of Box]], Cajas[Nombre], Cajas[Alto])</f>
        <v>16</v>
      </c>
      <c r="V6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9">
        <f>ROUNDUP(((Main[[#This Row],[Volumen]]*5.25))*1.36,2)</f>
        <v>65.98</v>
      </c>
      <c r="X69" s="238">
        <v>0.15859999999999999</v>
      </c>
      <c r="Y69" s="260">
        <f>Main[[#This Row],[Cantidad_Min]]*Main[[#This Row],[Precio]]*Main[[#This Row],[Qty]]</f>
        <v>129</v>
      </c>
      <c r="Z69">
        <f>_xlfn.XLOOKUP(Main[[#This Row],[Finca]], Fincas[Nombre], Fincas[ID])</f>
        <v>76</v>
      </c>
      <c r="AA69" t="str" cm="1">
        <f t="array" ref="AA6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9" s="77" t="s">
        <v>36</v>
      </c>
      <c r="AC69" s="31"/>
      <c r="AD69" s="244" t="s">
        <v>91</v>
      </c>
    </row>
    <row r="70" spans="1:30" ht="15.75" thickBot="1" x14ac:dyDescent="0.3">
      <c r="A70" s="37" t="s">
        <v>39</v>
      </c>
      <c r="B70" s="273">
        <v>1</v>
      </c>
      <c r="C70" s="157" t="s">
        <v>33</v>
      </c>
      <c r="D70" s="37">
        <v>125</v>
      </c>
      <c r="E70">
        <v>125</v>
      </c>
      <c r="F70" t="s">
        <v>35</v>
      </c>
      <c r="G70" t="str">
        <f>"25 Tibet/25 Jessika/25 Mohana/25 Phoenix/25 Bromo " &amp; _xlfn.XLOOKUP(Main[[#This Row],[FechaEntrega]], Guias[Fecha], Guias[Llegada])</f>
        <v>25 Tibet/25 Jessika/25 Mohana/25 Phoenix/25 Bromo (W/T)</v>
      </c>
      <c r="H70" s="1" t="s">
        <v>874</v>
      </c>
      <c r="I70" s="259">
        <v>0.37</v>
      </c>
      <c r="J70" s="73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70" s="172">
        <f>IF(OR(AND(ISNUMBER(FIND("(*PAR)",
UPPER(Main[[#This Row],[Standing Orders]]))),
MOD(IFERROR(VALUE(Guias!$M$2),0),2)=0),
AND(ISNUMBER(FIND("(*IMPAR)",
UPPER(Main[[#This Row],[Standing Orders]]))),
MOD(IFERROR(VALUE(Guias!$M$2),
0),2)=1)), 1.45, 1.39)</f>
        <v>1.39</v>
      </c>
      <c r="L70" s="33" cm="1">
        <f t="array" aca="1" ref="L7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70" s="156">
        <f>Guias!$B$5</f>
        <v>46298</v>
      </c>
      <c r="N70" s="234">
        <f>ROUNDUP((Main[[#This Row],[Cost]]*Main[[#This Row],[Import Duties]]),2)</f>
        <v>6.0000000000000005E-2</v>
      </c>
      <c r="O70">
        <v>0</v>
      </c>
      <c r="P70">
        <v>1</v>
      </c>
      <c r="Q70">
        <v>0</v>
      </c>
      <c r="R70" s="235">
        <f>ROUNDUP(Main[[#This Row],[Transport2]]/Main[[#This Row],[Cantidad_Min]],2)</f>
        <v>0.53</v>
      </c>
      <c r="S70">
        <f>_xlfn.XLOOKUP(Main[[#This Row],[Type of Box]], Cajas[Nombre], Cajas[Largo])</f>
        <v>99</v>
      </c>
      <c r="T70">
        <f>_xlfn.XLOOKUP(Main[[#This Row],[Type of Box]], Cajas[Nombre], Cajas[Ancho])</f>
        <v>35</v>
      </c>
      <c r="U70">
        <f>_xlfn.XLOOKUP(Main[[#This Row],[Type of Box]], Cajas[Nombre], Cajas[Alto])</f>
        <v>16</v>
      </c>
      <c r="V7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0">
        <f>ROUNDUP(((Main[[#This Row],[Volumen]]*5.25))*1.36,2)</f>
        <v>65.98</v>
      </c>
      <c r="X70" s="238">
        <v>0.15859999999999999</v>
      </c>
      <c r="Y70" s="260">
        <f>Main[[#This Row],[Cantidad_Min]]*Main[[#This Row],[Precio]]*Main[[#This Row],[Qty]]</f>
        <v>173.75</v>
      </c>
      <c r="Z70">
        <f>_xlfn.XLOOKUP(Main[[#This Row],[Finca]], Fincas[Nombre], Fincas[ID])</f>
        <v>76</v>
      </c>
      <c r="AA70" t="str" cm="1">
        <f t="array" ref="AA7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0" s="266" t="s">
        <v>36</v>
      </c>
      <c r="AC70" s="31"/>
      <c r="AD70" s="244" t="s">
        <v>95</v>
      </c>
    </row>
    <row r="71" spans="1:30" x14ac:dyDescent="0.25">
      <c r="A71" s="37" t="s">
        <v>34</v>
      </c>
      <c r="B71" s="157">
        <v>1</v>
      </c>
      <c r="C71" s="157" t="s">
        <v>33</v>
      </c>
      <c r="D71" s="37">
        <v>100</v>
      </c>
      <c r="E71">
        <v>100</v>
      </c>
      <c r="F71" t="s">
        <v>38</v>
      </c>
      <c r="G71" t="str">
        <f>"50 Explorer/25 Mondial/25 Pink Mondial " &amp; _xlfn.XLOOKUP(Main[[#This Row],[FechaEntrega]], Guias[Fecha], Guias[Llegada])</f>
        <v>50 Explorer/25 Mondial/25 Pink Mondial (M/T)</v>
      </c>
      <c r="H71" s="1" t="s">
        <v>875</v>
      </c>
      <c r="I71" s="259">
        <v>0.31</v>
      </c>
      <c r="J71" s="73">
        <f>_xlfn.LET(
  _xlpm.result, 1-((Main[[#This Row],[Cost]]+Main[[#This Row],[Duties]]+Main[[#This Row],[Transport]])/((Main[[#This Row],[Precio]]*0.96))),
  IF(_xlpm.result&lt;0, "BAJO", IF(_xlpm.result&gt;1, "ALTO", _xlpm.result))
)</f>
        <v>0.28691275167785224</v>
      </c>
      <c r="K71" s="135">
        <v>1.49</v>
      </c>
      <c r="L71" s="33" t="str" cm="1">
        <f t="array" aca="1" ref="L7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71" s="156">
        <f>Guias!$B$2</f>
        <v>46295</v>
      </c>
      <c r="N71" s="234">
        <f>ROUNDUP((Main[[#This Row],[Cost]]*Main[[#This Row],[Import Duties]]),2)</f>
        <v>0.05</v>
      </c>
      <c r="O71">
        <v>0</v>
      </c>
      <c r="P71">
        <v>1</v>
      </c>
      <c r="Q71">
        <v>0</v>
      </c>
      <c r="R71" s="235">
        <f>ROUNDUP(Main[[#This Row],[Transport2]]/Main[[#This Row],[Cantidad_Min]],2)</f>
        <v>0.66</v>
      </c>
      <c r="S71">
        <f>_xlfn.XLOOKUP(Main[[#This Row],[Type of Box]], Cajas[Nombre], Cajas[Largo])</f>
        <v>99</v>
      </c>
      <c r="T71">
        <f>_xlfn.XLOOKUP(Main[[#This Row],[Type of Box]], Cajas[Nombre], Cajas[Ancho])</f>
        <v>35</v>
      </c>
      <c r="U71">
        <f>_xlfn.XLOOKUP(Main[[#This Row],[Type of Box]], Cajas[Nombre], Cajas[Alto])</f>
        <v>16</v>
      </c>
      <c r="V7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1">
        <f>ROUNDUP(((Main[[#This Row],[Volumen]]*5.25))*1.36,2)</f>
        <v>65.98</v>
      </c>
      <c r="X71" s="238">
        <v>0.15859999999999999</v>
      </c>
      <c r="Y71" s="260">
        <f>Main[[#This Row],[Cantidad_Min]]*Main[[#This Row],[Precio]]*Main[[#This Row],[Qty]]</f>
        <v>149</v>
      </c>
      <c r="Z71">
        <f>_xlfn.XLOOKUP(Main[[#This Row],[Finca]], Fincas[Nombre], Fincas[ID])</f>
        <v>72</v>
      </c>
      <c r="AA71" t="str" cm="1">
        <f t="array" ref="AA7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1" s="2" t="s">
        <v>36</v>
      </c>
      <c r="AC71" s="278"/>
      <c r="AD71" s="245"/>
    </row>
    <row r="72" spans="1:30" x14ac:dyDescent="0.25">
      <c r="A72" s="37" t="s">
        <v>41</v>
      </c>
      <c r="B72" s="157">
        <v>1</v>
      </c>
      <c r="C72" s="157" t="s">
        <v>33</v>
      </c>
      <c r="D72" s="37">
        <v>125</v>
      </c>
      <c r="E72">
        <v>125</v>
      </c>
      <c r="F72" t="s">
        <v>96</v>
      </c>
      <c r="G72" t="str">
        <f>"25 Playa Blanca/25 Quicksand/25 Barista/25 Symbol/25 Cold Brew " &amp; _xlfn.XLOOKUP(Main[[#This Row],[FechaEntrega]], Guias[Fecha], Guias[Llegada])</f>
        <v>25 Playa Blanca/25 Quicksand/25 Barista/25 Symbol/25 Cold Brew (T/W)</v>
      </c>
      <c r="H72" s="1" t="s">
        <v>876</v>
      </c>
      <c r="I72" s="259">
        <v>0.55400000000000005</v>
      </c>
      <c r="J72" s="73">
        <f>_xlfn.LET(
  _xlpm.result, 1-((Main[[#This Row],[Cost]]+Main[[#This Row],[Duties]]+Main[[#This Row],[Transport]])/((Main[[#This Row],[Precio]]*0.96))),
  IF(_xlpm.result&lt;0, "BAJO", IF(_xlpm.result&gt;1, "ALTO", _xlpm.result))
)</f>
        <v>0.2755971337579618</v>
      </c>
      <c r="K72" s="135">
        <v>1.6881720430107527</v>
      </c>
      <c r="L72" s="33" t="str" cm="1">
        <f t="array" aca="1" ref="L7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72" s="156">
        <f>Guias!$B$3</f>
        <v>46296</v>
      </c>
      <c r="N72" s="234">
        <f>ROUNDUP((Main[[#This Row],[Cost]]*Main[[#This Row],[Import Duties]]),2)</f>
        <v>0.09</v>
      </c>
      <c r="O72">
        <v>0</v>
      </c>
      <c r="P72">
        <v>1</v>
      </c>
      <c r="Q72">
        <v>0</v>
      </c>
      <c r="R72" s="235">
        <f>ROUNDUP(Main[[#This Row],[Transport2]]/Main[[#This Row],[Cantidad_Min]],2)</f>
        <v>0.53</v>
      </c>
      <c r="S72">
        <f>_xlfn.XLOOKUP(Main[[#This Row],[Type of Box]], Cajas[Nombre], Cajas[Largo])</f>
        <v>99</v>
      </c>
      <c r="T72">
        <f>_xlfn.XLOOKUP(Main[[#This Row],[Type of Box]], Cajas[Nombre], Cajas[Ancho])</f>
        <v>35</v>
      </c>
      <c r="U72">
        <f>_xlfn.XLOOKUP(Main[[#This Row],[Type of Box]], Cajas[Nombre], Cajas[Alto])</f>
        <v>16</v>
      </c>
      <c r="V7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2">
        <f>ROUNDUP(((Main[[#This Row],[Volumen]]*5.25))*1.36,2)</f>
        <v>65.98</v>
      </c>
      <c r="X72" s="238">
        <v>0.15859999999999999</v>
      </c>
      <c r="Y72" s="260">
        <f>Main[[#This Row],[Cantidad_Min]]*Main[[#This Row],[Precio]]*Main[[#This Row],[Qty]]</f>
        <v>211.02150537634409</v>
      </c>
      <c r="Z72">
        <f>_xlfn.XLOOKUP(Main[[#This Row],[Finca]], Fincas[Nombre], Fincas[ID])</f>
        <v>38</v>
      </c>
      <c r="AA72" t="str" cm="1">
        <f t="array" ref="AA7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2" s="2" t="s">
        <v>36</v>
      </c>
      <c r="AC72" s="5"/>
      <c r="AD72" s="244"/>
    </row>
    <row r="73" spans="1:30" x14ac:dyDescent="0.25">
      <c r="A73" s="37" t="s">
        <v>41</v>
      </c>
      <c r="B73" s="157">
        <v>1</v>
      </c>
      <c r="C73" s="157" t="s">
        <v>33</v>
      </c>
      <c r="D73" s="37">
        <v>125</v>
      </c>
      <c r="E73">
        <v>125</v>
      </c>
      <c r="F73" t="s">
        <v>96</v>
      </c>
      <c r="G73" t="str">
        <f>"25 Playa Blanca/25 Quicksand/25 Barista/25 Symbol/25 Cold Brew " &amp; _xlfn.XLOOKUP(Main[[#This Row],[FechaEntrega]], Guias[Fecha], Guias[Llegada])</f>
        <v>25 Playa Blanca/25 Quicksand/25 Barista/25 Symbol/25 Cold Brew (T/W)</v>
      </c>
      <c r="H73" s="1" t="s">
        <v>877</v>
      </c>
      <c r="I73" s="259">
        <v>0.55400000000000005</v>
      </c>
      <c r="J73" s="73">
        <f>_xlfn.LET(
  _xlpm.result, 1-((Main[[#This Row],[Cost]]+Main[[#This Row],[Duties]]+Main[[#This Row],[Transport]])/((Main[[#This Row],[Precio]]*0.96))),
  IF(_xlpm.result&lt;0, "BAJO", IF(_xlpm.result&gt;1, "ALTO", _xlpm.result))
)</f>
        <v>0.2755971337579618</v>
      </c>
      <c r="K73" s="135">
        <v>1.6881720430107527</v>
      </c>
      <c r="L73" s="33" t="str" cm="1">
        <f t="array" aca="1" ref="L7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73" s="156">
        <f>Guias!$B$3</f>
        <v>46296</v>
      </c>
      <c r="N73" s="234">
        <f>ROUNDUP((Main[[#This Row],[Cost]]*Main[[#This Row],[Import Duties]]),2)</f>
        <v>0.09</v>
      </c>
      <c r="O73">
        <v>0</v>
      </c>
      <c r="P73">
        <v>1</v>
      </c>
      <c r="Q73">
        <v>0</v>
      </c>
      <c r="R73" s="235">
        <f>ROUNDUP(Main[[#This Row],[Transport2]]/Main[[#This Row],[Cantidad_Min]],2)</f>
        <v>0.53</v>
      </c>
      <c r="S73">
        <f>_xlfn.XLOOKUP(Main[[#This Row],[Type of Box]], Cajas[Nombre], Cajas[Largo])</f>
        <v>99</v>
      </c>
      <c r="T73">
        <f>_xlfn.XLOOKUP(Main[[#This Row],[Type of Box]], Cajas[Nombre], Cajas[Ancho])</f>
        <v>35</v>
      </c>
      <c r="U73">
        <f>_xlfn.XLOOKUP(Main[[#This Row],[Type of Box]], Cajas[Nombre], Cajas[Alto])</f>
        <v>16</v>
      </c>
      <c r="V7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3">
        <f>ROUNDUP(((Main[[#This Row],[Volumen]]*5.25))*1.36,2)</f>
        <v>65.98</v>
      </c>
      <c r="X73" s="238">
        <v>0.15859999999999999</v>
      </c>
      <c r="Y73" s="260">
        <f>Main[[#This Row],[Cantidad_Min]]*Main[[#This Row],[Precio]]*Main[[#This Row],[Qty]]</f>
        <v>211.02150537634409</v>
      </c>
      <c r="Z73">
        <f>_xlfn.XLOOKUP(Main[[#This Row],[Finca]], Fincas[Nombre], Fincas[ID])</f>
        <v>38</v>
      </c>
      <c r="AA73" t="str" cm="1">
        <f t="array" ref="AA7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3" s="2" t="s">
        <v>36</v>
      </c>
      <c r="AC73" s="31"/>
      <c r="AD73" s="246"/>
    </row>
    <row r="74" spans="1:30" x14ac:dyDescent="0.25">
      <c r="A74" s="37" t="s">
        <v>41</v>
      </c>
      <c r="B74" s="157">
        <v>2</v>
      </c>
      <c r="C74" s="157" t="s">
        <v>32</v>
      </c>
      <c r="D74" s="37">
        <v>50</v>
      </c>
      <c r="E74">
        <v>50</v>
      </c>
      <c r="F74" t="s">
        <v>35</v>
      </c>
      <c r="G74" t="str">
        <f>"25 Explorer/25 Red Panther " &amp; _xlfn.XLOOKUP(Main[[#This Row],[FechaEntrega]], Guias[Fecha], Guias[Llegada])</f>
        <v>25 Explorer/25 Red Panther (T/W)</v>
      </c>
      <c r="H74" s="1" t="s">
        <v>878</v>
      </c>
      <c r="I74" s="259">
        <v>0.36399999999999999</v>
      </c>
      <c r="J74" s="73">
        <f>_xlfn.LET(
  _xlpm.result, 1-((Main[[#This Row],[Cost]]+Main[[#This Row],[Duties]]+Main[[#This Row],[Transport]])/((Main[[#This Row],[Precio]]*0.96))),
  IF(_xlpm.result&lt;0, "BAJO", IF(_xlpm.result&gt;1, "ALTO", _xlpm.result))
)</f>
        <v>0.21942640692640691</v>
      </c>
      <c r="K74" s="135">
        <v>1.54</v>
      </c>
      <c r="L74" s="33" t="str" cm="1">
        <f t="array" aca="1" ref="L7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74" s="156">
        <f>Guias!$B$3</f>
        <v>46296</v>
      </c>
      <c r="N74" s="234">
        <f>ROUNDUP((Main[[#This Row],[Cost]]*Main[[#This Row],[Import Duties]]),2)</f>
        <v>6.0000000000000005E-2</v>
      </c>
      <c r="O74">
        <v>0</v>
      </c>
      <c r="P74">
        <v>1</v>
      </c>
      <c r="Q74">
        <v>0</v>
      </c>
      <c r="R74" s="235">
        <f>ROUNDUP(Main[[#This Row],[Transport2]]/Main[[#This Row],[Cantidad_Min]],2)</f>
        <v>0.73</v>
      </c>
      <c r="S74">
        <f>_xlfn.XLOOKUP(Main[[#This Row],[Type of Box]], Cajas[Nombre], Cajas[Largo])</f>
        <v>105</v>
      </c>
      <c r="T74">
        <f>_xlfn.XLOOKUP(Main[[#This Row],[Type of Box]], Cajas[Nombre], Cajas[Ancho])</f>
        <v>17</v>
      </c>
      <c r="U74">
        <f>_xlfn.XLOOKUP(Main[[#This Row],[Type of Box]], Cajas[Nombre], Cajas[Alto])</f>
        <v>17</v>
      </c>
      <c r="V7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4">
        <f>ROUNDUP(((Main[[#This Row],[Volumen]]*5.25))*1.36,2)</f>
        <v>36.119999999999997</v>
      </c>
      <c r="X74" s="238">
        <v>0.15859999999999999</v>
      </c>
      <c r="Y74" s="260">
        <f>Main[[#This Row],[Cantidad_Min]]*Main[[#This Row],[Precio]]*Main[[#This Row],[Qty]]</f>
        <v>154</v>
      </c>
      <c r="Z74">
        <f>_xlfn.XLOOKUP(Main[[#This Row],[Finca]], Fincas[Nombre], Fincas[ID])</f>
        <v>38</v>
      </c>
      <c r="AA74" t="str" cm="1">
        <f t="array" ref="AA7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4" s="2" t="s">
        <v>36</v>
      </c>
      <c r="AC74" s="5"/>
      <c r="AD74" s="244"/>
    </row>
    <row r="75" spans="1:30" x14ac:dyDescent="0.25">
      <c r="A75" s="37" t="s">
        <v>41</v>
      </c>
      <c r="B75" s="157">
        <v>2</v>
      </c>
      <c r="C75" s="157" t="s">
        <v>33</v>
      </c>
      <c r="D75" s="37">
        <v>125</v>
      </c>
      <c r="E75">
        <v>125</v>
      </c>
      <c r="F75" t="s">
        <v>35</v>
      </c>
      <c r="G75" t="str">
        <f>"25 Red Panther/25 Free Spirit/25 Yellow/25 V.I.Pink/25 Lavender " &amp; _xlfn.XLOOKUP(Main[[#This Row],[FechaEntrega]], Guias[Fecha], Guias[Llegada])</f>
        <v>25 Red Panther/25 Free Spirit/25 Yellow/25 V.I.Pink/25 Lavender (T/W)</v>
      </c>
      <c r="H75" s="1" t="s">
        <v>879</v>
      </c>
      <c r="I75" s="259">
        <v>0.38400000000000001</v>
      </c>
      <c r="J75" s="73">
        <f>_xlfn.LET(
  _xlpm.result, 1-((Main[[#This Row],[Cost]]+Main[[#This Row],[Duties]]+Main[[#This Row],[Transport]])/((Main[[#This Row],[Precio]]*0.96))),
  IF(_xlpm.result&lt;0, "BAJO", IF(_xlpm.result&gt;1, "ALTO", _xlpm.result))
)</f>
        <v>0.26104651162790693</v>
      </c>
      <c r="K75" s="135">
        <v>1.3870967741935483</v>
      </c>
      <c r="L75" s="33" t="str" cm="1">
        <f t="array" aca="1" ref="L7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75" s="156">
        <f>Guias!$B$3</f>
        <v>46296</v>
      </c>
      <c r="N75" s="234">
        <f>ROUNDUP((Main[[#This Row],[Cost]]*Main[[#This Row],[Import Duties]]),2)</f>
        <v>6.9999999999999993E-2</v>
      </c>
      <c r="O75">
        <v>0</v>
      </c>
      <c r="P75">
        <v>1</v>
      </c>
      <c r="Q75">
        <v>0</v>
      </c>
      <c r="R75" s="235">
        <f>ROUNDUP(Main[[#This Row],[Transport2]]/Main[[#This Row],[Cantidad_Min]],2)</f>
        <v>0.53</v>
      </c>
      <c r="S75">
        <f>_xlfn.XLOOKUP(Main[[#This Row],[Type of Box]], Cajas[Nombre], Cajas[Largo])</f>
        <v>99</v>
      </c>
      <c r="T75">
        <f>_xlfn.XLOOKUP(Main[[#This Row],[Type of Box]], Cajas[Nombre], Cajas[Ancho])</f>
        <v>35</v>
      </c>
      <c r="U75">
        <f>_xlfn.XLOOKUP(Main[[#This Row],[Type of Box]], Cajas[Nombre], Cajas[Alto])</f>
        <v>16</v>
      </c>
      <c r="V7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5">
        <f>ROUNDUP(((Main[[#This Row],[Volumen]]*5.25))*1.36,2)</f>
        <v>65.98</v>
      </c>
      <c r="X75" s="238">
        <v>0.15859999999999999</v>
      </c>
      <c r="Y75" s="260">
        <f>Main[[#This Row],[Cantidad_Min]]*Main[[#This Row],[Precio]]*Main[[#This Row],[Qty]]</f>
        <v>346.77419354838707</v>
      </c>
      <c r="Z75">
        <f>_xlfn.XLOOKUP(Main[[#This Row],[Finca]], Fincas[Nombre], Fincas[ID])</f>
        <v>38</v>
      </c>
      <c r="AA75" t="str" cm="1">
        <f t="array" ref="AA7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5" s="2" t="s">
        <v>36</v>
      </c>
      <c r="AC75" s="5"/>
      <c r="AD75" s="244"/>
    </row>
    <row r="76" spans="1:30" x14ac:dyDescent="0.25">
      <c r="A76" s="37" t="s">
        <v>34</v>
      </c>
      <c r="B76" s="157">
        <v>1</v>
      </c>
      <c r="C76" s="157" t="s">
        <v>33</v>
      </c>
      <c r="D76" s="37">
        <v>100</v>
      </c>
      <c r="E76">
        <v>100</v>
      </c>
      <c r="F76" t="s">
        <v>38</v>
      </c>
      <c r="G76" t="str">
        <f>"25 Deep Purple/25 Yellow/25 Free Spirit/25 Lola " &amp; _xlfn.XLOOKUP(Main[[#This Row],[FechaEntrega]], Guias[Fecha], Guias[Llegada])</f>
        <v>25 Deep Purple/25 Yellow/25 Free Spirit/25 Lola (M/T)</v>
      </c>
      <c r="H76" s="1" t="s">
        <v>880</v>
      </c>
      <c r="I76" s="259">
        <v>0.36</v>
      </c>
      <c r="J76" s="73">
        <f>_xlfn.LET(
  _xlpm.result, 1-((Main[[#This Row],[Cost]]+Main[[#This Row],[Duties]]+Main[[#This Row],[Transport]])/((Main[[#This Row],[Precio]]*0.96))),
  IF(_xlpm.result&lt;0, "BAJO", IF(_xlpm.result&gt;1, "ALTO", _xlpm.result))
)</f>
        <v>0.27419354838709675</v>
      </c>
      <c r="K76" s="135">
        <v>1.55</v>
      </c>
      <c r="L76" s="33" t="str" cm="1">
        <f t="array" aca="1" ref="L7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76" s="156">
        <f>Guias!$B$2</f>
        <v>46295</v>
      </c>
      <c r="N76" s="234">
        <f>ROUNDUP((Main[[#This Row],[Cost]]*Main[[#This Row],[Import Duties]]),2)</f>
        <v>6.0000000000000005E-2</v>
      </c>
      <c r="O76">
        <v>0</v>
      </c>
      <c r="P76">
        <v>1</v>
      </c>
      <c r="Q76">
        <v>0</v>
      </c>
      <c r="R76" s="235">
        <f>ROUNDUP(Main[[#This Row],[Transport2]]/Main[[#This Row],[Cantidad_Min]],2)</f>
        <v>0.66</v>
      </c>
      <c r="S76">
        <f>_xlfn.XLOOKUP(Main[[#This Row],[Type of Box]], Cajas[Nombre], Cajas[Largo])</f>
        <v>99</v>
      </c>
      <c r="T76">
        <f>_xlfn.XLOOKUP(Main[[#This Row],[Type of Box]], Cajas[Nombre], Cajas[Ancho])</f>
        <v>35</v>
      </c>
      <c r="U76">
        <f>_xlfn.XLOOKUP(Main[[#This Row],[Type of Box]], Cajas[Nombre], Cajas[Alto])</f>
        <v>16</v>
      </c>
      <c r="V7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6">
        <f>ROUNDUP(((Main[[#This Row],[Volumen]]*5.25))*1.36,2)</f>
        <v>65.98</v>
      </c>
      <c r="X76" s="238">
        <v>0.15859999999999999</v>
      </c>
      <c r="Y76" s="260">
        <f>Main[[#This Row],[Cantidad_Min]]*Main[[#This Row],[Precio]]*Main[[#This Row],[Qty]]</f>
        <v>155</v>
      </c>
      <c r="Z76">
        <f>_xlfn.XLOOKUP(Main[[#This Row],[Finca]], Fincas[Nombre], Fincas[ID])</f>
        <v>72</v>
      </c>
      <c r="AA76" t="str" cm="1">
        <f t="array" ref="AA7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6" s="2" t="s">
        <v>36</v>
      </c>
      <c r="AC76" s="278"/>
      <c r="AD76" s="245"/>
    </row>
    <row r="77" spans="1:30" x14ac:dyDescent="0.25">
      <c r="A77" s="37" t="s">
        <v>34</v>
      </c>
      <c r="B77" s="157">
        <v>1</v>
      </c>
      <c r="C77" s="157" t="s">
        <v>32</v>
      </c>
      <c r="D77" s="37">
        <v>50</v>
      </c>
      <c r="E77">
        <v>50</v>
      </c>
      <c r="F77" t="s">
        <v>79</v>
      </c>
      <c r="G77" t="str">
        <f>"30 Rosanella/20 Jeanine " &amp; _xlfn.XLOOKUP(Main[[#This Row],[FechaEntrega]], Guias[Fecha], Guias[Llegada])</f>
        <v>30 Rosanella/20 Jeanine (M/T)</v>
      </c>
      <c r="H77" s="1" t="s">
        <v>881</v>
      </c>
      <c r="I77" s="259">
        <v>0.51</v>
      </c>
      <c r="J77" s="73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77" s="135">
        <v>1.79</v>
      </c>
      <c r="L77" s="33" t="str" cm="1">
        <f t="array" aca="1" ref="L7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77" s="156">
        <f>Guias!$B$2</f>
        <v>46295</v>
      </c>
      <c r="N77" s="234">
        <f>ROUNDUP((Main[[#This Row],[Cost]]*Main[[#This Row],[Import Duties]]),2)</f>
        <v>0.09</v>
      </c>
      <c r="O77">
        <v>0</v>
      </c>
      <c r="P77">
        <v>1</v>
      </c>
      <c r="Q77">
        <v>0</v>
      </c>
      <c r="R77" s="235">
        <f>ROUNDUP(Main[[#This Row],[Transport2]]/Main[[#This Row],[Cantidad_Min]],2)</f>
        <v>0.73</v>
      </c>
      <c r="S77">
        <f>_xlfn.XLOOKUP(Main[[#This Row],[Type of Box]], Cajas[Nombre], Cajas[Largo])</f>
        <v>105</v>
      </c>
      <c r="T77">
        <f>_xlfn.XLOOKUP(Main[[#This Row],[Type of Box]], Cajas[Nombre], Cajas[Ancho])</f>
        <v>17</v>
      </c>
      <c r="U77">
        <f>_xlfn.XLOOKUP(Main[[#This Row],[Type of Box]], Cajas[Nombre], Cajas[Alto])</f>
        <v>17</v>
      </c>
      <c r="V7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7">
        <f>ROUNDUP(((Main[[#This Row],[Volumen]]*5.25))*1.36,2)</f>
        <v>36.119999999999997</v>
      </c>
      <c r="X77" s="238">
        <v>0.15859999999999999</v>
      </c>
      <c r="Y77" s="260">
        <f>Main[[#This Row],[Cantidad_Min]]*Main[[#This Row],[Precio]]*Main[[#This Row],[Qty]]</f>
        <v>89.5</v>
      </c>
      <c r="Z77">
        <f>_xlfn.XLOOKUP(Main[[#This Row],[Finca]], Fincas[Nombre], Fincas[ID])</f>
        <v>72</v>
      </c>
      <c r="AA77" t="str" cm="1">
        <f t="array" ref="AA7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7" s="2" t="s">
        <v>36</v>
      </c>
      <c r="AC77" s="278"/>
      <c r="AD77" s="248"/>
    </row>
    <row r="78" spans="1:30" x14ac:dyDescent="0.25">
      <c r="A78" s="37" t="s">
        <v>34</v>
      </c>
      <c r="B78" s="157">
        <v>1</v>
      </c>
      <c r="C78" s="157" t="s">
        <v>32</v>
      </c>
      <c r="D78" s="37">
        <v>55</v>
      </c>
      <c r="E78">
        <v>55</v>
      </c>
      <c r="F78" t="s">
        <v>98</v>
      </c>
      <c r="G78" t="str">
        <f>"25 Playa Blanca/30 Jeanine " &amp; _xlfn.XLOOKUP(Main[[#This Row],[FechaEntrega]], Guias[Fecha], Guias[Llegada])</f>
        <v>25 Playa Blanca/30 Jeanine (T/W)</v>
      </c>
      <c r="H78" s="1" t="s">
        <v>882</v>
      </c>
      <c r="I78" s="259">
        <v>0.51</v>
      </c>
      <c r="J78" s="73">
        <f>_xlfn.LET(
  _xlpm.result, 1-((Main[[#This Row],[Cost]]+Main[[#This Row],[Duties]]+Main[[#This Row],[Transport]])/((Main[[#This Row],[Precio]]*0.96))),
  IF(_xlpm.result&lt;0, "BAJO", IF(_xlpm.result&gt;1, "ALTO", _xlpm.result))
)</f>
        <v>0.26675977653631278</v>
      </c>
      <c r="K78" s="135">
        <v>1.79</v>
      </c>
      <c r="L78" s="33" t="str" cm="1">
        <f t="array" aca="1" ref="L7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78" s="156">
        <f>Guias!$B$3</f>
        <v>46296</v>
      </c>
      <c r="N78" s="234">
        <f>ROUNDUP((Main[[#This Row],[Cost]]*Main[[#This Row],[Import Duties]]),2)</f>
        <v>0.09</v>
      </c>
      <c r="O78">
        <v>0</v>
      </c>
      <c r="P78">
        <v>1</v>
      </c>
      <c r="Q78">
        <v>0</v>
      </c>
      <c r="R78" s="235">
        <f>ROUNDUP(Main[[#This Row],[Transport2]]/Main[[#This Row],[Cantidad_Min]],2)</f>
        <v>0.66</v>
      </c>
      <c r="S78">
        <f>_xlfn.XLOOKUP(Main[[#This Row],[Type of Box]], Cajas[Nombre], Cajas[Largo])</f>
        <v>105</v>
      </c>
      <c r="T78">
        <f>_xlfn.XLOOKUP(Main[[#This Row],[Type of Box]], Cajas[Nombre], Cajas[Ancho])</f>
        <v>17</v>
      </c>
      <c r="U78">
        <f>_xlfn.XLOOKUP(Main[[#This Row],[Type of Box]], Cajas[Nombre], Cajas[Alto])</f>
        <v>17</v>
      </c>
      <c r="V7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8">
        <f>ROUNDUP(((Main[[#This Row],[Volumen]]*5.25))*1.36,2)</f>
        <v>36.119999999999997</v>
      </c>
      <c r="X78" s="238">
        <v>0.15859999999999999</v>
      </c>
      <c r="Y78" s="260">
        <f>Main[[#This Row],[Cantidad_Min]]*Main[[#This Row],[Precio]]*Main[[#This Row],[Qty]]</f>
        <v>98.45</v>
      </c>
      <c r="Z78">
        <f>_xlfn.XLOOKUP(Main[[#This Row],[Finca]], Fincas[Nombre], Fincas[ID])</f>
        <v>72</v>
      </c>
      <c r="AA78" t="str" cm="1">
        <f t="array" ref="AA7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8" s="2" t="s">
        <v>36</v>
      </c>
      <c r="AC78" s="276"/>
      <c r="AD78" s="248"/>
    </row>
    <row r="79" spans="1:30" x14ac:dyDescent="0.25">
      <c r="A79" s="37" t="s">
        <v>54</v>
      </c>
      <c r="B79" s="157">
        <v>1</v>
      </c>
      <c r="C79" s="157" t="s">
        <v>33</v>
      </c>
      <c r="D79" s="37">
        <v>125</v>
      </c>
      <c r="E79">
        <v>125</v>
      </c>
      <c r="F79" t="s">
        <v>35</v>
      </c>
      <c r="G79" t="str">
        <f>"25 Madam Red/25 Shocking Blue/25 Madam Cerise/25 Peach Wave/25 Vendela " &amp; _xlfn.XLOOKUP(Main[[#This Row],[FechaEntrega]], Guias[Fecha], Guias[Llegada])</f>
        <v>25 Madam Red/25 Shocking Blue/25 Madam Cerise/25 Peach Wave/25 Vendela (T/W)</v>
      </c>
      <c r="H79" s="1" t="s">
        <v>883</v>
      </c>
      <c r="I79" s="259">
        <v>0.38</v>
      </c>
      <c r="J79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79" s="135">
        <v>1.39</v>
      </c>
      <c r="L79" s="33" t="str" cm="1">
        <f t="array" aca="1" ref="L7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79" s="156">
        <f>Guias!$B$3</f>
        <v>46296</v>
      </c>
      <c r="N79" s="234">
        <f>ROUNDUP((Main[[#This Row],[Cost]]*Main[[#This Row],[Import Duties]]),2)</f>
        <v>6.9999999999999993E-2</v>
      </c>
      <c r="O79">
        <v>0</v>
      </c>
      <c r="P79">
        <v>1</v>
      </c>
      <c r="Q79">
        <v>0</v>
      </c>
      <c r="R79" s="235">
        <f>ROUNDUP(Main[[#This Row],[Transport2]]/Main[[#This Row],[Cantidad_Min]],2)</f>
        <v>0.53</v>
      </c>
      <c r="S79">
        <f>_xlfn.XLOOKUP(Main[[#This Row],[Type of Box]], Cajas[Nombre], Cajas[Largo])</f>
        <v>99</v>
      </c>
      <c r="T79">
        <f>_xlfn.XLOOKUP(Main[[#This Row],[Type of Box]], Cajas[Nombre], Cajas[Ancho])</f>
        <v>35</v>
      </c>
      <c r="U79">
        <f>_xlfn.XLOOKUP(Main[[#This Row],[Type of Box]], Cajas[Nombre], Cajas[Alto])</f>
        <v>16</v>
      </c>
      <c r="V7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9">
        <f>ROUNDUP(((Main[[#This Row],[Volumen]]*5.25))*1.36,2)</f>
        <v>65.98</v>
      </c>
      <c r="X79" s="238">
        <v>0.15859999999999999</v>
      </c>
      <c r="Y79" s="260">
        <f>Main[[#This Row],[Cantidad_Min]]*Main[[#This Row],[Precio]]*Main[[#This Row],[Qty]]</f>
        <v>173.75</v>
      </c>
      <c r="Z79">
        <f>_xlfn.XLOOKUP(Main[[#This Row],[Finca]], Fincas[Nombre], Fincas[ID])</f>
        <v>58</v>
      </c>
      <c r="AA79" t="str" cm="1">
        <f t="array" ref="AA7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9" s="2" t="s">
        <v>36</v>
      </c>
      <c r="AC79" s="5"/>
      <c r="AD79" s="246"/>
    </row>
    <row r="80" spans="1:30" x14ac:dyDescent="0.25">
      <c r="A80" s="37" t="s">
        <v>54</v>
      </c>
      <c r="B80" s="157">
        <v>2</v>
      </c>
      <c r="C80" s="157" t="s">
        <v>33</v>
      </c>
      <c r="D80" s="37">
        <v>125</v>
      </c>
      <c r="E80">
        <v>125</v>
      </c>
      <c r="F80" t="s">
        <v>46</v>
      </c>
      <c r="G80" t="str">
        <f>"25 Country Blues/25 Freedom/25 Goldfinch/25 Matchpoint/25 Orange Crush " &amp; _xlfn.XLOOKUP(Main[[#This Row],[FechaEntrega]], Guias[Fecha], Guias[Llegada])</f>
        <v>25 Country Blues/25 Freedom/25 Goldfinch/25 Matchpoint/25 Orange Crush (T/W)</v>
      </c>
      <c r="H80" s="1" t="s">
        <v>884</v>
      </c>
      <c r="I80" s="259">
        <v>0.4</v>
      </c>
      <c r="J80" s="73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80" s="135">
        <v>1.39</v>
      </c>
      <c r="L80" s="33" t="str" cm="1">
        <f t="array" aca="1" ref="L8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80" s="156">
        <f>Guias!$B$3</f>
        <v>46296</v>
      </c>
      <c r="N80" s="234">
        <f>ROUNDUP((Main[[#This Row],[Cost]]*Main[[#This Row],[Import Duties]]),2)</f>
        <v>6.9999999999999993E-2</v>
      </c>
      <c r="O80">
        <v>0</v>
      </c>
      <c r="P80">
        <v>1</v>
      </c>
      <c r="Q80">
        <v>0</v>
      </c>
      <c r="R80" s="235">
        <f>ROUNDUP(Main[[#This Row],[Transport2]]/Main[[#This Row],[Cantidad_Min]],2)</f>
        <v>0.53</v>
      </c>
      <c r="S80">
        <f>_xlfn.XLOOKUP(Main[[#This Row],[Type of Box]], Cajas[Nombre], Cajas[Largo])</f>
        <v>99</v>
      </c>
      <c r="T80">
        <f>_xlfn.XLOOKUP(Main[[#This Row],[Type of Box]], Cajas[Nombre], Cajas[Ancho])</f>
        <v>35</v>
      </c>
      <c r="U80">
        <f>_xlfn.XLOOKUP(Main[[#This Row],[Type of Box]], Cajas[Nombre], Cajas[Alto])</f>
        <v>16</v>
      </c>
      <c r="V8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0">
        <f>ROUNDUP(((Main[[#This Row],[Volumen]]*5.25))*1.36,2)</f>
        <v>65.98</v>
      </c>
      <c r="X80" s="238">
        <v>0.15859999999999999</v>
      </c>
      <c r="Y80" s="260">
        <f>Main[[#This Row],[Cantidad_Min]]*Main[[#This Row],[Precio]]*Main[[#This Row],[Qty]]</f>
        <v>347.5</v>
      </c>
      <c r="Z80">
        <f>_xlfn.XLOOKUP(Main[[#This Row],[Finca]], Fincas[Nombre], Fincas[ID])</f>
        <v>58</v>
      </c>
      <c r="AA80" t="str" cm="1">
        <f t="array" ref="AA8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0" s="2" t="s">
        <v>36</v>
      </c>
      <c r="AC80" s="5"/>
      <c r="AD80" s="246"/>
    </row>
    <row r="81" spans="1:30" x14ac:dyDescent="0.25">
      <c r="A81" s="37" t="s">
        <v>54</v>
      </c>
      <c r="B81" s="157">
        <v>2</v>
      </c>
      <c r="C81" s="157" t="s">
        <v>33</v>
      </c>
      <c r="D81" s="37">
        <v>125</v>
      </c>
      <c r="E81">
        <v>125</v>
      </c>
      <c r="F81" t="s">
        <v>35</v>
      </c>
      <c r="G81" t="str">
        <f>"Orange Crush/Madame Red/Matchpoint/Shocking Blue/Peach Wave " &amp; _xlfn.XLOOKUP(Main[[#This Row],[FechaEntrega]], Guias[Fecha], Guias[Llegada])</f>
        <v>Orange Crush/Madame Red/Matchpoint/Shocking Blue/Peach Wave (T/W)</v>
      </c>
      <c r="H81" s="1" t="s">
        <v>885</v>
      </c>
      <c r="I81" s="259">
        <v>0.38</v>
      </c>
      <c r="J81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81" s="135">
        <v>1.39</v>
      </c>
      <c r="L81" s="33" t="str" cm="1">
        <f t="array" aca="1" ref="L8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81" s="156">
        <f>Guias!$B$3</f>
        <v>46296</v>
      </c>
      <c r="N81" s="234">
        <f>ROUNDUP((Main[[#This Row],[Cost]]*Main[[#This Row],[Import Duties]]),2)</f>
        <v>6.9999999999999993E-2</v>
      </c>
      <c r="O81">
        <v>0</v>
      </c>
      <c r="P81">
        <v>1</v>
      </c>
      <c r="Q81">
        <v>0</v>
      </c>
      <c r="R81" s="235">
        <f>ROUNDUP(Main[[#This Row],[Transport2]]/Main[[#This Row],[Cantidad_Min]],2)</f>
        <v>0.53</v>
      </c>
      <c r="S81">
        <f>_xlfn.XLOOKUP(Main[[#This Row],[Type of Box]], Cajas[Nombre], Cajas[Largo])</f>
        <v>99</v>
      </c>
      <c r="T81">
        <f>_xlfn.XLOOKUP(Main[[#This Row],[Type of Box]], Cajas[Nombre], Cajas[Ancho])</f>
        <v>35</v>
      </c>
      <c r="U81">
        <f>_xlfn.XLOOKUP(Main[[#This Row],[Type of Box]], Cajas[Nombre], Cajas[Alto])</f>
        <v>16</v>
      </c>
      <c r="V8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1">
        <f>ROUNDUP(((Main[[#This Row],[Volumen]]*5.25))*1.36,2)</f>
        <v>65.98</v>
      </c>
      <c r="X81" s="238">
        <v>0.15859999999999999</v>
      </c>
      <c r="Y81" s="260">
        <f>Main[[#This Row],[Cantidad_Min]]*Main[[#This Row],[Precio]]*Main[[#This Row],[Qty]]</f>
        <v>347.5</v>
      </c>
      <c r="Z81">
        <f>_xlfn.XLOOKUP(Main[[#This Row],[Finca]], Fincas[Nombre], Fincas[ID])</f>
        <v>58</v>
      </c>
      <c r="AA81" t="str" cm="1">
        <f t="array" ref="AA8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1" s="2" t="s">
        <v>36</v>
      </c>
      <c r="AC81" s="5"/>
      <c r="AD81" s="246"/>
    </row>
    <row r="82" spans="1:30" x14ac:dyDescent="0.25">
      <c r="A82" s="37" t="s">
        <v>54</v>
      </c>
      <c r="B82" s="157">
        <v>2</v>
      </c>
      <c r="C82" s="157" t="s">
        <v>33</v>
      </c>
      <c r="D82" s="37">
        <v>125</v>
      </c>
      <c r="E82">
        <v>125</v>
      </c>
      <c r="F82" t="s">
        <v>35</v>
      </c>
      <c r="G82" t="str">
        <f>"Madame Cerise/Vendela/Goldfinch/Freedom/Country Blues " &amp; _xlfn.XLOOKUP(Main[[#This Row],[FechaEntrega]], Guias[Fecha], Guias[Llegada])</f>
        <v>Madame Cerise/Vendela/Goldfinch/Freedom/Country Blues (T/W)</v>
      </c>
      <c r="H82" s="1" t="s">
        <v>886</v>
      </c>
      <c r="I82" s="259">
        <v>0.38</v>
      </c>
      <c r="J82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82" s="135">
        <v>1.39</v>
      </c>
      <c r="L82" s="33" t="str" cm="1">
        <f t="array" aca="1" ref="L8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82" s="156">
        <f>Guias!$B$3</f>
        <v>46296</v>
      </c>
      <c r="N82" s="234">
        <f>ROUNDUP((Main[[#This Row],[Cost]]*Main[[#This Row],[Import Duties]]),2)</f>
        <v>6.9999999999999993E-2</v>
      </c>
      <c r="O82">
        <v>0</v>
      </c>
      <c r="P82">
        <v>1</v>
      </c>
      <c r="Q82">
        <v>0</v>
      </c>
      <c r="R82" s="235">
        <f>ROUNDUP(Main[[#This Row],[Transport2]]/Main[[#This Row],[Cantidad_Min]],2)</f>
        <v>0.53</v>
      </c>
      <c r="S82">
        <f>_xlfn.XLOOKUP(Main[[#This Row],[Type of Box]], Cajas[Nombre], Cajas[Largo])</f>
        <v>99</v>
      </c>
      <c r="T82">
        <f>_xlfn.XLOOKUP(Main[[#This Row],[Type of Box]], Cajas[Nombre], Cajas[Ancho])</f>
        <v>35</v>
      </c>
      <c r="U82">
        <f>_xlfn.XLOOKUP(Main[[#This Row],[Type of Box]], Cajas[Nombre], Cajas[Alto])</f>
        <v>16</v>
      </c>
      <c r="V8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2">
        <f>ROUNDUP(((Main[[#This Row],[Volumen]]*5.25))*1.36,2)</f>
        <v>65.98</v>
      </c>
      <c r="X82" s="238">
        <v>0.15859999999999999</v>
      </c>
      <c r="Y82" s="260">
        <f>Main[[#This Row],[Cantidad_Min]]*Main[[#This Row],[Precio]]*Main[[#This Row],[Qty]]</f>
        <v>347.5</v>
      </c>
      <c r="Z82">
        <f>_xlfn.XLOOKUP(Main[[#This Row],[Finca]], Fincas[Nombre], Fincas[ID])</f>
        <v>58</v>
      </c>
      <c r="AA82" t="str" cm="1">
        <f t="array" ref="AA8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2" s="2" t="s">
        <v>36</v>
      </c>
      <c r="AC82" s="5"/>
      <c r="AD82" s="246"/>
    </row>
    <row r="83" spans="1:30" x14ac:dyDescent="0.25">
      <c r="A83" s="37" t="s">
        <v>41</v>
      </c>
      <c r="B83" s="157">
        <v>1</v>
      </c>
      <c r="C83" s="157" t="s">
        <v>32</v>
      </c>
      <c r="D83" s="37">
        <v>55</v>
      </c>
      <c r="E83">
        <v>55</v>
      </c>
      <c r="F83" t="s">
        <v>98</v>
      </c>
      <c r="G83" t="str">
        <f>"25 Playa Blanca/30 Jeanine " &amp; _xlfn.XLOOKUP(Main[[#This Row],[FechaEntrega]], Guias[Fecha], Guias[Llegada])</f>
        <v>25 Playa Blanca/30 Jeanine (T/W)</v>
      </c>
      <c r="H83" s="1" t="s">
        <v>887</v>
      </c>
      <c r="I83" s="259">
        <v>0.54</v>
      </c>
      <c r="J83" s="73">
        <f>_xlfn.LET(
  _xlpm.result, 1-((Main[[#This Row],[Cost]]+Main[[#This Row],[Duties]]+Main[[#This Row],[Transport]])/((Main[[#This Row],[Precio]]*0.96))),
  IF(_xlpm.result&lt;0, "BAJO", IF(_xlpm.result&gt;1, "ALTO", _xlpm.result))
)</f>
        <v>0.24930167597765363</v>
      </c>
      <c r="K83" s="135">
        <v>1.79</v>
      </c>
      <c r="L83" s="33" t="str" cm="1">
        <f t="array" aca="1" ref="L8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83" s="156">
        <f>Guias!$B$3</f>
        <v>46296</v>
      </c>
      <c r="N83" s="234">
        <f>ROUNDUP((Main[[#This Row],[Cost]]*Main[[#This Row],[Import Duties]]),2)</f>
        <v>0.09</v>
      </c>
      <c r="O83">
        <v>0</v>
      </c>
      <c r="P83">
        <v>1</v>
      </c>
      <c r="Q83">
        <v>0</v>
      </c>
      <c r="R83" s="235">
        <f>ROUNDUP(Main[[#This Row],[Transport2]]/Main[[#This Row],[Cantidad_Min]],2)</f>
        <v>0.66</v>
      </c>
      <c r="S83">
        <f>_xlfn.XLOOKUP(Main[[#This Row],[Type of Box]], Cajas[Nombre], Cajas[Largo])</f>
        <v>105</v>
      </c>
      <c r="T83">
        <f>_xlfn.XLOOKUP(Main[[#This Row],[Type of Box]], Cajas[Nombre], Cajas[Ancho])</f>
        <v>17</v>
      </c>
      <c r="U83">
        <f>_xlfn.XLOOKUP(Main[[#This Row],[Type of Box]], Cajas[Nombre], Cajas[Alto])</f>
        <v>17</v>
      </c>
      <c r="V8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3">
        <f>ROUNDUP(((Main[[#This Row],[Volumen]]*5.25))*1.36,2)</f>
        <v>36.119999999999997</v>
      </c>
      <c r="X83" s="238">
        <v>0.15859999999999999</v>
      </c>
      <c r="Y83" s="260">
        <f>Main[[#This Row],[Cantidad_Min]]*Main[[#This Row],[Precio]]*Main[[#This Row],[Qty]]</f>
        <v>98.45</v>
      </c>
      <c r="Z83">
        <f>_xlfn.XLOOKUP(Main[[#This Row],[Finca]], Fincas[Nombre], Fincas[ID])</f>
        <v>38</v>
      </c>
      <c r="AA83" t="str" cm="1">
        <f t="array" ref="AA8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3" s="2" t="s">
        <v>36</v>
      </c>
      <c r="AC83" s="5"/>
      <c r="AD83" s="244"/>
    </row>
    <row r="84" spans="1:30" x14ac:dyDescent="0.25">
      <c r="A84" s="161" t="s">
        <v>99</v>
      </c>
      <c r="B84" s="162">
        <v>1</v>
      </c>
      <c r="C84" s="162" t="s">
        <v>32</v>
      </c>
      <c r="D84" s="161">
        <v>1</v>
      </c>
      <c r="E84" s="261">
        <v>1</v>
      </c>
      <c r="F84" s="261" t="s">
        <v>100</v>
      </c>
      <c r="G84" t="str">
        <f>"Ran. Pompon/Limonium/Statice/Freesia/Delph/Dianthus/Sp. Roses x 120 " &amp; _xlfn.XLOOKUP(Main[[#This Row],[FechaEntrega]], Guias[Fecha], Guias[Llegada])</f>
        <v>Ran. Pompon/Limonium/Statice/Freesia/Delph/Dianthus/Sp. Roses x 120 (T/W)</v>
      </c>
      <c r="H84" s="1" t="s">
        <v>888</v>
      </c>
      <c r="I84" s="259">
        <v>46</v>
      </c>
      <c r="J84" s="73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84" s="135">
        <v>129.98924731182797</v>
      </c>
      <c r="L84" s="33" t="str" cm="1">
        <f t="array" aca="1" ref="L8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84" s="156">
        <f>Guias!$B$3</f>
        <v>46296</v>
      </c>
      <c r="N84" s="234">
        <f>ROUNDUP((Main[[#This Row],[Cost]]*Main[[#This Row],[Import Duties]]),2)</f>
        <v>7.3</v>
      </c>
      <c r="O84">
        <v>0</v>
      </c>
      <c r="P84">
        <v>1</v>
      </c>
      <c r="Q84">
        <v>0</v>
      </c>
      <c r="R84" s="235">
        <f>ROUNDUP(Main[[#This Row],[Transport2]]/Main[[#This Row],[Cantidad_Min]],2)</f>
        <v>36.119999999999997</v>
      </c>
      <c r="S84">
        <f>_xlfn.XLOOKUP(Main[[#This Row],[Type of Box]], Cajas[Nombre], Cajas[Largo])</f>
        <v>105</v>
      </c>
      <c r="T84">
        <f>_xlfn.XLOOKUP(Main[[#This Row],[Type of Box]], Cajas[Nombre], Cajas[Ancho])</f>
        <v>17</v>
      </c>
      <c r="U84">
        <f>_xlfn.XLOOKUP(Main[[#This Row],[Type of Box]], Cajas[Nombre], Cajas[Alto])</f>
        <v>17</v>
      </c>
      <c r="V8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4">
        <f>ROUNDUP(((Main[[#This Row],[Volumen]]*5.25))*1.36,2)</f>
        <v>36.119999999999997</v>
      </c>
      <c r="X84" s="238">
        <v>0.15859999999999999</v>
      </c>
      <c r="Y84" s="260">
        <f>Main[[#This Row],[Cantidad_Min]]*Main[[#This Row],[Precio]]*Main[[#This Row],[Qty]]</f>
        <v>129.98924731182797</v>
      </c>
      <c r="Z84">
        <f>_xlfn.XLOOKUP(Main[[#This Row],[Finca]], Fincas[Nombre], Fincas[ID])</f>
        <v>77</v>
      </c>
      <c r="AA84" t="str" cm="1">
        <f t="array" ref="AA8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84" s="2" t="s">
        <v>36</v>
      </c>
      <c r="AC84" s="5" t="s">
        <v>101</v>
      </c>
      <c r="AD84" s="244" t="s">
        <v>72</v>
      </c>
    </row>
    <row r="85" spans="1:30" x14ac:dyDescent="0.25">
      <c r="A85" s="161" t="s">
        <v>99</v>
      </c>
      <c r="B85" s="162">
        <v>1</v>
      </c>
      <c r="C85" s="162" t="s">
        <v>32</v>
      </c>
      <c r="D85" s="161">
        <v>1</v>
      </c>
      <c r="E85" s="261">
        <v>1</v>
      </c>
      <c r="F85" s="261" t="s">
        <v>102</v>
      </c>
      <c r="G85" t="str">
        <f>"Mix x 120 " &amp; _xlfn.XLOOKUP(Main[[#This Row],[FechaEntrega]], Guias[Fecha], Guias[Llegada])</f>
        <v>Mix x 120 (M/T)</v>
      </c>
      <c r="H85" s="1" t="s">
        <v>889</v>
      </c>
      <c r="I85" s="259">
        <v>34.700000000000003</v>
      </c>
      <c r="J85" s="73">
        <f>_xlfn.LET(
  _xlpm.result, 1-((Main[[#This Row],[Cost]]+Main[[#This Row],[Duties]]+Main[[#This Row],[Transport]])/((Main[[#This Row],[Precio]]*0.96))),
  IF(_xlpm.result&lt;0, "BAJO", IF(_xlpm.result&gt;1, "ALTO", _xlpm.result))
)</f>
        <v>0.45161447915948227</v>
      </c>
      <c r="K85" s="135">
        <v>144.99</v>
      </c>
      <c r="L85" s="33" t="str" cm="1">
        <f t="array" aca="1" ref="L8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85" s="156">
        <f>Guias!$B$2</f>
        <v>46295</v>
      </c>
      <c r="N85" s="234">
        <f>ROUNDUP((Main[[#This Row],[Cost]]*Main[[#This Row],[Import Duties]]),2)</f>
        <v>5.51</v>
      </c>
      <c r="O85">
        <v>0</v>
      </c>
      <c r="P85">
        <v>1</v>
      </c>
      <c r="Q85">
        <v>0</v>
      </c>
      <c r="R85" s="235">
        <f>ROUNDUP(Main[[#This Row],[Transport2]]/Main[[#This Row],[Cantidad_Min]],2)</f>
        <v>36.119999999999997</v>
      </c>
      <c r="S85">
        <f>_xlfn.XLOOKUP(Main[[#This Row],[Type of Box]], Cajas[Nombre], Cajas[Largo])</f>
        <v>105</v>
      </c>
      <c r="T85">
        <f>_xlfn.XLOOKUP(Main[[#This Row],[Type of Box]], Cajas[Nombre], Cajas[Ancho])</f>
        <v>17</v>
      </c>
      <c r="U85">
        <f>_xlfn.XLOOKUP(Main[[#This Row],[Type of Box]], Cajas[Nombre], Cajas[Alto])</f>
        <v>17</v>
      </c>
      <c r="V8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5">
        <f>ROUNDUP(((Main[[#This Row],[Volumen]]*5.25))*1.36,2)</f>
        <v>36.119999999999997</v>
      </c>
      <c r="X85" s="238">
        <v>0.15859999999999999</v>
      </c>
      <c r="Y85" s="260">
        <f>Main[[#This Row],[Cantidad_Min]]*Main[[#This Row],[Precio]]*Main[[#This Row],[Qty]]</f>
        <v>144.99</v>
      </c>
      <c r="Z85">
        <f>_xlfn.XLOOKUP(Main[[#This Row],[Finca]], Fincas[Nombre], Fincas[ID])</f>
        <v>77</v>
      </c>
      <c r="AA85" t="str" cm="1">
        <f t="array" ref="AA8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85" s="2" t="s">
        <v>36</v>
      </c>
      <c r="AC85" s="5" t="s">
        <v>103</v>
      </c>
      <c r="AD85" s="244" t="s">
        <v>82</v>
      </c>
    </row>
    <row r="86" spans="1:30" ht="15.75" thickBot="1" x14ac:dyDescent="0.3">
      <c r="A86" s="161" t="s">
        <v>54</v>
      </c>
      <c r="B86" s="162">
        <v>1</v>
      </c>
      <c r="C86" s="162" t="s">
        <v>33</v>
      </c>
      <c r="D86" s="161">
        <v>1</v>
      </c>
      <c r="E86" s="261">
        <v>1</v>
      </c>
      <c r="F86" s="261" t="s">
        <v>104</v>
      </c>
      <c r="G86" t="s">
        <v>803</v>
      </c>
      <c r="H86" s="1" t="s">
        <v>890</v>
      </c>
      <c r="I86" s="259">
        <v>34.700000000000003</v>
      </c>
      <c r="J86" s="73">
        <f>_xlfn.LET(
  _xlpm.result, 1-((Main[[#This Row],[Cost]]+Main[[#This Row],[Duties]]+Main[[#This Row],[Transport]])/((Main[[#This Row],[Precio]]*0.96))),
  IF(_xlpm.result&lt;0, "BAJO", IF(_xlpm.result&gt;1, "ALTO", _xlpm.result))
)</f>
        <v>0.23708818999011438</v>
      </c>
      <c r="K86" s="135">
        <v>144.99</v>
      </c>
      <c r="L86" s="33" cm="1">
        <f t="array" aca="1" ref="L8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86" s="156">
        <f>Guias!$B$5</f>
        <v>46298</v>
      </c>
      <c r="N86" s="234">
        <f>ROUNDUP((Main[[#This Row],[Cost]]*Main[[#This Row],[Import Duties]]),2)</f>
        <v>5.51</v>
      </c>
      <c r="O86">
        <v>0</v>
      </c>
      <c r="P86">
        <v>1</v>
      </c>
      <c r="Q86">
        <v>0</v>
      </c>
      <c r="R86" s="235">
        <f>ROUNDUP(Main[[#This Row],[Transport2]]/Main[[#This Row],[Cantidad_Min]],2)</f>
        <v>65.98</v>
      </c>
      <c r="S86">
        <f>_xlfn.XLOOKUP(Main[[#This Row],[Type of Box]], Cajas[Nombre], Cajas[Largo])</f>
        <v>99</v>
      </c>
      <c r="T86">
        <f>_xlfn.XLOOKUP(Main[[#This Row],[Type of Box]], Cajas[Nombre], Cajas[Ancho])</f>
        <v>35</v>
      </c>
      <c r="U86">
        <f>_xlfn.XLOOKUP(Main[[#This Row],[Type of Box]], Cajas[Nombre], Cajas[Alto])</f>
        <v>16</v>
      </c>
      <c r="V8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6">
        <f>ROUNDUP(((Main[[#This Row],[Volumen]]*5.25))*1.36,2)</f>
        <v>65.98</v>
      </c>
      <c r="X86" s="238">
        <v>0.15859999999999999</v>
      </c>
      <c r="Y86" s="260">
        <f>Main[[#This Row],[Cantidad_Min]]*Main[[#This Row],[Precio]]*Main[[#This Row],[Qty]]</f>
        <v>144.99</v>
      </c>
      <c r="Z86">
        <f>_xlfn.XLOOKUP(Main[[#This Row],[Finca]], Fincas[Nombre], Fincas[ID])</f>
        <v>58</v>
      </c>
      <c r="AA86" t="str" cm="1">
        <f t="array" ref="AA8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86" s="2" t="s">
        <v>36</v>
      </c>
      <c r="AC86" s="5" t="s">
        <v>105</v>
      </c>
      <c r="AD86" s="244" t="s">
        <v>82</v>
      </c>
    </row>
    <row r="87" spans="1:30" ht="15.75" thickBot="1" x14ac:dyDescent="0.3">
      <c r="A87" s="163" t="s">
        <v>54</v>
      </c>
      <c r="B87" s="233">
        <f>IF(Main[[#This Row],[SendEmail]]="Y", 1, 0)</f>
        <v>1</v>
      </c>
      <c r="C87" s="164" t="s">
        <v>33</v>
      </c>
      <c r="D87" s="163">
        <v>1</v>
      </c>
      <c r="E87" s="262">
        <v>1</v>
      </c>
      <c r="F87" s="262" t="s">
        <v>106</v>
      </c>
      <c r="G87" t="str">
        <f>"Box x 80 " &amp; _xlfn.XLOOKUP(Main[[#This Row],[FechaEntrega]], Guias[Fecha], Guias[Llegada])</f>
        <v>Box x 80 (M/T)</v>
      </c>
      <c r="H87" s="1" t="s">
        <v>891</v>
      </c>
      <c r="I87" s="259">
        <f>(2*0.4*10)+N("Spray roses 50 cm") + (1*0.35*10)+N("Glaminis") + (1*2.2)+N("Gypsophilia") + (1*2)+N("Solidago") + (1*2.6)+N("Lepidium") + (1*0.95*10)+N("White lilies") + (1*0.95*10)+N("Lilies otro color")</f>
        <v>37.299999999999997</v>
      </c>
      <c r="J87" s="73">
        <f>_xlfn.LET(
  _xlpm.result, 1-((Main[[#This Row],[Cost]]+Main[[#This Row],[Duties]]+Main[[#This Row],[Transport]])/((Main[[#This Row],[Precio]]*0.96))),
  IF(_xlpm.result&lt;0, "BAJO", IF(_xlpm.result&gt;1, "ALTO", _xlpm.result))
)</f>
        <v>0.24161610774051601</v>
      </c>
      <c r="K87" s="135">
        <v>149.99</v>
      </c>
      <c r="L87" s="33" t="str" cm="1">
        <f t="array" aca="1" ref="L8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87" s="156">
        <f>Guias!$B$2</f>
        <v>46295</v>
      </c>
      <c r="N87" s="234">
        <f>ROUNDUP((Main[[#This Row],[Cost]]*Main[[#This Row],[Import Duties]]),2)</f>
        <v>5.92</v>
      </c>
      <c r="O87">
        <v>0</v>
      </c>
      <c r="P87">
        <v>1</v>
      </c>
      <c r="Q87">
        <v>0</v>
      </c>
      <c r="R87" s="235">
        <f>ROUNDUP(Main[[#This Row],[Transport2]]/Main[[#This Row],[Cantidad_Min]],2)</f>
        <v>65.98</v>
      </c>
      <c r="S87">
        <f>_xlfn.XLOOKUP(Main[[#This Row],[Type of Box]], Cajas[Nombre], Cajas[Largo])</f>
        <v>99</v>
      </c>
      <c r="T87">
        <f>_xlfn.XLOOKUP(Main[[#This Row],[Type of Box]], Cajas[Nombre], Cajas[Ancho])</f>
        <v>35</v>
      </c>
      <c r="U87">
        <f>_xlfn.XLOOKUP(Main[[#This Row],[Type of Box]], Cajas[Nombre], Cajas[Alto])</f>
        <v>16</v>
      </c>
      <c r="V8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7">
        <f>ROUNDUP(((Main[[#This Row],[Volumen]]*5.25))*1.36,2)</f>
        <v>65.98</v>
      </c>
      <c r="X87" s="238">
        <v>0.15859999999999999</v>
      </c>
      <c r="Y87" s="260">
        <f>Main[[#This Row],[Cantidad_Min]]*Main[[#This Row],[Precio]]*Main[[#This Row],[Qty]]</f>
        <v>149.99</v>
      </c>
      <c r="Z87">
        <f>_xlfn.XLOOKUP(Main[[#This Row],[Finca]], Fincas[Nombre], Fincas[ID])</f>
        <v>58</v>
      </c>
      <c r="AA87" t="str" cm="1">
        <f t="array" ref="AA8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7" s="266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87" s="277" t="s">
        <v>107</v>
      </c>
      <c r="AD87" s="244" t="s">
        <v>801</v>
      </c>
    </row>
    <row r="88" spans="1:30" x14ac:dyDescent="0.25">
      <c r="A88" s="37" t="s">
        <v>54</v>
      </c>
      <c r="B88" s="157">
        <v>1</v>
      </c>
      <c r="C88" s="157" t="s">
        <v>33</v>
      </c>
      <c r="D88" s="37">
        <v>1</v>
      </c>
      <c r="E88">
        <v>1</v>
      </c>
      <c r="F88" t="s">
        <v>108</v>
      </c>
      <c r="G88" t="str">
        <f>"Alstro/Spray Roses/Delph/Gypso/Lepidium/Solidago x 120 " &amp; _xlfn.XLOOKUP(Main[[#This Row],[FechaEntrega]], Guias[Fecha], Guias[Llegada])</f>
        <v>Alstro/Spray Roses/Delph/Gypso/Lepidium/Solidago x 120 (M/T)</v>
      </c>
      <c r="H88" s="1" t="s">
        <v>892</v>
      </c>
      <c r="I88" s="259">
        <v>34.700000000000003</v>
      </c>
      <c r="J88" s="73">
        <f>_xlfn.LET(
  _xlpm.result, 1-((Main[[#This Row],[Cost]]+Main[[#This Row],[Duties]]+Main[[#This Row],[Transport]])/((Main[[#This Row],[Precio]]*0.96))),
  IF(_xlpm.result&lt;0, "BAJO", IF(_xlpm.result&gt;1, "ALTO", _xlpm.result))
)</f>
        <v>0.28635752688172034</v>
      </c>
      <c r="K88" s="135">
        <v>155</v>
      </c>
      <c r="L88" s="33" t="str" cm="1">
        <f t="array" aca="1" ref="L8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88" s="156">
        <f>Guias!$B$2</f>
        <v>46295</v>
      </c>
      <c r="N88" s="234">
        <f>ROUNDUP((Main[[#This Row],[Cost]]*Main[[#This Row],[Import Duties]]),2)</f>
        <v>5.51</v>
      </c>
      <c r="O88">
        <v>0</v>
      </c>
      <c r="P88">
        <v>1</v>
      </c>
      <c r="Q88">
        <v>0</v>
      </c>
      <c r="R88" s="235">
        <f>ROUNDUP(Main[[#This Row],[Transport2]]/Main[[#This Row],[Cantidad_Min]],2)</f>
        <v>65.98</v>
      </c>
      <c r="S88">
        <f>_xlfn.XLOOKUP(Main[[#This Row],[Type of Box]], Cajas[Nombre], Cajas[Largo])</f>
        <v>99</v>
      </c>
      <c r="T88">
        <f>_xlfn.XLOOKUP(Main[[#This Row],[Type of Box]], Cajas[Nombre], Cajas[Ancho])</f>
        <v>35</v>
      </c>
      <c r="U88">
        <f>_xlfn.XLOOKUP(Main[[#This Row],[Type of Box]], Cajas[Nombre], Cajas[Alto])</f>
        <v>16</v>
      </c>
      <c r="V8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8">
        <f>ROUNDUP(((Main[[#This Row],[Volumen]]*5.25))*1.36,2)</f>
        <v>65.98</v>
      </c>
      <c r="X88" s="238">
        <v>0.15859999999999999</v>
      </c>
      <c r="Y88" s="260">
        <f>Main[[#This Row],[Cantidad_Min]]*Main[[#This Row],[Precio]]*Main[[#This Row],[Qty]]</f>
        <v>155</v>
      </c>
      <c r="Z88">
        <f>_xlfn.XLOOKUP(Main[[#This Row],[Finca]], Fincas[Nombre], Fincas[ID])</f>
        <v>58</v>
      </c>
      <c r="AA88" t="str" cm="1">
        <f t="array" ref="AA8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8" s="2" t="s">
        <v>36</v>
      </c>
      <c r="AC88" s="5" t="s">
        <v>109</v>
      </c>
      <c r="AD88" s="246"/>
    </row>
    <row r="89" spans="1:30" x14ac:dyDescent="0.25">
      <c r="A89" s="37" t="s">
        <v>54</v>
      </c>
      <c r="B89" s="157">
        <v>1</v>
      </c>
      <c r="C89" s="157" t="s">
        <v>33</v>
      </c>
      <c r="D89" s="37">
        <v>1</v>
      </c>
      <c r="E89">
        <v>1</v>
      </c>
      <c r="F89" t="s">
        <v>110</v>
      </c>
      <c r="G89" t="str">
        <f>"Alstro/Spray Roses/Delph/Gypso/Lepidium/Solidago x 120 " &amp; _xlfn.XLOOKUP(Main[[#This Row],[FechaEntrega]], Guias[Fecha], Guias[Llegada])</f>
        <v>Alstro/Spray Roses/Delph/Gypso/Lepidium/Solidago x 120 (M/T)</v>
      </c>
      <c r="H89" s="1" t="s">
        <v>893</v>
      </c>
      <c r="I89" s="259">
        <v>34.700000000000003</v>
      </c>
      <c r="J89" s="73">
        <f>_xlfn.LET(
  _xlpm.result, 1-((Main[[#This Row],[Cost]]+Main[[#This Row],[Duties]]+Main[[#This Row],[Transport]])/((Main[[#This Row],[Precio]]*0.96))),
  IF(_xlpm.result&lt;0, "BAJO", IF(_xlpm.result&gt;1, "ALTO", _xlpm.result))
)</f>
        <v>0.23708818999011438</v>
      </c>
      <c r="K89" s="135">
        <v>144.99</v>
      </c>
      <c r="L89" s="33" t="str" cm="1">
        <f t="array" aca="1" ref="L8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89" s="156">
        <f>Guias!$B$2</f>
        <v>46295</v>
      </c>
      <c r="N89" s="234">
        <f>ROUNDUP((Main[[#This Row],[Cost]]*Main[[#This Row],[Import Duties]]),2)</f>
        <v>5.51</v>
      </c>
      <c r="O89">
        <v>0</v>
      </c>
      <c r="P89">
        <v>1</v>
      </c>
      <c r="Q89">
        <v>0</v>
      </c>
      <c r="R89" s="235">
        <f>ROUNDUP(Main[[#This Row],[Transport2]]/Main[[#This Row],[Cantidad_Min]],2)</f>
        <v>65.98</v>
      </c>
      <c r="S89">
        <f>_xlfn.XLOOKUP(Main[[#This Row],[Type of Box]], Cajas[Nombre], Cajas[Largo])</f>
        <v>99</v>
      </c>
      <c r="T89">
        <f>_xlfn.XLOOKUP(Main[[#This Row],[Type of Box]], Cajas[Nombre], Cajas[Ancho])</f>
        <v>35</v>
      </c>
      <c r="U89">
        <f>_xlfn.XLOOKUP(Main[[#This Row],[Type of Box]], Cajas[Nombre], Cajas[Alto])</f>
        <v>16</v>
      </c>
      <c r="V8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9">
        <f>ROUNDUP(((Main[[#This Row],[Volumen]]*5.25))*1.36,2)</f>
        <v>65.98</v>
      </c>
      <c r="X89" s="238">
        <v>0.15859999999999999</v>
      </c>
      <c r="Y89" s="260">
        <f>Main[[#This Row],[Cantidad_Min]]*Main[[#This Row],[Precio]]*Main[[#This Row],[Qty]]</f>
        <v>144.99</v>
      </c>
      <c r="Z89">
        <f>_xlfn.XLOOKUP(Main[[#This Row],[Finca]], Fincas[Nombre], Fincas[ID])</f>
        <v>58</v>
      </c>
      <c r="AA89" t="str" cm="1">
        <f t="array" ref="AA8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9" s="2" t="s">
        <v>36</v>
      </c>
      <c r="AC89" s="5" t="s">
        <v>111</v>
      </c>
      <c r="AD89" s="244"/>
    </row>
    <row r="90" spans="1:30" x14ac:dyDescent="0.25">
      <c r="A90" s="37" t="s">
        <v>54</v>
      </c>
      <c r="B90" s="157">
        <v>3</v>
      </c>
      <c r="C90" s="157" t="s">
        <v>33</v>
      </c>
      <c r="D90" s="37">
        <v>1</v>
      </c>
      <c r="E90">
        <v>1</v>
      </c>
      <c r="F90" t="s">
        <v>112</v>
      </c>
      <c r="G90" t="str">
        <f>"Oriental Lilies/Roselilies/Mums/Spray Mums/Ruscus x 100 " &amp; _xlfn.XLOOKUP(Main[[#This Row],[FechaEntrega]], Guias[Fecha], Guias[Llegada])</f>
        <v>Oriental Lilies/Roselilies/Mums/Spray Mums/Ruscus x 100 (T/W)</v>
      </c>
      <c r="H90" s="1" t="s">
        <v>894</v>
      </c>
      <c r="I90" s="259">
        <v>51.65</v>
      </c>
      <c r="J90" s="73">
        <f>_xlfn.LET(
  _xlpm.result, 1-((Main[[#This Row],[Cost]]+Main[[#This Row],[Duties]]+Main[[#This Row],[Transport]])/((Main[[#This Row],[Precio]]*0.96))),
  IF(_xlpm.result&lt;0, "BAJO", IF(_xlpm.result&gt;1, "ALTO", _xlpm.result))
)</f>
        <v>0.26774906890130357</v>
      </c>
      <c r="K90" s="135">
        <v>179</v>
      </c>
      <c r="L90" s="33" t="str" cm="1">
        <f t="array" aca="1" ref="L9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90" s="156">
        <f>Guias!$B$3</f>
        <v>46296</v>
      </c>
      <c r="N90" s="234">
        <f>ROUNDUP((Main[[#This Row],[Cost]]*Main[[#This Row],[Import Duties]]),2)</f>
        <v>8.1999999999999993</v>
      </c>
      <c r="O90">
        <v>0</v>
      </c>
      <c r="P90">
        <v>1</v>
      </c>
      <c r="Q90">
        <v>0</v>
      </c>
      <c r="R90" s="235">
        <f>ROUNDUP(Main[[#This Row],[Transport2]]/Main[[#This Row],[Cantidad_Min]],2)</f>
        <v>65.98</v>
      </c>
      <c r="S90">
        <f>_xlfn.XLOOKUP(Main[[#This Row],[Type of Box]], Cajas[Nombre], Cajas[Largo])</f>
        <v>99</v>
      </c>
      <c r="T90">
        <f>_xlfn.XLOOKUP(Main[[#This Row],[Type of Box]], Cajas[Nombre], Cajas[Ancho])</f>
        <v>35</v>
      </c>
      <c r="U90">
        <f>_xlfn.XLOOKUP(Main[[#This Row],[Type of Box]], Cajas[Nombre], Cajas[Alto])</f>
        <v>16</v>
      </c>
      <c r="V9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0">
        <f>ROUNDUP(((Main[[#This Row],[Volumen]]*5.25))*1.36,2)</f>
        <v>65.98</v>
      </c>
      <c r="X90" s="238">
        <v>0.15859999999999999</v>
      </c>
      <c r="Y90" s="260">
        <f>Main[[#This Row],[Cantidad_Min]]*Main[[#This Row],[Precio]]*Main[[#This Row],[Qty]]</f>
        <v>537</v>
      </c>
      <c r="Z90">
        <f>_xlfn.XLOOKUP(Main[[#This Row],[Finca]], Fincas[Nombre], Fincas[ID])</f>
        <v>58</v>
      </c>
      <c r="AA90" t="str" cm="1">
        <f t="array" ref="AA9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0" s="2" t="s">
        <v>36</v>
      </c>
      <c r="AC90" s="5" t="s">
        <v>113</v>
      </c>
      <c r="AD90" s="245"/>
    </row>
    <row r="91" spans="1:30" x14ac:dyDescent="0.25">
      <c r="A91" s="37" t="s">
        <v>54</v>
      </c>
      <c r="B91" s="157">
        <v>3</v>
      </c>
      <c r="C91" s="157" t="s">
        <v>33</v>
      </c>
      <c r="D91" s="37">
        <v>1</v>
      </c>
      <c r="E91">
        <v>1</v>
      </c>
      <c r="F91" t="s">
        <v>114</v>
      </c>
      <c r="G91" t="str">
        <f>"Alstroemeria/Delphinium/Spray Roses x 120 " &amp; _xlfn.XLOOKUP(Main[[#This Row],[FechaEntrega]], Guias[Fecha], Guias[Llegada])</f>
        <v>Alstroemeria/Delphinium/Spray Roses x 120 (T/W)</v>
      </c>
      <c r="H91" s="1" t="s">
        <v>895</v>
      </c>
      <c r="I91" s="259">
        <v>43</v>
      </c>
      <c r="J91" s="73">
        <f>_xlfn.LET(
  _xlpm.result, 1-((Main[[#This Row],[Cost]]+Main[[#This Row],[Duties]]+Main[[#This Row],[Transport]])/((Main[[#This Row],[Precio]]*0.96))),
  IF(_xlpm.result&lt;0, "BAJO", IF(_xlpm.result&gt;1, "ALTO", _xlpm.result))
)</f>
        <v>0.2460466279142447</v>
      </c>
      <c r="K91" s="135">
        <v>159.99</v>
      </c>
      <c r="L91" s="33" t="str" cm="1">
        <f t="array" aca="1" ref="L9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91" s="156">
        <f>Guias!$B$3</f>
        <v>46296</v>
      </c>
      <c r="N91" s="234">
        <f>ROUNDUP((Main[[#This Row],[Cost]]*Main[[#This Row],[Import Duties]]),2)</f>
        <v>6.8199999999999994</v>
      </c>
      <c r="O91">
        <v>0</v>
      </c>
      <c r="P91">
        <v>1</v>
      </c>
      <c r="Q91">
        <v>0</v>
      </c>
      <c r="R91" s="235">
        <f>ROUNDUP(Main[[#This Row],[Transport2]]/Main[[#This Row],[Cantidad_Min]],2)</f>
        <v>65.98</v>
      </c>
      <c r="S91">
        <f>_xlfn.XLOOKUP(Main[[#This Row],[Type of Box]], Cajas[Nombre], Cajas[Largo])</f>
        <v>99</v>
      </c>
      <c r="T91">
        <f>_xlfn.XLOOKUP(Main[[#This Row],[Type of Box]], Cajas[Nombre], Cajas[Ancho])</f>
        <v>35</v>
      </c>
      <c r="U91">
        <f>_xlfn.XLOOKUP(Main[[#This Row],[Type of Box]], Cajas[Nombre], Cajas[Alto])</f>
        <v>16</v>
      </c>
      <c r="V9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1">
        <f>ROUNDUP(((Main[[#This Row],[Volumen]]*5.25))*1.36,2)</f>
        <v>65.98</v>
      </c>
      <c r="X91" s="238">
        <v>0.15859999999999999</v>
      </c>
      <c r="Y91" s="260">
        <f>Main[[#This Row],[Cantidad_Min]]*Main[[#This Row],[Precio]]*Main[[#This Row],[Qty]]</f>
        <v>479.97</v>
      </c>
      <c r="Z91">
        <f>_xlfn.XLOOKUP(Main[[#This Row],[Finca]], Fincas[Nombre], Fincas[ID])</f>
        <v>58</v>
      </c>
      <c r="AA91" t="str" cm="1">
        <f t="array" ref="AA9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1" s="2" t="s">
        <v>36</v>
      </c>
      <c r="AC91" s="5" t="s">
        <v>115</v>
      </c>
      <c r="AD91" s="159"/>
    </row>
    <row r="92" spans="1:30" x14ac:dyDescent="0.25">
      <c r="A92" s="37" t="s">
        <v>54</v>
      </c>
      <c r="B92" s="157">
        <v>3</v>
      </c>
      <c r="C92" s="157" t="s">
        <v>33</v>
      </c>
      <c r="D92" s="37">
        <v>1</v>
      </c>
      <c r="E92">
        <v>1</v>
      </c>
      <c r="F92" t="s">
        <v>116</v>
      </c>
      <c r="G92" t="str">
        <f>"30 Gypso/40 Solidago/40 Lpidium/30 Glaminis  x 140 " &amp; _xlfn.XLOOKUP(Main[[#This Row],[FechaEntrega]], Guias[Fecha], Guias[Llegada])</f>
        <v>30 Gypso/40 Solidago/40 Lpidium/30 Glaminis  x 140 (T/W)</v>
      </c>
      <c r="H92" s="1" t="s">
        <v>896</v>
      </c>
      <c r="I92" s="259">
        <v>41</v>
      </c>
      <c r="J92" s="73">
        <f>_xlfn.LET(
  _xlpm.result, 1-((Main[[#This Row],[Cost]]+Main[[#This Row],[Duties]]+Main[[#This Row],[Transport]])/((Main[[#This Row],[Precio]]*0.96))),
  IF(_xlpm.result&lt;0, "BAJO", IF(_xlpm.result&gt;1, "ALTO", _xlpm.result))
)</f>
        <v>0.26108663041440094</v>
      </c>
      <c r="K92" s="135">
        <v>159.99</v>
      </c>
      <c r="L92" s="33" t="str" cm="1">
        <f t="array" aca="1" ref="L9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92" s="156">
        <f>Guias!$B$3</f>
        <v>46296</v>
      </c>
      <c r="N92" s="234">
        <f>ROUNDUP((Main[[#This Row],[Cost]]*Main[[#This Row],[Import Duties]]),2)</f>
        <v>6.51</v>
      </c>
      <c r="O92">
        <v>0</v>
      </c>
      <c r="P92">
        <v>1</v>
      </c>
      <c r="Q92">
        <v>0</v>
      </c>
      <c r="R92" s="235">
        <f>ROUNDUP(Main[[#This Row],[Transport2]]/Main[[#This Row],[Cantidad_Min]],2)</f>
        <v>65.98</v>
      </c>
      <c r="S92">
        <f>_xlfn.XLOOKUP(Main[[#This Row],[Type of Box]], Cajas[Nombre], Cajas[Largo])</f>
        <v>99</v>
      </c>
      <c r="T92">
        <f>_xlfn.XLOOKUP(Main[[#This Row],[Type of Box]], Cajas[Nombre], Cajas[Ancho])</f>
        <v>35</v>
      </c>
      <c r="U92">
        <f>_xlfn.XLOOKUP(Main[[#This Row],[Type of Box]], Cajas[Nombre], Cajas[Alto])</f>
        <v>16</v>
      </c>
      <c r="V9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2">
        <f>ROUNDUP(((Main[[#This Row],[Volumen]]*5.25))*1.36,2)</f>
        <v>65.98</v>
      </c>
      <c r="X92" s="238">
        <v>0.15859999999999999</v>
      </c>
      <c r="Y92" s="260">
        <f>Main[[#This Row],[Cantidad_Min]]*Main[[#This Row],[Precio]]*Main[[#This Row],[Qty]]</f>
        <v>479.97</v>
      </c>
      <c r="Z92">
        <f>_xlfn.XLOOKUP(Main[[#This Row],[Finca]], Fincas[Nombre], Fincas[ID])</f>
        <v>58</v>
      </c>
      <c r="AA92" t="str" cm="1">
        <f t="array" ref="AA9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2" s="2" t="s">
        <v>36</v>
      </c>
      <c r="AC92" s="5" t="s">
        <v>117</v>
      </c>
      <c r="AD92" s="245"/>
    </row>
    <row r="93" spans="1:30" x14ac:dyDescent="0.25">
      <c r="A93" s="37" t="s">
        <v>99</v>
      </c>
      <c r="B93" s="157">
        <v>2</v>
      </c>
      <c r="C93" s="157" t="s">
        <v>32</v>
      </c>
      <c r="D93" s="37">
        <v>1</v>
      </c>
      <c r="E93">
        <v>1</v>
      </c>
      <c r="F93" t="s">
        <v>100</v>
      </c>
      <c r="G93" t="str">
        <f>"Ran. Pompon/Limonium/Statice/Freesia/Delph/Dianthus/Sp. Roses x 120 " &amp; _xlfn.XLOOKUP(Main[[#This Row],[FechaEntrega]], Guias[Fecha], Guias[Llegada])</f>
        <v>Ran. Pompon/Limonium/Statice/Freesia/Delph/Dianthus/Sp. Roses x 120 (T/W)</v>
      </c>
      <c r="H93" s="1" t="s">
        <v>897</v>
      </c>
      <c r="I93" s="259">
        <v>46</v>
      </c>
      <c r="J93" s="73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93" s="135">
        <v>129.98924731182797</v>
      </c>
      <c r="L93" s="33" t="str" cm="1">
        <f t="array" aca="1" ref="L9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93" s="156">
        <f>Guias!$B$3</f>
        <v>46296</v>
      </c>
      <c r="N93" s="234">
        <f>ROUNDUP((Main[[#This Row],[Cost]]*Main[[#This Row],[Import Duties]]),2)</f>
        <v>7.3</v>
      </c>
      <c r="O93">
        <v>0</v>
      </c>
      <c r="P93">
        <v>1</v>
      </c>
      <c r="Q93">
        <v>0</v>
      </c>
      <c r="R93" s="235">
        <f>ROUNDUP(Main[[#This Row],[Transport2]]/Main[[#This Row],[Cantidad_Min]],2)</f>
        <v>36.119999999999997</v>
      </c>
      <c r="S93">
        <f>_xlfn.XLOOKUP(Main[[#This Row],[Type of Box]], Cajas[Nombre], Cajas[Largo])</f>
        <v>105</v>
      </c>
      <c r="T93">
        <f>_xlfn.XLOOKUP(Main[[#This Row],[Type of Box]], Cajas[Nombre], Cajas[Ancho])</f>
        <v>17</v>
      </c>
      <c r="U93">
        <f>_xlfn.XLOOKUP(Main[[#This Row],[Type of Box]], Cajas[Nombre], Cajas[Alto])</f>
        <v>17</v>
      </c>
      <c r="V9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3">
        <f>ROUNDUP(((Main[[#This Row],[Volumen]]*5.25))*1.36,2)</f>
        <v>36.119999999999997</v>
      </c>
      <c r="X93" s="238">
        <v>0.15859999999999999</v>
      </c>
      <c r="Y93" s="260">
        <f>Main[[#This Row],[Cantidad_Min]]*Main[[#This Row],[Precio]]*Main[[#This Row],[Qty]]</f>
        <v>259.97849462365593</v>
      </c>
      <c r="Z93">
        <f>_xlfn.XLOOKUP(Main[[#This Row],[Finca]], Fincas[Nombre], Fincas[ID])</f>
        <v>77</v>
      </c>
      <c r="AA93" t="str" cm="1">
        <f t="array" ref="AA9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3" s="2" t="s">
        <v>36</v>
      </c>
      <c r="AC93" s="5" t="s">
        <v>101</v>
      </c>
      <c r="AD93" s="246"/>
    </row>
    <row r="94" spans="1:30" x14ac:dyDescent="0.25">
      <c r="A94" s="37" t="s">
        <v>99</v>
      </c>
      <c r="B94" s="157">
        <v>2</v>
      </c>
      <c r="C94" s="157" t="s">
        <v>32</v>
      </c>
      <c r="D94" s="37">
        <v>1</v>
      </c>
      <c r="E94">
        <v>1</v>
      </c>
      <c r="F94" t="s">
        <v>118</v>
      </c>
      <c r="G94" t="str">
        <f>"Sweet Pea/Gerbs/Satice/Anemones/Ranunc/Delph/Veronicas/Limonium x 120 " &amp; _xlfn.XLOOKUP(Main[[#This Row],[FechaEntrega]], Guias[Fecha], Guias[Llegada])</f>
        <v>Sweet Pea/Gerbs/Satice/Anemones/Ranunc/Delph/Veronicas/Limonium x 120 (T/W)</v>
      </c>
      <c r="H94" s="1" t="s">
        <v>898</v>
      </c>
      <c r="I94" s="259">
        <v>53.3</v>
      </c>
      <c r="J94" s="73">
        <f>_xlfn.LET(
  _xlpm.result, 1-((Main[[#This Row],[Cost]]+Main[[#This Row],[Duties]]+Main[[#This Row],[Transport]])/((Main[[#This Row],[Precio]]*0.96))),
  IF(_xlpm.result&lt;0, "BAJO", IF(_xlpm.result&gt;1, "ALTO", _xlpm.result))
)</f>
        <v>0.32023245994177385</v>
      </c>
      <c r="K94" s="135">
        <v>149.99</v>
      </c>
      <c r="L94" s="33" t="str" cm="1">
        <f t="array" aca="1" ref="L9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94" s="156">
        <f>Guias!$B$3</f>
        <v>46296</v>
      </c>
      <c r="N94" s="234">
        <f>ROUNDUP((Main[[#This Row],[Cost]]*Main[[#This Row],[Import Duties]]),2)</f>
        <v>8.4599999999999991</v>
      </c>
      <c r="O94">
        <v>0</v>
      </c>
      <c r="P94">
        <v>1</v>
      </c>
      <c r="Q94">
        <v>0</v>
      </c>
      <c r="R94" s="235">
        <f>ROUNDUP(Main[[#This Row],[Transport2]]/Main[[#This Row],[Cantidad_Min]],2)</f>
        <v>36.119999999999997</v>
      </c>
      <c r="S94">
        <f>_xlfn.XLOOKUP(Main[[#This Row],[Type of Box]], Cajas[Nombre], Cajas[Largo])</f>
        <v>105</v>
      </c>
      <c r="T94">
        <f>_xlfn.XLOOKUP(Main[[#This Row],[Type of Box]], Cajas[Nombre], Cajas[Ancho])</f>
        <v>17</v>
      </c>
      <c r="U94">
        <f>_xlfn.XLOOKUP(Main[[#This Row],[Type of Box]], Cajas[Nombre], Cajas[Alto])</f>
        <v>17</v>
      </c>
      <c r="V9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4">
        <f>ROUNDUP(((Main[[#This Row],[Volumen]]*5.25))*1.36,2)</f>
        <v>36.119999999999997</v>
      </c>
      <c r="X94" s="238">
        <v>0.15859999999999999</v>
      </c>
      <c r="Y94" s="260">
        <f>Main[[#This Row],[Cantidad_Min]]*Main[[#This Row],[Precio]]*Main[[#This Row],[Qty]]</f>
        <v>299.98</v>
      </c>
      <c r="Z94">
        <f>_xlfn.XLOOKUP(Main[[#This Row],[Finca]], Fincas[Nombre], Fincas[ID])</f>
        <v>77</v>
      </c>
      <c r="AA94" t="str" cm="1">
        <f t="array" ref="AA9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4" s="2" t="s">
        <v>36</v>
      </c>
      <c r="AC94" s="5" t="s">
        <v>119</v>
      </c>
      <c r="AD94" s="245"/>
    </row>
    <row r="95" spans="1:30" x14ac:dyDescent="0.25">
      <c r="A95" s="37" t="s">
        <v>99</v>
      </c>
      <c r="B95" s="157">
        <v>1</v>
      </c>
      <c r="C95" s="157" t="s">
        <v>32</v>
      </c>
      <c r="D95" s="37">
        <v>1</v>
      </c>
      <c r="E95">
        <v>1</v>
      </c>
      <c r="F95" t="s">
        <v>120</v>
      </c>
      <c r="G95" t="str">
        <f>"20 Scoop/20 Freesias/20 Rumex/20 Campanullas/20 Veronicas/20 Marigold x 120 " &amp; _xlfn.XLOOKUP(Main[[#This Row],[FechaEntrega]], Guias[Fecha], Guias[Llegada])</f>
        <v>20 Scoop/20 Freesias/20 Rumex/20 Campanullas/20 Veronicas/20 Marigold x 120 (T/W)</v>
      </c>
      <c r="H95" s="1" t="s">
        <v>899</v>
      </c>
      <c r="I95" s="259">
        <v>63</v>
      </c>
      <c r="J95" s="73">
        <f>_xlfn.LET(
  _xlpm.result, 1-((Main[[#This Row],[Cost]]+Main[[#This Row],[Duties]]+Main[[#This Row],[Transport]])/((Main[[#This Row],[Precio]]*0.96))),
  IF(_xlpm.result&lt;0, "BAJO", IF(_xlpm.result&gt;1, "ALTO", _xlpm.result))
)</f>
        <v>0.28953892951642812</v>
      </c>
      <c r="K95" s="135">
        <v>159.99</v>
      </c>
      <c r="L95" s="33" t="str" cm="1">
        <f t="array" aca="1" ref="L9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95" s="156">
        <f>Guias!$B$3</f>
        <v>46296</v>
      </c>
      <c r="N95" s="234">
        <f>ROUNDUP((Main[[#This Row],[Cost]]*Main[[#This Row],[Import Duties]]),2)</f>
        <v>10</v>
      </c>
      <c r="O95">
        <v>0</v>
      </c>
      <c r="P95">
        <v>1</v>
      </c>
      <c r="Q95">
        <v>0</v>
      </c>
      <c r="R95" s="235">
        <f>ROUNDUP(Main[[#This Row],[Transport2]]/Main[[#This Row],[Cantidad_Min]],2)</f>
        <v>36.119999999999997</v>
      </c>
      <c r="S95">
        <f>_xlfn.XLOOKUP(Main[[#This Row],[Type of Box]], Cajas[Nombre], Cajas[Largo])</f>
        <v>105</v>
      </c>
      <c r="T95">
        <f>_xlfn.XLOOKUP(Main[[#This Row],[Type of Box]], Cajas[Nombre], Cajas[Ancho])</f>
        <v>17</v>
      </c>
      <c r="U95">
        <f>_xlfn.XLOOKUP(Main[[#This Row],[Type of Box]], Cajas[Nombre], Cajas[Alto])</f>
        <v>17</v>
      </c>
      <c r="V9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5">
        <f>ROUNDUP(((Main[[#This Row],[Volumen]]*5.25))*1.36,2)</f>
        <v>36.119999999999997</v>
      </c>
      <c r="X95" s="238">
        <v>0.15859999999999999</v>
      </c>
      <c r="Y95" s="260">
        <f>Main[[#This Row],[Cantidad_Min]]*Main[[#This Row],[Precio]]*Main[[#This Row],[Qty]]</f>
        <v>159.99</v>
      </c>
      <c r="Z95">
        <f>_xlfn.XLOOKUP(Main[[#This Row],[Finca]], Fincas[Nombre], Fincas[ID])</f>
        <v>77</v>
      </c>
      <c r="AA95" t="str" cm="1">
        <f t="array" ref="AA9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5" s="2" t="s">
        <v>36</v>
      </c>
      <c r="AC95" s="5"/>
      <c r="AD95" s="245"/>
    </row>
    <row r="96" spans="1:30" x14ac:dyDescent="0.25">
      <c r="A96" s="37" t="s">
        <v>121</v>
      </c>
      <c r="B96" s="160">
        <v>5</v>
      </c>
      <c r="C96" s="157" t="s">
        <v>32</v>
      </c>
      <c r="D96" s="37">
        <v>1</v>
      </c>
      <c r="E96">
        <v>1</v>
      </c>
      <c r="F96" t="s">
        <v>122</v>
      </c>
      <c r="G96" t="str">
        <f>"Aster/Limonium/Solidago/Statice/Aster Petit x 57 " &amp; _xlfn.XLOOKUP(Main[[#This Row],[FechaEntrega]], Guias[Fecha], Guias[Llegada])</f>
        <v>Aster/Limonium/Solidago/Statice/Aster Petit x 57 (T/W)</v>
      </c>
      <c r="H96" s="1" t="s">
        <v>900</v>
      </c>
      <c r="I96" s="259">
        <v>23.9</v>
      </c>
      <c r="J96" s="73">
        <f>_xlfn.LET(
  _xlpm.result, 1-((Main[[#This Row],[Cost]]+Main[[#This Row],[Duties]]+Main[[#This Row],[Transport]])/((Main[[#This Row],[Precio]]*0.96))),
  IF(_xlpm.result&lt;0, "BAJO", IF(_xlpm.result&gt;1, "ALTO", _xlpm.result))
)</f>
        <v>0.25304307116104874</v>
      </c>
      <c r="K96" s="135">
        <v>89</v>
      </c>
      <c r="L96" s="33" t="str" cm="1">
        <f t="array" aca="1" ref="L9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96" s="156">
        <f>Guias!$B$3</f>
        <v>46296</v>
      </c>
      <c r="N96" s="234">
        <f>ROUNDUP((Main[[#This Row],[Cost]]*Main[[#This Row],[Import Duties]]),2)</f>
        <v>3.8</v>
      </c>
      <c r="O96">
        <v>0</v>
      </c>
      <c r="P96">
        <v>1</v>
      </c>
      <c r="Q96">
        <v>0</v>
      </c>
      <c r="R96" s="235">
        <f>ROUNDUP(Main[[#This Row],[Transport2]]/Main[[#This Row],[Cantidad_Min]],2)</f>
        <v>36.119999999999997</v>
      </c>
      <c r="S96">
        <f>_xlfn.XLOOKUP(Main[[#This Row],[Type of Box]], Cajas[Nombre], Cajas[Largo])</f>
        <v>105</v>
      </c>
      <c r="T96">
        <f>_xlfn.XLOOKUP(Main[[#This Row],[Type of Box]], Cajas[Nombre], Cajas[Ancho])</f>
        <v>17</v>
      </c>
      <c r="U96">
        <f>_xlfn.XLOOKUP(Main[[#This Row],[Type of Box]], Cajas[Nombre], Cajas[Alto])</f>
        <v>17</v>
      </c>
      <c r="V9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6">
        <f>ROUNDUP(((Main[[#This Row],[Volumen]]*5.25))*1.36,2)</f>
        <v>36.119999999999997</v>
      </c>
      <c r="X96" s="238">
        <v>0.15859999999999999</v>
      </c>
      <c r="Y96" s="260">
        <f>Main[[#This Row],[Cantidad_Min]]*Main[[#This Row],[Precio]]*Main[[#This Row],[Qty]]</f>
        <v>445</v>
      </c>
      <c r="Z96">
        <f>_xlfn.XLOOKUP(Main[[#This Row],[Finca]], Fincas[Nombre], Fincas[ID])</f>
        <v>24</v>
      </c>
      <c r="AA96" t="str" cm="1">
        <f t="array" ref="AA9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96" s="2" t="s">
        <v>36</v>
      </c>
      <c r="AC96" s="5" t="s">
        <v>123</v>
      </c>
      <c r="AD96" s="244" t="s">
        <v>124</v>
      </c>
    </row>
    <row r="97" spans="1:30" x14ac:dyDescent="0.25">
      <c r="A97" s="161" t="s">
        <v>125</v>
      </c>
      <c r="B97" s="162">
        <v>4</v>
      </c>
      <c r="C97" s="162" t="s">
        <v>126</v>
      </c>
      <c r="D97" s="161">
        <v>160</v>
      </c>
      <c r="E97" s="261">
        <v>160</v>
      </c>
      <c r="F97" s="261" t="s">
        <v>127</v>
      </c>
      <c r="G97" t="str">
        <f>"Assorted Colors " &amp; _xlfn.XLOOKUP(Main[[#This Row],[FechaEntrega]], Guias[Fecha], Guias[Llegada])</f>
        <v>Assorted Colors (W/T)</v>
      </c>
      <c r="H97" s="1" t="s">
        <v>901</v>
      </c>
      <c r="I97" s="259">
        <v>0.34</v>
      </c>
      <c r="J97" s="73">
        <f>_xlfn.LET(
  _xlpm.result, 1-((Main[[#This Row],[Cost]]+Main[[#This Row],[Duties]]+Main[[#This Row],[Transport]])/((Main[[#This Row],[Precio]]*0.96))),
  IF(_xlpm.result&lt;0, "BAJO", IF(_xlpm.result&gt;1, "ALTO", _xlpm.result))
)</f>
        <v>0.16456422018348604</v>
      </c>
      <c r="K97" s="135">
        <v>1.172043010752688</v>
      </c>
      <c r="L97" s="33" t="str" cm="1">
        <f t="array" aca="1" ref="L9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97" s="156">
        <f>Guias!$B$4</f>
        <v>46297</v>
      </c>
      <c r="N97" s="234">
        <f>ROUNDUP((Main[[#This Row],[Cost]]*Main[[#This Row],[Import Duties]]),2)</f>
        <v>6.0000000000000005E-2</v>
      </c>
      <c r="O97">
        <v>0</v>
      </c>
      <c r="P97">
        <v>1</v>
      </c>
      <c r="Q97">
        <v>0</v>
      </c>
      <c r="R97" s="235">
        <f>ROUNDUP(Main[[#This Row],[Transport2]]/Main[[#This Row],[Cantidad_Min]],2)</f>
        <v>0.54</v>
      </c>
      <c r="S97">
        <f>_xlfn.XLOOKUP(Main[[#This Row],[Type of Box]], Cajas[Nombre], Cajas[Largo])</f>
        <v>85</v>
      </c>
      <c r="T97">
        <f>_xlfn.XLOOKUP(Main[[#This Row],[Type of Box]], Cajas[Nombre], Cajas[Ancho])</f>
        <v>30</v>
      </c>
      <c r="U97">
        <f>_xlfn.XLOOKUP(Main[[#This Row],[Type of Box]], Cajas[Nombre], Cajas[Alto])</f>
        <v>28</v>
      </c>
      <c r="V9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97">
        <f>ROUNDUP(((Main[[#This Row],[Volumen]]*5.25))*1.36,2)</f>
        <v>84.97</v>
      </c>
      <c r="X97" s="238">
        <v>0.15859999999999999</v>
      </c>
      <c r="Y97" s="260">
        <f>Main[[#This Row],[Cantidad_Min]]*Main[[#This Row],[Precio]]*Main[[#This Row],[Qty]]</f>
        <v>750.10752688172033</v>
      </c>
      <c r="Z97">
        <f>_xlfn.XLOOKUP(Main[[#This Row],[Finca]], Fincas[Nombre], Fincas[ID])</f>
        <v>8</v>
      </c>
      <c r="AA97" t="str" cm="1">
        <f t="array" ref="AA9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rbaquero,rbaquero,rbaquero,rbaquero,</v>
      </c>
      <c r="AB97" s="2" t="s">
        <v>36</v>
      </c>
      <c r="AC97" s="5"/>
      <c r="AD97" s="244" t="s">
        <v>128</v>
      </c>
    </row>
    <row r="98" spans="1:30" x14ac:dyDescent="0.25">
      <c r="A98" s="161" t="s">
        <v>34</v>
      </c>
      <c r="B98" s="162">
        <v>1</v>
      </c>
      <c r="C98" s="162" t="s">
        <v>32</v>
      </c>
      <c r="D98" s="161">
        <v>50</v>
      </c>
      <c r="E98" s="261">
        <v>50</v>
      </c>
      <c r="F98" s="261" t="s">
        <v>129</v>
      </c>
      <c r="G98" t="str">
        <f>"Rainbow " &amp; _xlfn.XLOOKUP(Main[[#This Row],[FechaEntrega]], Guias[Fecha], Guias[Llegada])</f>
        <v>Rainbow (W/T)</v>
      </c>
      <c r="H98" s="1" t="s">
        <v>902</v>
      </c>
      <c r="I98" s="259">
        <v>0.31</v>
      </c>
      <c r="J98" s="73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98" s="135">
        <v>1.49</v>
      </c>
      <c r="L98" s="33" cm="1">
        <f t="array" aca="1" ref="L9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98" s="156">
        <f>Guias!$B$4</f>
        <v>46297</v>
      </c>
      <c r="N98" s="234">
        <f>ROUNDUP((Main[[#This Row],[Cost]]*Main[[#This Row],[Import Duties]]),2)</f>
        <v>0.05</v>
      </c>
      <c r="O98">
        <v>0</v>
      </c>
      <c r="P98">
        <v>1</v>
      </c>
      <c r="Q98">
        <v>0</v>
      </c>
      <c r="R98" s="235">
        <f>ROUNDUP(Main[[#This Row],[Transport2]]/Main[[#This Row],[Cantidad_Min]],2)</f>
        <v>0.73</v>
      </c>
      <c r="S98">
        <f>_xlfn.XLOOKUP(Main[[#This Row],[Type of Box]], Cajas[Nombre], Cajas[Largo])</f>
        <v>105</v>
      </c>
      <c r="T98">
        <f>_xlfn.XLOOKUP(Main[[#This Row],[Type of Box]], Cajas[Nombre], Cajas[Ancho])</f>
        <v>17</v>
      </c>
      <c r="U98">
        <f>_xlfn.XLOOKUP(Main[[#This Row],[Type of Box]], Cajas[Nombre], Cajas[Alto])</f>
        <v>17</v>
      </c>
      <c r="V9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8">
        <f>ROUNDUP(((Main[[#This Row],[Volumen]]*5.25))*1.36,2)</f>
        <v>36.119999999999997</v>
      </c>
      <c r="X98" s="238">
        <v>0.15859999999999999</v>
      </c>
      <c r="Y98" s="260">
        <f>Main[[#This Row],[Cantidad_Min]]*Main[[#This Row],[Precio]]*Main[[#This Row],[Qty]]</f>
        <v>74.5</v>
      </c>
      <c r="Z98">
        <f>_xlfn.XLOOKUP(Main[[#This Row],[Finca]], Fincas[Nombre], Fincas[ID])</f>
        <v>72</v>
      </c>
      <c r="AA98" t="str" cm="1">
        <f t="array" ref="AA9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98" s="2" t="s">
        <v>36</v>
      </c>
      <c r="AC98" s="5"/>
      <c r="AD98" s="244" t="s">
        <v>130</v>
      </c>
    </row>
    <row r="99" spans="1:30" x14ac:dyDescent="0.25">
      <c r="A99" s="161" t="s">
        <v>125</v>
      </c>
      <c r="B99" s="162">
        <v>1</v>
      </c>
      <c r="C99" s="162" t="s">
        <v>131</v>
      </c>
      <c r="D99" s="161">
        <v>70</v>
      </c>
      <c r="E99" s="261">
        <v>70</v>
      </c>
      <c r="F99" s="261" t="s">
        <v>132</v>
      </c>
      <c r="G99" t="str">
        <f>"White " &amp; _xlfn.XLOOKUP(Main[[#This Row],[FechaEntrega]], Guias[Fecha], Guias[Llegada])</f>
        <v>White (W/T)</v>
      </c>
      <c r="H99" s="1" t="s">
        <v>903</v>
      </c>
      <c r="I99" s="259">
        <v>0.27</v>
      </c>
      <c r="J99" s="73">
        <f>_xlfn.LET(
  _xlpm.result, 1-((Main[[#This Row],[Cost]]+Main[[#This Row],[Duties]]+Main[[#This Row],[Transport]])/((Main[[#This Row],[Precio]]*0.96))),
  IF(_xlpm.result&lt;0, "BAJO", IF(_xlpm.result&gt;1, "ALTO", _xlpm.result))
)</f>
        <v>0.31055155875299756</v>
      </c>
      <c r="K99" s="135">
        <v>1.39</v>
      </c>
      <c r="L99" s="33" t="str" cm="1">
        <f t="array" aca="1" ref="L9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99" s="156">
        <f>Guias!$B$4</f>
        <v>46297</v>
      </c>
      <c r="N99" s="234">
        <f>ROUNDUP((Main[[#This Row],[Cost]]*Main[[#This Row],[Import Duties]]),2)</f>
        <v>0.05</v>
      </c>
      <c r="O99">
        <v>0</v>
      </c>
      <c r="P99">
        <v>1</v>
      </c>
      <c r="Q99">
        <v>0</v>
      </c>
      <c r="R99" s="235">
        <f>ROUNDUP(Main[[#This Row],[Transport2]]/Main[[#This Row],[Cantidad_Min]],2)</f>
        <v>0.6</v>
      </c>
      <c r="S99">
        <f>_xlfn.XLOOKUP(Main[[#This Row],[Type of Box]], Cajas[Nombre], Cajas[Largo])</f>
        <v>39</v>
      </c>
      <c r="T99">
        <f>_xlfn.XLOOKUP(Main[[#This Row],[Type of Box]], Cajas[Nombre], Cajas[Ancho])</f>
        <v>30</v>
      </c>
      <c r="U99">
        <f>_xlfn.XLOOKUP(Main[[#This Row],[Type of Box]], Cajas[Nombre], Cajas[Alto])</f>
        <v>30</v>
      </c>
      <c r="V9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99">
        <f>ROUNDUP(((Main[[#This Row],[Volumen]]*5.25))*1.36,2)</f>
        <v>41.769999999999996</v>
      </c>
      <c r="X99" s="238">
        <v>0.15859999999999999</v>
      </c>
      <c r="Y99" s="260">
        <f>Main[[#This Row],[Cantidad_Min]]*Main[[#This Row],[Precio]]*Main[[#This Row],[Qty]]</f>
        <v>97.3</v>
      </c>
      <c r="Z99">
        <f>_xlfn.XLOOKUP(Main[[#This Row],[Finca]], Fincas[Nombre], Fincas[ID])</f>
        <v>8</v>
      </c>
      <c r="AA99" t="str" cm="1">
        <f t="array" ref="AA9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99" s="2" t="s">
        <v>36</v>
      </c>
      <c r="AC99" s="5"/>
      <c r="AD99" s="244" t="s">
        <v>53</v>
      </c>
    </row>
    <row r="100" spans="1:30" x14ac:dyDescent="0.25">
      <c r="A100" s="161" t="s">
        <v>125</v>
      </c>
      <c r="B100" s="162">
        <v>1</v>
      </c>
      <c r="C100" s="162" t="s">
        <v>131</v>
      </c>
      <c r="D100" s="161">
        <v>80</v>
      </c>
      <c r="E100" s="261">
        <v>80</v>
      </c>
      <c r="F100" s="261" t="s">
        <v>127</v>
      </c>
      <c r="G100" t="str">
        <f>"Assorted Colors " &amp; _xlfn.XLOOKUP(Main[[#This Row],[FechaEntrega]], Guias[Fecha], Guias[Llegada])</f>
        <v>Assorted Colors (W/T)</v>
      </c>
      <c r="H100" s="1" t="s">
        <v>904</v>
      </c>
      <c r="I100" s="259">
        <v>0.34</v>
      </c>
      <c r="J100" s="73">
        <f>_xlfn.LET(
  _xlpm.result, 1-((Main[[#This Row],[Cost]]+Main[[#This Row],[Duties]]+Main[[#This Row],[Transport]])/((Main[[#This Row],[Precio]]*0.96))),
  IF(_xlpm.result&lt;0, "BAJO", IF(_xlpm.result&gt;1, "ALTO", _xlpm.result))
)</f>
        <v>0.15800233644859785</v>
      </c>
      <c r="K100" s="135">
        <v>1.150537634408602</v>
      </c>
      <c r="L100" s="33" t="str" cm="1">
        <f t="array" aca="1" ref="L10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00" s="156">
        <f>Guias!$B$4</f>
        <v>46297</v>
      </c>
      <c r="N100" s="234">
        <f>ROUNDUP((Main[[#This Row],[Cost]]*Main[[#This Row],[Import Duties]]),2)</f>
        <v>6.0000000000000005E-2</v>
      </c>
      <c r="O100">
        <v>0</v>
      </c>
      <c r="P100">
        <v>1</v>
      </c>
      <c r="Q100">
        <v>0</v>
      </c>
      <c r="R100" s="235">
        <f>ROUNDUP(Main[[#This Row],[Transport2]]/Main[[#This Row],[Cantidad_Min]],2)</f>
        <v>0.53</v>
      </c>
      <c r="S100">
        <f>_xlfn.XLOOKUP(Main[[#This Row],[Type of Box]], Cajas[Nombre], Cajas[Largo])</f>
        <v>39</v>
      </c>
      <c r="T100">
        <f>_xlfn.XLOOKUP(Main[[#This Row],[Type of Box]], Cajas[Nombre], Cajas[Ancho])</f>
        <v>30</v>
      </c>
      <c r="U100">
        <f>_xlfn.XLOOKUP(Main[[#This Row],[Type of Box]], Cajas[Nombre], Cajas[Alto])</f>
        <v>30</v>
      </c>
      <c r="V10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00">
        <f>ROUNDUP(((Main[[#This Row],[Volumen]]*5.25))*1.36,2)</f>
        <v>41.769999999999996</v>
      </c>
      <c r="X100" s="238">
        <v>0.15859999999999999</v>
      </c>
      <c r="Y100" s="260">
        <f>Main[[#This Row],[Cantidad_Min]]*Main[[#This Row],[Precio]]*Main[[#This Row],[Qty]]</f>
        <v>92.043010752688161</v>
      </c>
      <c r="Z100">
        <f>_xlfn.XLOOKUP(Main[[#This Row],[Finca]], Fincas[Nombre], Fincas[ID])</f>
        <v>8</v>
      </c>
      <c r="AA100" t="str" cm="1">
        <f t="array" ref="AA10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00" s="2" t="s">
        <v>36</v>
      </c>
      <c r="AC100" s="5"/>
      <c r="AD100" s="244" t="s">
        <v>71</v>
      </c>
    </row>
    <row r="101" spans="1:30" x14ac:dyDescent="0.25">
      <c r="A101" s="161" t="s">
        <v>125</v>
      </c>
      <c r="B101" s="162">
        <v>2</v>
      </c>
      <c r="C101" s="162" t="s">
        <v>131</v>
      </c>
      <c r="D101" s="161">
        <v>80</v>
      </c>
      <c r="E101" s="261">
        <v>80</v>
      </c>
      <c r="F101" s="261" t="s">
        <v>127</v>
      </c>
      <c r="G101" t="str">
        <f>"Assorted Colors " &amp; _xlfn.XLOOKUP(Main[[#This Row],[FechaEntrega]], Guias[Fecha], Guias[Llegada])</f>
        <v>Assorted Colors (T/F)</v>
      </c>
      <c r="H101" s="1" t="s">
        <v>905</v>
      </c>
      <c r="I101" s="259">
        <v>0.34</v>
      </c>
      <c r="J101" s="73">
        <f>_xlfn.LET(
  _xlpm.result, 1-((Main[[#This Row],[Cost]]+Main[[#This Row],[Duties]]+Main[[#This Row],[Transport]])/((Main[[#This Row],[Precio]]*0.96))),
  IF(_xlpm.result&lt;0, "BAJO", IF(_xlpm.result&gt;1, "ALTO", _xlpm.result))
)</f>
        <v>0.15800233644859785</v>
      </c>
      <c r="K101" s="135">
        <v>1.150537634408602</v>
      </c>
      <c r="L101" s="33" cm="1">
        <f t="array" aca="1" ref="L10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16942</v>
      </c>
      <c r="M101" s="156">
        <f>Guias!$B$6</f>
        <v>46300</v>
      </c>
      <c r="N101" s="234">
        <f>ROUNDUP((Main[[#This Row],[Cost]]*Main[[#This Row],[Import Duties]]),2)</f>
        <v>6.0000000000000005E-2</v>
      </c>
      <c r="O101">
        <v>0</v>
      </c>
      <c r="P101">
        <v>1</v>
      </c>
      <c r="Q101">
        <v>0</v>
      </c>
      <c r="R101" s="235">
        <f>ROUNDUP(Main[[#This Row],[Transport2]]/Main[[#This Row],[Cantidad_Min]],2)</f>
        <v>0.53</v>
      </c>
      <c r="S101">
        <f>_xlfn.XLOOKUP(Main[[#This Row],[Type of Box]], Cajas[Nombre], Cajas[Largo])</f>
        <v>39</v>
      </c>
      <c r="T101">
        <f>_xlfn.XLOOKUP(Main[[#This Row],[Type of Box]], Cajas[Nombre], Cajas[Ancho])</f>
        <v>30</v>
      </c>
      <c r="U101">
        <f>_xlfn.XLOOKUP(Main[[#This Row],[Type of Box]], Cajas[Nombre], Cajas[Alto])</f>
        <v>30</v>
      </c>
      <c r="V10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01">
        <f>ROUNDUP(((Main[[#This Row],[Volumen]]*5.25))*1.36,2)</f>
        <v>41.769999999999996</v>
      </c>
      <c r="X101" s="238">
        <v>0.15859999999999999</v>
      </c>
      <c r="Y101" s="260">
        <f>Main[[#This Row],[Cantidad_Min]]*Main[[#This Row],[Precio]]*Main[[#This Row],[Qty]]</f>
        <v>184.08602150537632</v>
      </c>
      <c r="Z101">
        <f>_xlfn.XLOOKUP(Main[[#This Row],[Finca]], Fincas[Nombre], Fincas[ID])</f>
        <v>8</v>
      </c>
      <c r="AA101" t="str" cm="1">
        <f t="array" ref="AA10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fparamo,fparamo,</v>
      </c>
      <c r="AB101" s="2" t="s">
        <v>36</v>
      </c>
      <c r="AC101" s="278"/>
      <c r="AD101" s="245" t="s">
        <v>133</v>
      </c>
    </row>
    <row r="102" spans="1:30" x14ac:dyDescent="0.25">
      <c r="A102" s="161" t="s">
        <v>134</v>
      </c>
      <c r="B102" s="162">
        <v>1</v>
      </c>
      <c r="C102" s="162" t="s">
        <v>32</v>
      </c>
      <c r="D102" s="161">
        <v>70</v>
      </c>
      <c r="E102" s="261">
        <v>70</v>
      </c>
      <c r="F102" s="261" t="s">
        <v>135</v>
      </c>
      <c r="G102" t="str">
        <f>"40 White/30 Lavender " &amp; _xlfn.XLOOKUP(Main[[#This Row],[FechaEntrega]], Guias[Fecha], Guias[Llegada])</f>
        <v>40 White/30 Lavender (T/W)</v>
      </c>
      <c r="H102" s="1" t="s">
        <v>806</v>
      </c>
      <c r="I102" s="259">
        <v>0.45</v>
      </c>
      <c r="J102" s="73">
        <f>_xlfn.LET(
  _xlpm.result, 1-((Main[[#This Row],[Cost]]+Main[[#This Row],[Duties]]+Main[[#This Row],[Transport]])/((Main[[#This Row],[Precio]]*0.96))),
  IF(_xlpm.result&lt;0, "BAJO", IF(_xlpm.result&gt;1, "ALTO", _xlpm.result))
)</f>
        <v>0.21312949640287759</v>
      </c>
      <c r="K102" s="135">
        <v>1.39</v>
      </c>
      <c r="L102" s="33" t="str" cm="1">
        <f t="array" aca="1" ref="L10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02" s="156">
        <f>Guias!$B$3</f>
        <v>46296</v>
      </c>
      <c r="N102" s="234">
        <f>ROUNDUP((Main[[#This Row],[Cost]]*Main[[#This Row],[Import Duties]]),2)</f>
        <v>0.08</v>
      </c>
      <c r="O102">
        <v>0</v>
      </c>
      <c r="P102">
        <v>1</v>
      </c>
      <c r="Q102">
        <v>0</v>
      </c>
      <c r="R102" s="235">
        <f>ROUNDUP(Main[[#This Row],[Transport2]]/Main[[#This Row],[Cantidad_Min]],2)</f>
        <v>0.52</v>
      </c>
      <c r="S102">
        <f>_xlfn.XLOOKUP(Main[[#This Row],[Type of Box]], Cajas[Nombre], Cajas[Largo])</f>
        <v>105</v>
      </c>
      <c r="T102">
        <f>_xlfn.XLOOKUP(Main[[#This Row],[Type of Box]], Cajas[Nombre], Cajas[Ancho])</f>
        <v>17</v>
      </c>
      <c r="U102">
        <f>_xlfn.XLOOKUP(Main[[#This Row],[Type of Box]], Cajas[Nombre], Cajas[Alto])</f>
        <v>17</v>
      </c>
      <c r="V10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2">
        <f>ROUNDUP(((Main[[#This Row],[Volumen]]*5.25))*1.36,2)</f>
        <v>36.119999999999997</v>
      </c>
      <c r="X102" s="238">
        <v>0.15859999999999999</v>
      </c>
      <c r="Y102" s="260">
        <f>Main[[#This Row],[Cantidad_Min]]*Main[[#This Row],[Precio]]*Main[[#This Row],[Qty]]</f>
        <v>97.3</v>
      </c>
      <c r="Z102">
        <f>_xlfn.XLOOKUP(Main[[#This Row],[Finca]], Fincas[Nombre], Fincas[ID])</f>
        <v>74</v>
      </c>
      <c r="AA102" t="str" cm="1">
        <f t="array" ref="AA10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02" s="2" t="s">
        <v>36</v>
      </c>
      <c r="AC102" s="5"/>
      <c r="AD102" s="244" t="s">
        <v>136</v>
      </c>
    </row>
    <row r="103" spans="1:30" x14ac:dyDescent="0.25">
      <c r="A103" s="161" t="s">
        <v>134</v>
      </c>
      <c r="B103" s="162">
        <v>3</v>
      </c>
      <c r="C103" s="162" t="s">
        <v>32</v>
      </c>
      <c r="D103" s="161">
        <v>70</v>
      </c>
      <c r="E103" s="261">
        <v>70</v>
      </c>
      <c r="F103" s="261" t="s">
        <v>135</v>
      </c>
      <c r="G103" t="str">
        <f>"40 White/30 Lavender " &amp; _xlfn.XLOOKUP(Main[[#This Row],[FechaEntrega]], Guias[Fecha], Guias[Llegada])</f>
        <v>40 White/30 Lavender (T/W)</v>
      </c>
      <c r="H103" s="1" t="s">
        <v>906</v>
      </c>
      <c r="I103" s="259">
        <v>0.45</v>
      </c>
      <c r="J103" s="73">
        <f>_xlfn.LET(
  _xlpm.result, 1-((Main[[#This Row],[Cost]]+Main[[#This Row],[Duties]]+Main[[#This Row],[Transport]])/((Main[[#This Row],[Precio]]*0.96))),
  IF(_xlpm.result&lt;0, "BAJO", IF(_xlpm.result&gt;1, "ALTO", _xlpm.result))
)</f>
        <v>0.26593959731543615</v>
      </c>
      <c r="K103" s="135">
        <v>1.49</v>
      </c>
      <c r="L103" s="33" t="str" cm="1">
        <f t="array" aca="1" ref="L10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03" s="156">
        <f>Guias!$B$3</f>
        <v>46296</v>
      </c>
      <c r="N103" s="234">
        <f>ROUNDUP((Main[[#This Row],[Cost]]*Main[[#This Row],[Import Duties]]),2)</f>
        <v>0.08</v>
      </c>
      <c r="O103">
        <v>0</v>
      </c>
      <c r="P103">
        <v>1</v>
      </c>
      <c r="Q103">
        <v>0</v>
      </c>
      <c r="R103" s="235">
        <f>ROUNDUP(Main[[#This Row],[Transport2]]/Main[[#This Row],[Cantidad_Min]],2)</f>
        <v>0.52</v>
      </c>
      <c r="S103">
        <f>_xlfn.XLOOKUP(Main[[#This Row],[Type of Box]], Cajas[Nombre], Cajas[Largo])</f>
        <v>105</v>
      </c>
      <c r="T103">
        <f>_xlfn.XLOOKUP(Main[[#This Row],[Type of Box]], Cajas[Nombre], Cajas[Ancho])</f>
        <v>17</v>
      </c>
      <c r="U103">
        <f>_xlfn.XLOOKUP(Main[[#This Row],[Type of Box]], Cajas[Nombre], Cajas[Alto])</f>
        <v>17</v>
      </c>
      <c r="V10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3">
        <f>ROUNDUP(((Main[[#This Row],[Volumen]]*5.25))*1.36,2)</f>
        <v>36.119999999999997</v>
      </c>
      <c r="X103" s="238">
        <v>0.15859999999999999</v>
      </c>
      <c r="Y103" s="260">
        <f>Main[[#This Row],[Cantidad_Min]]*Main[[#This Row],[Precio]]*Main[[#This Row],[Qty]]</f>
        <v>312.89999999999998</v>
      </c>
      <c r="Z103">
        <f>_xlfn.XLOOKUP(Main[[#This Row],[Finca]], Fincas[Nombre], Fincas[ID])</f>
        <v>74</v>
      </c>
      <c r="AA103" t="str" cm="1">
        <f t="array" ref="AA10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jochoa,jochoa,jochoa,</v>
      </c>
      <c r="AB103" s="2" t="s">
        <v>36</v>
      </c>
      <c r="AC103" s="5"/>
      <c r="AD103" s="244" t="s">
        <v>137</v>
      </c>
    </row>
    <row r="104" spans="1:30" x14ac:dyDescent="0.25">
      <c r="A104" s="161" t="s">
        <v>134</v>
      </c>
      <c r="B104" s="162">
        <v>1</v>
      </c>
      <c r="C104" s="162" t="s">
        <v>32</v>
      </c>
      <c r="D104" s="161">
        <v>70</v>
      </c>
      <c r="E104" s="261">
        <v>70</v>
      </c>
      <c r="F104" s="261" t="s">
        <v>135</v>
      </c>
      <c r="G104" t="str">
        <f>"Seawaltz/Skywaltz " &amp; _xlfn.XLOOKUP(Main[[#This Row],[FechaEntrega]], Guias[Fecha], Guias[Llegada])</f>
        <v>Seawaltz/Skywaltz (T/W)</v>
      </c>
      <c r="H104" s="1" t="s">
        <v>907</v>
      </c>
      <c r="I104" s="259">
        <v>0.41</v>
      </c>
      <c r="J104" s="73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04" s="135">
        <v>1.39</v>
      </c>
      <c r="L104" s="33" t="str" cm="1">
        <f t="array" aca="1" ref="L10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04" s="156">
        <f>Guias!$B$3</f>
        <v>46296</v>
      </c>
      <c r="N104" s="234">
        <f>ROUNDUP((Main[[#This Row],[Cost]]*Main[[#This Row],[Import Duties]]),2)</f>
        <v>6.9999999999999993E-2</v>
      </c>
      <c r="O104">
        <v>0</v>
      </c>
      <c r="P104">
        <v>1</v>
      </c>
      <c r="Q104">
        <v>0</v>
      </c>
      <c r="R104" s="235">
        <f>ROUNDUP(Main[[#This Row],[Transport2]]/Main[[#This Row],[Cantidad_Min]],2)</f>
        <v>0.52</v>
      </c>
      <c r="S104">
        <f>_xlfn.XLOOKUP(Main[[#This Row],[Type of Box]], Cajas[Nombre], Cajas[Largo])</f>
        <v>105</v>
      </c>
      <c r="T104">
        <f>_xlfn.XLOOKUP(Main[[#This Row],[Type of Box]], Cajas[Nombre], Cajas[Ancho])</f>
        <v>17</v>
      </c>
      <c r="U104">
        <f>_xlfn.XLOOKUP(Main[[#This Row],[Type of Box]], Cajas[Nombre], Cajas[Alto])</f>
        <v>17</v>
      </c>
      <c r="V10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4">
        <f>ROUNDUP(((Main[[#This Row],[Volumen]]*5.25))*1.36,2)</f>
        <v>36.119999999999997</v>
      </c>
      <c r="X104" s="238">
        <v>0.15859999999999999</v>
      </c>
      <c r="Y104" s="260">
        <f>Main[[#This Row],[Cantidad_Min]]*Main[[#This Row],[Precio]]*Main[[#This Row],[Qty]]</f>
        <v>97.3</v>
      </c>
      <c r="Z104">
        <f>_xlfn.XLOOKUP(Main[[#This Row],[Finca]], Fincas[Nombre], Fincas[ID])</f>
        <v>74</v>
      </c>
      <c r="AA104" t="str" cm="1">
        <f t="array" ref="AA10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04" s="2" t="s">
        <v>36</v>
      </c>
      <c r="AC104" s="5"/>
      <c r="AD104" s="244" t="s">
        <v>136</v>
      </c>
    </row>
    <row r="105" spans="1:30" x14ac:dyDescent="0.25">
      <c r="A105" s="161" t="s">
        <v>134</v>
      </c>
      <c r="B105" s="162">
        <v>1</v>
      </c>
      <c r="C105" s="162" t="s">
        <v>32</v>
      </c>
      <c r="D105" s="161">
        <v>70</v>
      </c>
      <c r="E105" s="261">
        <v>70</v>
      </c>
      <c r="F105" s="261" t="s">
        <v>135</v>
      </c>
      <c r="G105" t="str">
        <f>"Seawaltz/Skywaltz " &amp; _xlfn.XLOOKUP(Main[[#This Row],[FechaEntrega]], Guias[Fecha], Guias[Llegada])</f>
        <v>Seawaltz/Skywaltz (T/W)</v>
      </c>
      <c r="H105" s="1" t="s">
        <v>908</v>
      </c>
      <c r="I105" s="259">
        <v>0.41</v>
      </c>
      <c r="J105" s="73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105" s="135">
        <v>1.49</v>
      </c>
      <c r="L105" s="33" t="str" cm="1">
        <f t="array" aca="1" ref="L10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05" s="156">
        <f>Guias!$B$3</f>
        <v>46296</v>
      </c>
      <c r="N105" s="234">
        <f>ROUNDUP((Main[[#This Row],[Cost]]*Main[[#This Row],[Import Duties]]),2)</f>
        <v>6.9999999999999993E-2</v>
      </c>
      <c r="O105">
        <v>0</v>
      </c>
      <c r="P105">
        <v>1</v>
      </c>
      <c r="Q105">
        <v>0</v>
      </c>
      <c r="R105" s="235">
        <f>ROUNDUP(Main[[#This Row],[Transport2]]/Main[[#This Row],[Cantidad_Min]],2)</f>
        <v>0.52</v>
      </c>
      <c r="S105">
        <f>_xlfn.XLOOKUP(Main[[#This Row],[Type of Box]], Cajas[Nombre], Cajas[Largo])</f>
        <v>105</v>
      </c>
      <c r="T105">
        <f>_xlfn.XLOOKUP(Main[[#This Row],[Type of Box]], Cajas[Nombre], Cajas[Ancho])</f>
        <v>17</v>
      </c>
      <c r="U105">
        <f>_xlfn.XLOOKUP(Main[[#This Row],[Type of Box]], Cajas[Nombre], Cajas[Alto])</f>
        <v>17</v>
      </c>
      <c r="V10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5">
        <f>ROUNDUP(((Main[[#This Row],[Volumen]]*5.25))*1.36,2)</f>
        <v>36.119999999999997</v>
      </c>
      <c r="X105" s="238">
        <v>0.15859999999999999</v>
      </c>
      <c r="Y105" s="260">
        <f>Main[[#This Row],[Cantidad_Min]]*Main[[#This Row],[Precio]]*Main[[#This Row],[Qty]]</f>
        <v>104.3</v>
      </c>
      <c r="Z105">
        <f>_xlfn.XLOOKUP(Main[[#This Row],[Finca]], Fincas[Nombre], Fincas[ID])</f>
        <v>74</v>
      </c>
      <c r="AA105" t="str" cm="1">
        <f t="array" ref="AA10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05" s="2" t="s">
        <v>36</v>
      </c>
      <c r="AC105" s="5"/>
      <c r="AD105" s="244" t="s">
        <v>138</v>
      </c>
    </row>
    <row r="106" spans="1:30" x14ac:dyDescent="0.25">
      <c r="A106" s="161" t="s">
        <v>60</v>
      </c>
      <c r="B106" s="162">
        <v>1</v>
      </c>
      <c r="C106" s="162" t="s">
        <v>32</v>
      </c>
      <c r="D106" s="161">
        <v>1</v>
      </c>
      <c r="E106" s="261">
        <v>1</v>
      </c>
      <c r="F106" s="261" t="s">
        <v>139</v>
      </c>
      <c r="G106" t="str">
        <f>"6 Tender Love/6 Charm/6 Trophy x 18 " &amp; _xlfn.XLOOKUP(Main[[#This Row],[FechaEntrega]], Guias[Fecha], Guias[Llegada])</f>
        <v>6 Tender Love/6 Charm/6 Trophy x 18 (W/T)</v>
      </c>
      <c r="H106" s="1" t="s">
        <v>909</v>
      </c>
      <c r="I106" s="259">
        <f>1.5*18</f>
        <v>27</v>
      </c>
      <c r="J106" s="73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06" s="135">
        <v>89.99</v>
      </c>
      <c r="L106" s="33" cm="1">
        <f t="array" aca="1" ref="L10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06" s="156">
        <f>Guias!$B$4</f>
        <v>46297</v>
      </c>
      <c r="N106" s="234">
        <f>ROUNDUP((Main[[#This Row],[Cost]]*Main[[#This Row],[Import Duties]]),2)</f>
        <v>4.29</v>
      </c>
      <c r="O106">
        <v>0</v>
      </c>
      <c r="P106">
        <v>1</v>
      </c>
      <c r="Q106">
        <v>0</v>
      </c>
      <c r="R106" s="235">
        <f>ROUNDUP(Main[[#This Row],[Transport2]]/Main[[#This Row],[Cantidad_Min]],2)</f>
        <v>36.119999999999997</v>
      </c>
      <c r="S106">
        <f>_xlfn.XLOOKUP(Main[[#This Row],[Type of Box]], Cajas[Nombre], Cajas[Largo])</f>
        <v>105</v>
      </c>
      <c r="T106">
        <f>_xlfn.XLOOKUP(Main[[#This Row],[Type of Box]], Cajas[Nombre], Cajas[Ancho])</f>
        <v>17</v>
      </c>
      <c r="U106">
        <f>_xlfn.XLOOKUP(Main[[#This Row],[Type of Box]], Cajas[Nombre], Cajas[Alto])</f>
        <v>17</v>
      </c>
      <c r="V10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6">
        <f>ROUNDUP(((Main[[#This Row],[Volumen]]*5.25))*1.36,2)</f>
        <v>36.119999999999997</v>
      </c>
      <c r="X106" s="238">
        <v>0.15859999999999999</v>
      </c>
      <c r="Y106" s="260">
        <f>Main[[#This Row],[Cantidad_Min]]*Main[[#This Row],[Precio]]*Main[[#This Row],[Qty]]</f>
        <v>89.99</v>
      </c>
      <c r="Z106">
        <f>_xlfn.XLOOKUP(Main[[#This Row],[Finca]], Fincas[Nombre], Fincas[ID])</f>
        <v>40</v>
      </c>
      <c r="AA106" t="str" cm="1">
        <f t="array" ref="AA10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06" s="2" t="s">
        <v>36</v>
      </c>
      <c r="AC106" s="5"/>
      <c r="AD106" s="244" t="s">
        <v>140</v>
      </c>
    </row>
    <row r="107" spans="1:30" x14ac:dyDescent="0.25">
      <c r="A107" s="161" t="s">
        <v>60</v>
      </c>
      <c r="B107" s="162">
        <v>1</v>
      </c>
      <c r="C107" s="162" t="s">
        <v>32</v>
      </c>
      <c r="D107" s="161">
        <v>1</v>
      </c>
      <c r="E107" s="261">
        <v>1</v>
      </c>
      <c r="F107" s="261" t="s">
        <v>139</v>
      </c>
      <c r="G107" t="str">
        <f>"9 Tender Love/9 Trophy x 18 " &amp; _xlfn.XLOOKUP(Main[[#This Row],[FechaEntrega]], Guias[Fecha], Guias[Llegada])</f>
        <v>9 Tender Love/9 Trophy x 18 (M/T)</v>
      </c>
      <c r="H107" s="1" t="s">
        <v>910</v>
      </c>
      <c r="I107" s="259">
        <f>1.5*18</f>
        <v>27</v>
      </c>
      <c r="J107" s="73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07" s="135">
        <v>89.99</v>
      </c>
      <c r="L107" s="33" t="str" cm="1">
        <f t="array" aca="1" ref="L10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07" s="156">
        <f>Guias!$B$2</f>
        <v>46295</v>
      </c>
      <c r="N107" s="234">
        <f>ROUNDUP((Main[[#This Row],[Cost]]*Main[[#This Row],[Import Duties]]),2)</f>
        <v>4.29</v>
      </c>
      <c r="O107">
        <v>0</v>
      </c>
      <c r="P107">
        <v>1</v>
      </c>
      <c r="Q107">
        <v>0</v>
      </c>
      <c r="R107" s="235">
        <f>ROUNDUP(Main[[#This Row],[Transport2]]/Main[[#This Row],[Cantidad_Min]],2)</f>
        <v>36.119999999999997</v>
      </c>
      <c r="S107">
        <f>_xlfn.XLOOKUP(Main[[#This Row],[Type of Box]], Cajas[Nombre], Cajas[Largo])</f>
        <v>105</v>
      </c>
      <c r="T107">
        <f>_xlfn.XLOOKUP(Main[[#This Row],[Type of Box]], Cajas[Nombre], Cajas[Ancho])</f>
        <v>17</v>
      </c>
      <c r="U107">
        <f>_xlfn.XLOOKUP(Main[[#This Row],[Type of Box]], Cajas[Nombre], Cajas[Alto])</f>
        <v>17</v>
      </c>
      <c r="V10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7">
        <f>ROUNDUP(((Main[[#This Row],[Volumen]]*5.25))*1.36,2)</f>
        <v>36.119999999999997</v>
      </c>
      <c r="X107" s="238">
        <v>0.15859999999999999</v>
      </c>
      <c r="Y107" s="260">
        <f>Main[[#This Row],[Cantidad_Min]]*Main[[#This Row],[Precio]]*Main[[#This Row],[Qty]]</f>
        <v>89.99</v>
      </c>
      <c r="Z107">
        <f>_xlfn.XLOOKUP(Main[[#This Row],[Finca]], Fincas[Nombre], Fincas[ID])</f>
        <v>40</v>
      </c>
      <c r="AA107" t="str" cm="1">
        <f t="array" ref="AA10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07" s="2" t="s">
        <v>36</v>
      </c>
      <c r="AC107" s="5"/>
      <c r="AD107" s="244" t="s">
        <v>141</v>
      </c>
    </row>
    <row r="108" spans="1:30" ht="15.75" thickBot="1" x14ac:dyDescent="0.3">
      <c r="A108" s="161" t="s">
        <v>142</v>
      </c>
      <c r="B108" s="162">
        <v>1</v>
      </c>
      <c r="C108" s="162" t="s">
        <v>33</v>
      </c>
      <c r="D108" s="161">
        <v>70</v>
      </c>
      <c r="E108" s="261">
        <v>70</v>
      </c>
      <c r="F108" s="261" t="s">
        <v>143</v>
      </c>
      <c r="G108" t="str">
        <f>"Red/White/Pink/Orange " &amp; _xlfn.XLOOKUP(Main[[#This Row],[FechaEntrega]], Guias[Fecha], Guias[Llegada])</f>
        <v>Red/White/Pink/Orange (T/W)</v>
      </c>
      <c r="H108" s="1" t="s">
        <v>911</v>
      </c>
      <c r="I108" s="259">
        <v>0.54</v>
      </c>
      <c r="J108" s="73">
        <f>_xlfn.LET(
  _xlpm.result, 1-((Main[[#This Row],[Cost]]+Main[[#This Row],[Duties]]+Main[[#This Row],[Transport]])/((Main[[#This Row],[Precio]]*0.96))),
  IF(_xlpm.result&lt;0, "BAJO", IF(_xlpm.result&gt;1, "ALTO", _xlpm.result))
)</f>
        <v>0.23091900311526481</v>
      </c>
      <c r="K108" s="135">
        <v>2.14</v>
      </c>
      <c r="L108" s="33" t="str" cm="1">
        <f t="array" aca="1" ref="L10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08" s="156">
        <f>Guias!$B$3</f>
        <v>46296</v>
      </c>
      <c r="N108" s="234">
        <f>ROUNDUP((Main[[#This Row],[Cost]]*Main[[#This Row],[Import Duties]]),2)</f>
        <v>0.09</v>
      </c>
      <c r="O108">
        <v>0</v>
      </c>
      <c r="P108">
        <v>1</v>
      </c>
      <c r="Q108">
        <v>0</v>
      </c>
      <c r="R108" s="235">
        <f>ROUNDUP(Main[[#This Row],[Transport2]]/Main[[#This Row],[Cantidad_Min]],2)</f>
        <v>0.95</v>
      </c>
      <c r="S108">
        <f>_xlfn.XLOOKUP(Main[[#This Row],[Type of Box]], Cajas[Nombre], Cajas[Largo])</f>
        <v>99</v>
      </c>
      <c r="T108">
        <f>_xlfn.XLOOKUP(Main[[#This Row],[Type of Box]], Cajas[Nombre], Cajas[Ancho])</f>
        <v>35</v>
      </c>
      <c r="U108">
        <f>_xlfn.XLOOKUP(Main[[#This Row],[Type of Box]], Cajas[Nombre], Cajas[Alto])</f>
        <v>16</v>
      </c>
      <c r="V1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8">
        <f>ROUNDUP(((Main[[#This Row],[Volumen]]*5.25))*1.36,2)</f>
        <v>65.98</v>
      </c>
      <c r="X108" s="238">
        <v>0.15859999999999999</v>
      </c>
      <c r="Y108" s="260">
        <f>Main[[#This Row],[Cantidad_Min]]*Main[[#This Row],[Precio]]*Main[[#This Row],[Qty]]</f>
        <v>149.80000000000001</v>
      </c>
      <c r="Z108">
        <f>_xlfn.XLOOKUP(Main[[#This Row],[Finca]], Fincas[Nombre], Fincas[ID])</f>
        <v>29</v>
      </c>
      <c r="AA108" t="str" cm="1">
        <f t="array" ref="AA10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08" s="2" t="s">
        <v>36</v>
      </c>
      <c r="AC108" s="278"/>
      <c r="AD108" s="245" t="s">
        <v>65</v>
      </c>
    </row>
    <row r="109" spans="1:30" ht="15.75" thickBot="1" x14ac:dyDescent="0.3">
      <c r="A109" s="161" t="s">
        <v>142</v>
      </c>
      <c r="B109" s="162">
        <v>1</v>
      </c>
      <c r="C109" s="162" t="s">
        <v>33</v>
      </c>
      <c r="D109" s="161">
        <v>70</v>
      </c>
      <c r="E109" s="261">
        <v>70</v>
      </c>
      <c r="F109" s="261" t="s">
        <v>168</v>
      </c>
      <c r="G109" t="str">
        <f>"Red/White/Pink/Orange " &amp; _xlfn.XLOOKUP(Main[[#This Row],[FechaEntrega]], Guias[Fecha], Guias[Llegada])</f>
        <v>Red/White/Pink/Orange (T/W)</v>
      </c>
      <c r="H109" s="1" t="s">
        <v>912</v>
      </c>
      <c r="I109" s="259">
        <v>0.54</v>
      </c>
      <c r="J109" s="73">
        <f>_xlfn.LET(
  _xlpm.result, 1-((Main[[#This Row],[Cost]]+Main[[#This Row],[Duties]]+Main[[#This Row],[Transport]])/((Main[[#This Row],[Precio]]*0.96))),
  IF(_xlpm.result&lt;0, "BAJO", IF(_xlpm.result&gt;1, "ALTO", _xlpm.result))
)</f>
        <v>0.24847792998477924</v>
      </c>
      <c r="K109" s="172">
        <f>IF(OR(AND(ISNUMBER(FIND("(*PAR)",
UPPER(Main[[#This Row],[Standing Orders]]))),
MOD(IFERROR(VALUE(Guias!$M$2),0),2)=0),
AND(ISNUMBER(FIND("(*IMPAR)",
UPPER(Main[[#This Row],[Standing Orders]]))),
MOD(IFERROR(VALUE(Guias!$M$2),
0),2)=1)), 2.16, 2.19)</f>
        <v>2.19</v>
      </c>
      <c r="L109" s="33" t="str" cm="1">
        <f t="array" aca="1" ref="L10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09" s="156">
        <f>Guias!$B$3</f>
        <v>46296</v>
      </c>
      <c r="N109" s="234">
        <f>ROUNDUP((Main[[#This Row],[Cost]]*Main[[#This Row],[Import Duties]]),2)</f>
        <v>0.09</v>
      </c>
      <c r="O109">
        <v>0</v>
      </c>
      <c r="P109">
        <v>1</v>
      </c>
      <c r="Q109">
        <v>0</v>
      </c>
      <c r="R109" s="235">
        <f>ROUNDUP(Main[[#This Row],[Transport2]]/Main[[#This Row],[Cantidad_Min]],2)</f>
        <v>0.95</v>
      </c>
      <c r="S109">
        <f>_xlfn.XLOOKUP(Main[[#This Row],[Type of Box]], Cajas[Nombre], Cajas[Largo])</f>
        <v>99</v>
      </c>
      <c r="T109">
        <f>_xlfn.XLOOKUP(Main[[#This Row],[Type of Box]], Cajas[Nombre], Cajas[Ancho])</f>
        <v>35</v>
      </c>
      <c r="U109">
        <f>_xlfn.XLOOKUP(Main[[#This Row],[Type of Box]], Cajas[Nombre], Cajas[Alto])</f>
        <v>16</v>
      </c>
      <c r="V10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9">
        <f>ROUNDUP(((Main[[#This Row],[Volumen]]*5.25))*1.36,2)</f>
        <v>65.98</v>
      </c>
      <c r="X109" s="238">
        <v>0.15859999999999999</v>
      </c>
      <c r="Y109" s="260">
        <f>Main[[#This Row],[Cantidad_Min]]*Main[[#This Row],[Precio]]*Main[[#This Row],[Qty]]</f>
        <v>153.29999999999998</v>
      </c>
      <c r="Z109">
        <f>_xlfn.XLOOKUP(Main[[#This Row],[Finca]], Fincas[Nombre], Fincas[ID])</f>
        <v>29</v>
      </c>
      <c r="AA109" t="str" cm="1">
        <f t="array" ref="AA10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09" s="2" t="s">
        <v>36</v>
      </c>
      <c r="AC109" s="5"/>
      <c r="AD109" s="244" t="s">
        <v>739</v>
      </c>
    </row>
    <row r="110" spans="1:30" x14ac:dyDescent="0.25">
      <c r="A110" s="161" t="s">
        <v>458</v>
      </c>
      <c r="B110" s="162">
        <v>1</v>
      </c>
      <c r="C110" s="162" t="s">
        <v>32</v>
      </c>
      <c r="D110" s="161">
        <v>70</v>
      </c>
      <c r="E110" s="261">
        <v>70</v>
      </c>
      <c r="F110" s="261" t="s">
        <v>145</v>
      </c>
      <c r="G110" t="str">
        <f>"Blue/Light Blue/Lavender/White " &amp; _xlfn.XLOOKUP(Main[[#This Row],[FechaEntrega]], Guias[Fecha], Guias[Llegada])</f>
        <v>Blue/Light Blue/Lavender/White (T/W)</v>
      </c>
      <c r="H110" s="1" t="s">
        <v>913</v>
      </c>
      <c r="I110" s="259">
        <v>0.5</v>
      </c>
      <c r="J110" s="73">
        <f>_xlfn.LET(
  _xlpm.result, 1-((Main[[#This Row],[Cost]]+Main[[#This Row],[Duties]]+Main[[#This Row],[Transport]])/((Main[[#This Row],[Precio]]*0.96))),
  IF(_xlpm.result&lt;0, "BAJO", IF(_xlpm.result&gt;1, "ALTO", _xlpm.result))
)</f>
        <v>0.21064814814814814</v>
      </c>
      <c r="K110" s="135">
        <v>1.4516129032258065</v>
      </c>
      <c r="L110" s="33" t="str" cm="1">
        <f t="array" aca="1" ref="L1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10" s="156">
        <f>Guias!$B$3</f>
        <v>46296</v>
      </c>
      <c r="N110" s="234">
        <f>ROUNDUP((Main[[#This Row],[Cost]]*Main[[#This Row],[Import Duties]]),2)</f>
        <v>0.08</v>
      </c>
      <c r="O110">
        <v>0</v>
      </c>
      <c r="P110">
        <v>1</v>
      </c>
      <c r="Q110">
        <v>0</v>
      </c>
      <c r="R110" s="235">
        <f>ROUNDUP(Main[[#This Row],[Transport2]]/Main[[#This Row],[Cantidad_Min]],2)</f>
        <v>0.52</v>
      </c>
      <c r="S110">
        <f>_xlfn.XLOOKUP(Main[[#This Row],[Type of Box]], Cajas[Nombre], Cajas[Largo])</f>
        <v>105</v>
      </c>
      <c r="T110">
        <f>_xlfn.XLOOKUP(Main[[#This Row],[Type of Box]], Cajas[Nombre], Cajas[Ancho])</f>
        <v>17</v>
      </c>
      <c r="U110">
        <f>_xlfn.XLOOKUP(Main[[#This Row],[Type of Box]], Cajas[Nombre], Cajas[Alto])</f>
        <v>17</v>
      </c>
      <c r="V1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0">
        <f>ROUNDUP(((Main[[#This Row],[Volumen]]*5.25))*1.36,2)</f>
        <v>36.119999999999997</v>
      </c>
      <c r="X110" s="238">
        <v>0.15859999999999999</v>
      </c>
      <c r="Y110" s="260">
        <f>Main[[#This Row],[Cantidad_Min]]*Main[[#This Row],[Precio]]*Main[[#This Row],[Qty]]</f>
        <v>101.61290322580645</v>
      </c>
      <c r="Z110">
        <f>_xlfn.XLOOKUP(Main[[#This Row],[Finca]], Fincas[Nombre], Fincas[ID])</f>
        <v>43</v>
      </c>
      <c r="AA110" t="str" cm="1">
        <f t="array" ref="AA1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10" s="2" t="s">
        <v>36</v>
      </c>
      <c r="AC110" s="5"/>
      <c r="AD110" s="244" t="s">
        <v>146</v>
      </c>
    </row>
    <row r="111" spans="1:30" x14ac:dyDescent="0.25">
      <c r="A111" s="161" t="s">
        <v>458</v>
      </c>
      <c r="B111" s="162">
        <v>1</v>
      </c>
      <c r="C111" s="162" t="s">
        <v>32</v>
      </c>
      <c r="D111" s="161">
        <v>70</v>
      </c>
      <c r="E111" s="261">
        <v>70</v>
      </c>
      <c r="F111" s="261" t="s">
        <v>145</v>
      </c>
      <c r="G111" t="str">
        <f>"Blue/Light Blue/Lavender/White " &amp; _xlfn.XLOOKUP(Main[[#This Row],[FechaEntrega]], Guias[Fecha], Guias[Llegada])</f>
        <v>Blue/Light Blue/Lavender/White (T/W)</v>
      </c>
      <c r="H111" s="1" t="s">
        <v>914</v>
      </c>
      <c r="I111" s="259">
        <v>0.5</v>
      </c>
      <c r="J111" s="73">
        <f>_xlfn.LET(
  _xlpm.result, 1-((Main[[#This Row],[Cost]]+Main[[#This Row],[Duties]]+Main[[#This Row],[Transport]])/((Main[[#This Row],[Precio]]*0.96))),
  IF(_xlpm.result&lt;0, "BAJO", IF(_xlpm.result&gt;1, "ALTO", _xlpm.result))
)</f>
        <v>0.24116997792494477</v>
      </c>
      <c r="K111" s="135">
        <v>1.51</v>
      </c>
      <c r="L111" s="33" t="str" cm="1">
        <f t="array" aca="1" ref="L1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11" s="156">
        <f>Guias!$B$3</f>
        <v>46296</v>
      </c>
      <c r="N111" s="234">
        <f>ROUNDUP((Main[[#This Row],[Cost]]*Main[[#This Row],[Import Duties]]),2)</f>
        <v>0.08</v>
      </c>
      <c r="O111">
        <v>0</v>
      </c>
      <c r="P111">
        <v>1</v>
      </c>
      <c r="Q111">
        <v>0</v>
      </c>
      <c r="R111" s="235">
        <f>ROUNDUP(Main[[#This Row],[Transport2]]/Main[[#This Row],[Cantidad_Min]],2)</f>
        <v>0.52</v>
      </c>
      <c r="S111">
        <f>_xlfn.XLOOKUP(Main[[#This Row],[Type of Box]], Cajas[Nombre], Cajas[Largo])</f>
        <v>105</v>
      </c>
      <c r="T111">
        <f>_xlfn.XLOOKUP(Main[[#This Row],[Type of Box]], Cajas[Nombre], Cajas[Ancho])</f>
        <v>17</v>
      </c>
      <c r="U111">
        <f>_xlfn.XLOOKUP(Main[[#This Row],[Type of Box]], Cajas[Nombre], Cajas[Alto])</f>
        <v>17</v>
      </c>
      <c r="V1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1">
        <f>ROUNDUP(((Main[[#This Row],[Volumen]]*5.25))*1.36,2)</f>
        <v>36.119999999999997</v>
      </c>
      <c r="X111" s="238">
        <v>0.15859999999999999</v>
      </c>
      <c r="Y111" s="260">
        <f>Main[[#This Row],[Cantidad_Min]]*Main[[#This Row],[Precio]]*Main[[#This Row],[Qty]]</f>
        <v>105.7</v>
      </c>
      <c r="Z111">
        <f>_xlfn.XLOOKUP(Main[[#This Row],[Finca]], Fincas[Nombre], Fincas[ID])</f>
        <v>43</v>
      </c>
      <c r="AA111" t="str" cm="1">
        <f t="array" ref="AA1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11" s="2" t="s">
        <v>36</v>
      </c>
      <c r="AC111" s="5"/>
      <c r="AD111" s="244" t="s">
        <v>147</v>
      </c>
    </row>
    <row r="112" spans="1:30" x14ac:dyDescent="0.25">
      <c r="A112" s="161" t="s">
        <v>54</v>
      </c>
      <c r="B112" s="162">
        <v>1</v>
      </c>
      <c r="C112" s="162" t="s">
        <v>32</v>
      </c>
      <c r="D112" s="161">
        <v>70</v>
      </c>
      <c r="E112" s="261">
        <v>70</v>
      </c>
      <c r="F112" s="261" t="s">
        <v>148</v>
      </c>
      <c r="G112" t="str">
        <f>"Red/Yellow/Orange/White/Lavender/Ligth Pink/Hot Pink " &amp; _xlfn.XLOOKUP(Main[[#This Row],[FechaEntrega]], Guias[Fecha], Guias[Llegada])</f>
        <v>Red/Yellow/Orange/White/Lavender/Ligth Pink/Hot Pink (T/W)</v>
      </c>
      <c r="H112" s="1" t="s">
        <v>915</v>
      </c>
      <c r="I112" s="259">
        <v>0.21</v>
      </c>
      <c r="J112" s="73">
        <f>_xlfn.LET(
  _xlpm.result, 1-((Main[[#This Row],[Cost]]+Main[[#This Row],[Duties]]+Main[[#This Row],[Transport]])/((Main[[#This Row],[Precio]]*0.96))),
  IF(_xlpm.result&lt;0, "BAJO", IF(_xlpm.result&gt;1, "ALTO", _xlpm.result))
)</f>
        <v>0.26414373088685017</v>
      </c>
      <c r="K112" s="135">
        <v>1.0900000000000001</v>
      </c>
      <c r="L112" s="33" t="str" cm="1">
        <f t="array" aca="1" ref="L1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12" s="156">
        <f>Guias!$B$3</f>
        <v>46296</v>
      </c>
      <c r="N112" s="234">
        <f>ROUNDUP((Main[[#This Row],[Cost]]*Main[[#This Row],[Import Duties]]),2)</f>
        <v>0.04</v>
      </c>
      <c r="O112">
        <v>0</v>
      </c>
      <c r="P112">
        <v>1</v>
      </c>
      <c r="Q112">
        <v>0</v>
      </c>
      <c r="R112" s="235">
        <f>ROUNDUP(Main[[#This Row],[Transport2]]/Main[[#This Row],[Cantidad_Min]],2)</f>
        <v>0.52</v>
      </c>
      <c r="S112">
        <f>_xlfn.XLOOKUP(Main[[#This Row],[Type of Box]], Cajas[Nombre], Cajas[Largo])</f>
        <v>105</v>
      </c>
      <c r="T112">
        <f>_xlfn.XLOOKUP(Main[[#This Row],[Type of Box]], Cajas[Nombre], Cajas[Ancho])</f>
        <v>17</v>
      </c>
      <c r="U112">
        <f>_xlfn.XLOOKUP(Main[[#This Row],[Type of Box]], Cajas[Nombre], Cajas[Alto])</f>
        <v>17</v>
      </c>
      <c r="V11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2">
        <f>ROUNDUP(((Main[[#This Row],[Volumen]]*5.25))*1.36,2)</f>
        <v>36.119999999999997</v>
      </c>
      <c r="X112" s="238">
        <v>0.15859999999999999</v>
      </c>
      <c r="Y112" s="260">
        <f>Main[[#This Row],[Cantidad_Min]]*Main[[#This Row],[Precio]]*Main[[#This Row],[Qty]]</f>
        <v>76.300000000000011</v>
      </c>
      <c r="Z112">
        <f>_xlfn.XLOOKUP(Main[[#This Row],[Finca]], Fincas[Nombre], Fincas[ID])</f>
        <v>58</v>
      </c>
      <c r="AA112" t="str" cm="1">
        <f t="array" ref="AA1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12" s="2" t="s">
        <v>36</v>
      </c>
      <c r="AC112" s="5"/>
      <c r="AD112" s="245" t="s">
        <v>149</v>
      </c>
    </row>
    <row r="113" spans="1:30" x14ac:dyDescent="0.25">
      <c r="A113" s="161" t="s">
        <v>54</v>
      </c>
      <c r="B113" s="162">
        <v>1</v>
      </c>
      <c r="C113" s="162" t="s">
        <v>33</v>
      </c>
      <c r="D113" s="161">
        <v>60</v>
      </c>
      <c r="E113" s="261">
        <v>60</v>
      </c>
      <c r="F113" s="261" t="s">
        <v>150</v>
      </c>
      <c r="G113" t="str">
        <f>"40 Hot Pink/20 White " &amp; _xlfn.XLOOKUP(Main[[#This Row],[FechaEntrega]], Guias[Fecha], Guias[Llegada])</f>
        <v>40 Hot Pink/20 White (M/T)</v>
      </c>
      <c r="H113" s="1" t="s">
        <v>916</v>
      </c>
      <c r="I113" s="259">
        <v>0.85</v>
      </c>
      <c r="J113" s="73">
        <f>_xlfn.LET(
  _xlpm.result, 1-((Main[[#This Row],[Cost]]+Main[[#This Row],[Duties]]+Main[[#This Row],[Transport]])/((Main[[#This Row],[Precio]]*0.96))),
  IF(_xlpm.result&lt;0, "BAJO", IF(_xlpm.result&gt;1, "ALTO", _xlpm.result))
)</f>
        <v>0.2920673076923076</v>
      </c>
      <c r="K113" s="135">
        <v>3.0752688172043006</v>
      </c>
      <c r="L113" s="33" t="str" cm="1">
        <f t="array" aca="1" ref="L1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13" s="156">
        <f>Guias!$B$2</f>
        <v>46295</v>
      </c>
      <c r="N113" s="234">
        <f>ROUNDUP((Main[[#This Row],[Cost]]*Main[[#This Row],[Import Duties]]),2)</f>
        <v>0.14000000000000001</v>
      </c>
      <c r="O113">
        <v>0</v>
      </c>
      <c r="P113">
        <v>1</v>
      </c>
      <c r="Q113">
        <v>0</v>
      </c>
      <c r="R113" s="235">
        <f>ROUNDUP(Main[[#This Row],[Transport2]]/Main[[#This Row],[Cantidad_Min]],2)</f>
        <v>1.1000000000000001</v>
      </c>
      <c r="S113">
        <f>_xlfn.XLOOKUP(Main[[#This Row],[Type of Box]], Cajas[Nombre], Cajas[Largo])</f>
        <v>99</v>
      </c>
      <c r="T113">
        <f>_xlfn.XLOOKUP(Main[[#This Row],[Type of Box]], Cajas[Nombre], Cajas[Ancho])</f>
        <v>35</v>
      </c>
      <c r="U113">
        <f>_xlfn.XLOOKUP(Main[[#This Row],[Type of Box]], Cajas[Nombre], Cajas[Alto])</f>
        <v>16</v>
      </c>
      <c r="V1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3">
        <f>ROUNDUP(((Main[[#This Row],[Volumen]]*5.25))*1.36,2)</f>
        <v>65.98</v>
      </c>
      <c r="X113" s="238">
        <v>0.15859999999999999</v>
      </c>
      <c r="Y113" s="260">
        <f>Main[[#This Row],[Cantidad_Min]]*Main[[#This Row],[Precio]]*Main[[#This Row],[Qty]]</f>
        <v>184.51612903225802</v>
      </c>
      <c r="Z113">
        <f>_xlfn.XLOOKUP(Main[[#This Row],[Finca]], Fincas[Nombre], Fincas[ID])</f>
        <v>58</v>
      </c>
      <c r="AA113" t="str" cm="1">
        <f t="array" ref="AA1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3" s="2" t="s">
        <v>36</v>
      </c>
      <c r="AC113" s="5"/>
      <c r="AD113" s="244" t="s">
        <v>47</v>
      </c>
    </row>
    <row r="114" spans="1:30" x14ac:dyDescent="0.25">
      <c r="A114" s="161" t="s">
        <v>54</v>
      </c>
      <c r="B114" s="162">
        <v>1</v>
      </c>
      <c r="C114" s="162" t="s">
        <v>33</v>
      </c>
      <c r="D114" s="161">
        <v>60</v>
      </c>
      <c r="E114" s="261">
        <v>60</v>
      </c>
      <c r="F114" s="261" t="s">
        <v>150</v>
      </c>
      <c r="G114" t="str">
        <f>"30 White/30 Starfighter " &amp; _xlfn.XLOOKUP(Main[[#This Row],[FechaEntrega]], Guias[Fecha], Guias[Llegada])</f>
        <v>30 White/30 Starfighter (T/W)</v>
      </c>
      <c r="H114" s="1" t="s">
        <v>917</v>
      </c>
      <c r="I114" s="259">
        <v>0.85</v>
      </c>
      <c r="J114" s="73">
        <f>_xlfn.LET(
  _xlpm.result, 1-((Main[[#This Row],[Cost]]+Main[[#This Row],[Duties]]+Main[[#This Row],[Transport]])/((Main[[#This Row],[Precio]]*0.96))),
  IF(_xlpm.result&lt;0, "BAJO", IF(_xlpm.result&gt;1, "ALTO", _xlpm.result))
)</f>
        <v>0.29544228694714125</v>
      </c>
      <c r="K114" s="135">
        <v>3.09</v>
      </c>
      <c r="L114" s="33" t="str" cm="1">
        <f t="array" aca="1" ref="L1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14" s="156">
        <f>Guias!$B$3</f>
        <v>46296</v>
      </c>
      <c r="N114" s="234">
        <f>ROUNDUP((Main[[#This Row],[Cost]]*Main[[#This Row],[Import Duties]]),2)</f>
        <v>0.14000000000000001</v>
      </c>
      <c r="O114">
        <v>0</v>
      </c>
      <c r="P114">
        <v>1</v>
      </c>
      <c r="Q114">
        <v>0</v>
      </c>
      <c r="R114" s="235">
        <f>ROUNDUP(Main[[#This Row],[Transport2]]/Main[[#This Row],[Cantidad_Min]],2)</f>
        <v>1.1000000000000001</v>
      </c>
      <c r="S114">
        <f>_xlfn.XLOOKUP(Main[[#This Row],[Type of Box]], Cajas[Nombre], Cajas[Largo])</f>
        <v>99</v>
      </c>
      <c r="T114">
        <f>_xlfn.XLOOKUP(Main[[#This Row],[Type of Box]], Cajas[Nombre], Cajas[Ancho])</f>
        <v>35</v>
      </c>
      <c r="U114">
        <f>_xlfn.XLOOKUP(Main[[#This Row],[Type of Box]], Cajas[Nombre], Cajas[Alto])</f>
        <v>16</v>
      </c>
      <c r="V11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4">
        <f>ROUNDUP(((Main[[#This Row],[Volumen]]*5.25))*1.36,2)</f>
        <v>65.98</v>
      </c>
      <c r="X114" s="238">
        <v>0.15859999999999999</v>
      </c>
      <c r="Y114" s="260">
        <f>Main[[#This Row],[Cantidad_Min]]*Main[[#This Row],[Precio]]*Main[[#This Row],[Qty]]</f>
        <v>185.39999999999998</v>
      </c>
      <c r="Z114">
        <f>_xlfn.XLOOKUP(Main[[#This Row],[Finca]], Fincas[Nombre], Fincas[ID])</f>
        <v>58</v>
      </c>
      <c r="AA114" t="str" cm="1">
        <f t="array" ref="AA1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14" s="2" t="s">
        <v>36</v>
      </c>
      <c r="AC114" s="5"/>
      <c r="AD114" s="244" t="s">
        <v>66</v>
      </c>
    </row>
    <row r="115" spans="1:30" x14ac:dyDescent="0.25">
      <c r="A115" s="161" t="s">
        <v>54</v>
      </c>
      <c r="B115" s="162">
        <v>1</v>
      </c>
      <c r="C115" s="162" t="s">
        <v>33</v>
      </c>
      <c r="D115" s="161">
        <v>110</v>
      </c>
      <c r="E115" s="261">
        <v>110</v>
      </c>
      <c r="F115" s="261" t="s">
        <v>151</v>
      </c>
      <c r="G115" t="str">
        <f>"Assorted Colors " &amp; _xlfn.XLOOKUP(Main[[#This Row],[FechaEntrega]], Guias[Fecha], Guias[Llegada])</f>
        <v>Assorted Colors (W/T)</v>
      </c>
      <c r="H115" s="1" t="s">
        <v>918</v>
      </c>
      <c r="I115" s="259">
        <v>0.4</v>
      </c>
      <c r="J115" s="73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15" s="135">
        <v>1.49</v>
      </c>
      <c r="L115" s="33" cm="1">
        <f t="array" aca="1" ref="L1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15" s="156">
        <f>Guias!$B$4</f>
        <v>46297</v>
      </c>
      <c r="N115" s="169">
        <f>ROUNDUP((Main[[#This Row],[Cost]]*Main[[#This Row],[Import Duties]]),2)</f>
        <v>6.9999999999999993E-2</v>
      </c>
      <c r="O115">
        <v>0</v>
      </c>
      <c r="P115">
        <v>1</v>
      </c>
      <c r="Q115">
        <v>0</v>
      </c>
      <c r="R115" s="170">
        <f>ROUNDUP(Main[[#This Row],[Transport2]]/Main[[#This Row],[Cantidad_Min]],2)</f>
        <v>0.6</v>
      </c>
      <c r="S115">
        <f>_xlfn.XLOOKUP(Main[[#This Row],[Type of Box]], Cajas[Nombre], Cajas[Largo])</f>
        <v>99</v>
      </c>
      <c r="T115">
        <f>_xlfn.XLOOKUP(Main[[#This Row],[Type of Box]], Cajas[Nombre], Cajas[Ancho])</f>
        <v>35</v>
      </c>
      <c r="U115">
        <f>_xlfn.XLOOKUP(Main[[#This Row],[Type of Box]], Cajas[Nombre], Cajas[Alto])</f>
        <v>16</v>
      </c>
      <c r="V11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5">
        <f>ROUNDUP(((Main[[#This Row],[Volumen]]*5.25))*1.36,2)</f>
        <v>65.98</v>
      </c>
      <c r="X115" s="238">
        <v>0.15859999999999999</v>
      </c>
      <c r="Y115" s="260">
        <f>Main[[#This Row],[Cantidad_Min]]*Main[[#This Row],[Precio]]*Main[[#This Row],[Qty]]</f>
        <v>163.9</v>
      </c>
      <c r="Z115">
        <f>_xlfn.XLOOKUP(Main[[#This Row],[Finca]], Fincas[Nombre], Fincas[ID])</f>
        <v>58</v>
      </c>
      <c r="AA115" t="str" cm="1">
        <f t="array" ref="AA1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5" s="2" t="s">
        <v>36</v>
      </c>
      <c r="AC115" s="5"/>
      <c r="AD115" s="244" t="s">
        <v>65</v>
      </c>
    </row>
    <row r="116" spans="1:30" x14ac:dyDescent="0.25">
      <c r="A116" s="161" t="s">
        <v>54</v>
      </c>
      <c r="B116" s="162">
        <v>1</v>
      </c>
      <c r="C116" s="162" t="s">
        <v>33</v>
      </c>
      <c r="D116" s="161">
        <v>110</v>
      </c>
      <c r="E116" s="261">
        <v>110</v>
      </c>
      <c r="F116" s="261" t="s">
        <v>151</v>
      </c>
      <c r="G116" t="str">
        <f>"Assorted Colors " &amp; _xlfn.XLOOKUP(Main[[#This Row],[FechaEntrega]], Guias[Fecha], Guias[Llegada])</f>
        <v>Assorted Colors (W/T)</v>
      </c>
      <c r="H116" s="1" t="s">
        <v>919</v>
      </c>
      <c r="I116" s="259">
        <v>0.4</v>
      </c>
      <c r="J116" s="73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16" s="135">
        <v>1.49</v>
      </c>
      <c r="L116" s="33" cm="1">
        <f t="array" aca="1" ref="L1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16" s="156">
        <f>Guias!$B$4</f>
        <v>46297</v>
      </c>
      <c r="N116" s="169">
        <f>ROUNDUP((Main[[#This Row],[Cost]]*Main[[#This Row],[Import Duties]]),2)</f>
        <v>6.9999999999999993E-2</v>
      </c>
      <c r="O116">
        <v>0</v>
      </c>
      <c r="P116">
        <v>1</v>
      </c>
      <c r="Q116">
        <v>0</v>
      </c>
      <c r="R116" s="170">
        <f>ROUNDUP(Main[[#This Row],[Transport2]]/Main[[#This Row],[Cantidad_Min]],2)</f>
        <v>0.6</v>
      </c>
      <c r="S116">
        <f>_xlfn.XLOOKUP(Main[[#This Row],[Type of Box]], Cajas[Nombre], Cajas[Largo])</f>
        <v>99</v>
      </c>
      <c r="T116">
        <f>_xlfn.XLOOKUP(Main[[#This Row],[Type of Box]], Cajas[Nombre], Cajas[Ancho])</f>
        <v>35</v>
      </c>
      <c r="U116">
        <f>_xlfn.XLOOKUP(Main[[#This Row],[Type of Box]], Cajas[Nombre], Cajas[Alto])</f>
        <v>16</v>
      </c>
      <c r="V11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6">
        <f>ROUNDUP(((Main[[#This Row],[Volumen]]*5.25))*1.36,2)</f>
        <v>65.98</v>
      </c>
      <c r="X116" s="238">
        <v>0.15859999999999999</v>
      </c>
      <c r="Y116" s="260">
        <f>Main[[#This Row],[Cantidad_Min]]*Main[[#This Row],[Precio]]*Main[[#This Row],[Qty]]</f>
        <v>163.9</v>
      </c>
      <c r="Z116">
        <f>_xlfn.XLOOKUP(Main[[#This Row],[Finca]], Fincas[Nombre], Fincas[ID])</f>
        <v>58</v>
      </c>
      <c r="AA116" t="str" cm="1">
        <f t="array" ref="AA1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6" s="2" t="s">
        <v>36</v>
      </c>
      <c r="AC116" s="5"/>
      <c r="AD116" s="244" t="s">
        <v>49</v>
      </c>
    </row>
    <row r="117" spans="1:30" x14ac:dyDescent="0.25">
      <c r="A117" s="161" t="s">
        <v>54</v>
      </c>
      <c r="B117" s="162">
        <v>1</v>
      </c>
      <c r="C117" s="162" t="s">
        <v>33</v>
      </c>
      <c r="D117" s="161">
        <v>110</v>
      </c>
      <c r="E117" s="261">
        <v>110</v>
      </c>
      <c r="F117" s="261" t="s">
        <v>151</v>
      </c>
      <c r="G117" t="str">
        <f>"Assorted Colors " &amp; _xlfn.XLOOKUP(Main[[#This Row],[FechaEntrega]], Guias[Fecha], Guias[Llegada])</f>
        <v>Assorted Colors (W/T)</v>
      </c>
      <c r="H117" s="1" t="s">
        <v>920</v>
      </c>
      <c r="I117" s="259">
        <v>0.4</v>
      </c>
      <c r="J117" s="73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17" s="135">
        <v>1.49</v>
      </c>
      <c r="L117" s="33" cm="1">
        <f t="array" aca="1" ref="L1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17" s="156">
        <f>Guias!$B$4</f>
        <v>46297</v>
      </c>
      <c r="N117" s="234">
        <f>ROUNDUP((Main[[#This Row],[Cost]]*Main[[#This Row],[Import Duties]]),2)</f>
        <v>6.9999999999999993E-2</v>
      </c>
      <c r="O117">
        <v>0</v>
      </c>
      <c r="P117">
        <v>1</v>
      </c>
      <c r="Q117">
        <v>0</v>
      </c>
      <c r="R117" s="235">
        <f>ROUNDUP(Main[[#This Row],[Transport2]]/Main[[#This Row],[Cantidad_Min]],2)</f>
        <v>0.6</v>
      </c>
      <c r="S117">
        <f>_xlfn.XLOOKUP(Main[[#This Row],[Type of Box]], Cajas[Nombre], Cajas[Largo])</f>
        <v>99</v>
      </c>
      <c r="T117">
        <f>_xlfn.XLOOKUP(Main[[#This Row],[Type of Box]], Cajas[Nombre], Cajas[Ancho])</f>
        <v>35</v>
      </c>
      <c r="U117">
        <f>_xlfn.XLOOKUP(Main[[#This Row],[Type of Box]], Cajas[Nombre], Cajas[Alto])</f>
        <v>16</v>
      </c>
      <c r="V11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7">
        <f>ROUNDUP(((Main[[#This Row],[Volumen]]*5.25))*1.36,2)</f>
        <v>65.98</v>
      </c>
      <c r="X117" s="238">
        <v>0.15859999999999999</v>
      </c>
      <c r="Y117" s="260">
        <f>Main[[#This Row],[Cantidad_Min]]*Main[[#This Row],[Precio]]*Main[[#This Row],[Qty]]</f>
        <v>163.9</v>
      </c>
      <c r="Z117">
        <f>_xlfn.XLOOKUP(Main[[#This Row],[Finca]], Fincas[Nombre], Fincas[ID])</f>
        <v>58</v>
      </c>
      <c r="AA117" t="str" cm="1">
        <f t="array" ref="AA1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17" s="2" t="s">
        <v>36</v>
      </c>
      <c r="AC117" s="5"/>
      <c r="AD117" s="244" t="s">
        <v>53</v>
      </c>
    </row>
    <row r="118" spans="1:30" x14ac:dyDescent="0.25">
      <c r="A118" s="161" t="s">
        <v>54</v>
      </c>
      <c r="B118" s="162">
        <v>1</v>
      </c>
      <c r="C118" s="162" t="s">
        <v>33</v>
      </c>
      <c r="D118" s="161">
        <v>100</v>
      </c>
      <c r="E118" s="261">
        <v>100</v>
      </c>
      <c r="F118" s="261" t="s">
        <v>152</v>
      </c>
      <c r="G118" t="str">
        <f>"20 Petruska Light/20 Salmon Pink/20 Romancero/20 Andrea/20 Linette " &amp; _xlfn.XLOOKUP(Main[[#This Row],[FechaEntrega]], Guias[Fecha], Guias[Llegada])</f>
        <v>20 Petruska Light/20 Salmon Pink/20 Romancero/20 Andrea/20 Linette (M/T)</v>
      </c>
      <c r="H118" s="1" t="s">
        <v>921</v>
      </c>
      <c r="I118" s="259">
        <v>0.35</v>
      </c>
      <c r="J118" s="73">
        <f>_xlfn.LET(
  _xlpm.result, 1-((Main[[#This Row],[Cost]]+Main[[#This Row],[Duties]]+Main[[#This Row],[Transport]])/((Main[[#This Row],[Precio]]*0.96))),
  IF(_xlpm.result&lt;0, "BAJO", IF(_xlpm.result&gt;1, "ALTO", _xlpm.result))
)</f>
        <v>0.28016493055555547</v>
      </c>
      <c r="K118" s="135">
        <v>1.5483870967741935</v>
      </c>
      <c r="L118" s="33" t="str" cm="1">
        <f t="array" aca="1" ref="L1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18" s="156">
        <f>Guias!$B$2</f>
        <v>46295</v>
      </c>
      <c r="N118" s="234">
        <f>ROUNDUP((Main[[#This Row],[Cost]]*Main[[#This Row],[Import Duties]]),2)</f>
        <v>6.0000000000000005E-2</v>
      </c>
      <c r="O118">
        <v>0</v>
      </c>
      <c r="P118">
        <v>1</v>
      </c>
      <c r="Q118">
        <v>0</v>
      </c>
      <c r="R118" s="235">
        <f>ROUNDUP(Main[[#This Row],[Transport2]]/Main[[#This Row],[Cantidad_Min]],2)</f>
        <v>0.66</v>
      </c>
      <c r="S118">
        <f>_xlfn.XLOOKUP(Main[[#This Row],[Type of Box]], Cajas[Nombre], Cajas[Largo])</f>
        <v>99</v>
      </c>
      <c r="T118">
        <f>_xlfn.XLOOKUP(Main[[#This Row],[Type of Box]], Cajas[Nombre], Cajas[Ancho])</f>
        <v>35</v>
      </c>
      <c r="U118">
        <f>_xlfn.XLOOKUP(Main[[#This Row],[Type of Box]], Cajas[Nombre], Cajas[Alto])</f>
        <v>16</v>
      </c>
      <c r="V1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8">
        <f>ROUNDUP(((Main[[#This Row],[Volumen]]*5.25))*1.36,2)</f>
        <v>65.98</v>
      </c>
      <c r="X118" s="238">
        <v>0.15859999999999999</v>
      </c>
      <c r="Y118" s="260">
        <f>Main[[#This Row],[Cantidad_Min]]*Main[[#This Row],[Precio]]*Main[[#This Row],[Qty]]</f>
        <v>154.83870967741936</v>
      </c>
      <c r="Z118">
        <f>_xlfn.XLOOKUP(Main[[#This Row],[Finca]], Fincas[Nombre], Fincas[ID])</f>
        <v>58</v>
      </c>
      <c r="AA118" t="str" cm="1">
        <f t="array" ref="AA1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baspiazu,</v>
      </c>
      <c r="AB118" s="2" t="s">
        <v>36</v>
      </c>
      <c r="AC118" s="5"/>
      <c r="AD118" s="244" t="s">
        <v>153</v>
      </c>
    </row>
    <row r="119" spans="1:30" x14ac:dyDescent="0.25">
      <c r="A119" s="161" t="s">
        <v>54</v>
      </c>
      <c r="B119" s="162">
        <v>2</v>
      </c>
      <c r="C119" s="162" t="s">
        <v>32</v>
      </c>
      <c r="D119" s="161">
        <v>70</v>
      </c>
      <c r="E119" s="261">
        <v>70</v>
      </c>
      <c r="F119" s="261" t="s">
        <v>135</v>
      </c>
      <c r="G119" t="str">
        <f>"SeaWaltz " &amp; _xlfn.XLOOKUP(Main[[#This Row],[FechaEntrega]], Guias[Fecha], Guias[Llegada])</f>
        <v>SeaWaltz (T/W)</v>
      </c>
      <c r="H119" s="1" t="s">
        <v>922</v>
      </c>
      <c r="I119" s="259">
        <v>0.49</v>
      </c>
      <c r="J119" s="73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19" s="135">
        <v>1.49</v>
      </c>
      <c r="L119" s="33" t="str" cm="1">
        <f t="array" aca="1" ref="L11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19" s="156">
        <f>Guias!$B$3</f>
        <v>46296</v>
      </c>
      <c r="N119" s="169">
        <f>ROUNDUP((Main[[#This Row],[Cost]]*Main[[#This Row],[Import Duties]]),2)</f>
        <v>0.08</v>
      </c>
      <c r="O119">
        <v>0</v>
      </c>
      <c r="P119">
        <v>1</v>
      </c>
      <c r="Q119">
        <v>0</v>
      </c>
      <c r="R119" s="170">
        <f>ROUNDUP(Main[[#This Row],[Transport2]]/Main[[#This Row],[Cantidad_Min]],2)</f>
        <v>0.52</v>
      </c>
      <c r="S119">
        <f>_xlfn.XLOOKUP(Main[[#This Row],[Type of Box]], Cajas[Nombre], Cajas[Largo])</f>
        <v>105</v>
      </c>
      <c r="T119">
        <f>_xlfn.XLOOKUP(Main[[#This Row],[Type of Box]], Cajas[Nombre], Cajas[Ancho])</f>
        <v>17</v>
      </c>
      <c r="U119">
        <f>_xlfn.XLOOKUP(Main[[#This Row],[Type of Box]], Cajas[Nombre], Cajas[Alto])</f>
        <v>17</v>
      </c>
      <c r="V11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9">
        <f>ROUNDUP(((Main[[#This Row],[Volumen]]*5.25))*1.36,2)</f>
        <v>36.119999999999997</v>
      </c>
      <c r="X119" s="238">
        <v>0.15859999999999999</v>
      </c>
      <c r="Y119" s="260">
        <f>Main[[#This Row],[Cantidad_Min]]*Main[[#This Row],[Precio]]*Main[[#This Row],[Qty]]</f>
        <v>208.6</v>
      </c>
      <c r="Z119">
        <f>_xlfn.XLOOKUP(Main[[#This Row],[Finca]], Fincas[Nombre], Fincas[ID])</f>
        <v>58</v>
      </c>
      <c r="AA119" t="str" cm="1">
        <f t="array" ref="AA11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rbaquero,rbaquero,</v>
      </c>
      <c r="AB119" s="2" t="s">
        <v>36</v>
      </c>
      <c r="AC119" s="5"/>
      <c r="AD119" s="244" t="s">
        <v>154</v>
      </c>
    </row>
    <row r="120" spans="1:30" x14ac:dyDescent="0.25">
      <c r="A120" s="161" t="s">
        <v>54</v>
      </c>
      <c r="B120" s="162">
        <v>2</v>
      </c>
      <c r="C120" s="162" t="s">
        <v>32</v>
      </c>
      <c r="D120" s="161">
        <v>70</v>
      </c>
      <c r="E120" s="261">
        <v>70</v>
      </c>
      <c r="F120" s="261" t="s">
        <v>135</v>
      </c>
      <c r="G120" t="str">
        <f>"SeaWaltz " &amp; _xlfn.XLOOKUP(Main[[#This Row],[FechaEntrega]], Guias[Fecha], Guias[Llegada])</f>
        <v>SeaWaltz (T/W)</v>
      </c>
      <c r="H120" s="1" t="s">
        <v>923</v>
      </c>
      <c r="I120" s="259">
        <v>0.49</v>
      </c>
      <c r="J120" s="73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20" s="135">
        <v>1.49</v>
      </c>
      <c r="L120" s="33" t="str" cm="1">
        <f t="array" aca="1" ref="L12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20" s="156">
        <f>Guias!$B$3</f>
        <v>46296</v>
      </c>
      <c r="N120" s="169">
        <f>ROUNDUP((Main[[#This Row],[Cost]]*Main[[#This Row],[Import Duties]]),2)</f>
        <v>0.08</v>
      </c>
      <c r="O120">
        <v>0</v>
      </c>
      <c r="P120">
        <v>1</v>
      </c>
      <c r="Q120">
        <v>0</v>
      </c>
      <c r="R120" s="170">
        <f>ROUNDUP(Main[[#This Row],[Transport2]]/Main[[#This Row],[Cantidad_Min]],2)</f>
        <v>0.52</v>
      </c>
      <c r="S120">
        <f>_xlfn.XLOOKUP(Main[[#This Row],[Type of Box]], Cajas[Nombre], Cajas[Largo])</f>
        <v>105</v>
      </c>
      <c r="T120">
        <f>_xlfn.XLOOKUP(Main[[#This Row],[Type of Box]], Cajas[Nombre], Cajas[Ancho])</f>
        <v>17</v>
      </c>
      <c r="U120">
        <f>_xlfn.XLOOKUP(Main[[#This Row],[Type of Box]], Cajas[Nombre], Cajas[Alto])</f>
        <v>17</v>
      </c>
      <c r="V12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0">
        <f>ROUNDUP(((Main[[#This Row],[Volumen]]*5.25))*1.36,2)</f>
        <v>36.119999999999997</v>
      </c>
      <c r="X120" s="238">
        <v>0.15859999999999999</v>
      </c>
      <c r="Y120" s="260">
        <f>Main[[#This Row],[Cantidad_Min]]*Main[[#This Row],[Precio]]*Main[[#This Row],[Qty]]</f>
        <v>208.6</v>
      </c>
      <c r="Z120">
        <f>_xlfn.XLOOKUP(Main[[#This Row],[Finca]], Fincas[Nombre], Fincas[ID])</f>
        <v>58</v>
      </c>
      <c r="AA120" t="str" cm="1">
        <f t="array" ref="AA12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dvalencia,dvalencia,</v>
      </c>
      <c r="AB120" s="2" t="s">
        <v>36</v>
      </c>
      <c r="AC120" s="5"/>
      <c r="AD120" s="244" t="s">
        <v>155</v>
      </c>
    </row>
    <row r="121" spans="1:30" x14ac:dyDescent="0.25">
      <c r="A121" s="161" t="s">
        <v>156</v>
      </c>
      <c r="B121" s="162">
        <v>1</v>
      </c>
      <c r="C121" s="162" t="s">
        <v>32</v>
      </c>
      <c r="D121" s="161">
        <v>60</v>
      </c>
      <c r="E121" s="261">
        <v>60</v>
      </c>
      <c r="F121" s="261" t="s">
        <v>157</v>
      </c>
      <c r="G121" t="str">
        <f>"20 White/20 Purple/20 Pink " &amp; _xlfn.XLOOKUP(Main[[#This Row],[FechaEntrega]], Guias[Fecha], Guias[Llegada])</f>
        <v>20 White/20 Purple/20 Pink (M/T)</v>
      </c>
      <c r="H121" s="1" t="s">
        <v>924</v>
      </c>
      <c r="I121" s="259">
        <v>0.47</v>
      </c>
      <c r="J121" s="73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21" s="135">
        <v>1.59</v>
      </c>
      <c r="L121" s="33" t="str" cm="1">
        <f t="array" aca="1" ref="L12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21" s="156">
        <f>Guias!$B$2</f>
        <v>46295</v>
      </c>
      <c r="N121" s="234">
        <f>ROUNDUP((Main[[#This Row],[Cost]]*Main[[#This Row],[Import Duties]]),2)</f>
        <v>0.08</v>
      </c>
      <c r="O121">
        <v>0</v>
      </c>
      <c r="P121">
        <v>1</v>
      </c>
      <c r="Q121">
        <v>0</v>
      </c>
      <c r="R121" s="235">
        <f>ROUNDUP(Main[[#This Row],[Transport2]]/Main[[#This Row],[Cantidad_Min]],2)</f>
        <v>0.61</v>
      </c>
      <c r="S121">
        <f>_xlfn.XLOOKUP(Main[[#This Row],[Type of Box]], Cajas[Nombre], Cajas[Largo])</f>
        <v>105</v>
      </c>
      <c r="T121">
        <f>_xlfn.XLOOKUP(Main[[#This Row],[Type of Box]], Cajas[Nombre], Cajas[Ancho])</f>
        <v>17</v>
      </c>
      <c r="U121">
        <f>_xlfn.XLOOKUP(Main[[#This Row],[Type of Box]], Cajas[Nombre], Cajas[Alto])</f>
        <v>17</v>
      </c>
      <c r="V12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1">
        <f>ROUNDUP(((Main[[#This Row],[Volumen]]*5.25))*1.36,2)</f>
        <v>36.119999999999997</v>
      </c>
      <c r="X121" s="238">
        <v>0.15859999999999999</v>
      </c>
      <c r="Y121" s="260">
        <f>Main[[#This Row],[Cantidad_Min]]*Main[[#This Row],[Precio]]*Main[[#This Row],[Qty]]</f>
        <v>95.4</v>
      </c>
      <c r="Z121">
        <f>_xlfn.XLOOKUP(Main[[#This Row],[Finca]], Fincas[Nombre], Fincas[ID])</f>
        <v>61</v>
      </c>
      <c r="AA121" t="str" cm="1">
        <f t="array" ref="AA12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21" s="2" t="s">
        <v>36</v>
      </c>
      <c r="AC121" s="278"/>
      <c r="AD121" s="245" t="s">
        <v>158</v>
      </c>
    </row>
    <row r="122" spans="1:30" x14ac:dyDescent="0.25">
      <c r="A122" s="161" t="s">
        <v>156</v>
      </c>
      <c r="B122" s="162">
        <v>1</v>
      </c>
      <c r="C122" s="162" t="s">
        <v>32</v>
      </c>
      <c r="D122" s="161">
        <v>60</v>
      </c>
      <c r="E122" s="261">
        <v>60</v>
      </c>
      <c r="F122" s="261" t="s">
        <v>157</v>
      </c>
      <c r="G122" t="str">
        <f>"Assorted Colors " &amp; _xlfn.XLOOKUP(Main[[#This Row],[FechaEntrega]], Guias[Fecha], Guias[Llegada])</f>
        <v>Assorted Colors (M/T)</v>
      </c>
      <c r="H122" s="1" t="s">
        <v>925</v>
      </c>
      <c r="I122" s="259">
        <v>0.47</v>
      </c>
      <c r="J122" s="73">
        <f>_xlfn.LET(
  _xlpm.result, 1-((Main[[#This Row],[Cost]]+Main[[#This Row],[Duties]]+Main[[#This Row],[Transport]])/((Main[[#This Row],[Precio]]*0.96))),
  IF(_xlpm.result&lt;0, "BAJO", IF(_xlpm.result&gt;1, "ALTO", _xlpm.result))
)</f>
        <v>0.22499999999999998</v>
      </c>
      <c r="K122" s="135">
        <v>1.5591397849462365</v>
      </c>
      <c r="L122" s="33" t="str" cm="1">
        <f t="array" aca="1" ref="L12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22" s="156">
        <f>Guias!$B$2</f>
        <v>46295</v>
      </c>
      <c r="N122" s="234">
        <f>ROUNDUP((Main[[#This Row],[Cost]]*Main[[#This Row],[Import Duties]]),2)</f>
        <v>0.08</v>
      </c>
      <c r="O122">
        <v>0</v>
      </c>
      <c r="P122">
        <v>1</v>
      </c>
      <c r="Q122">
        <v>0</v>
      </c>
      <c r="R122" s="235">
        <f>ROUNDUP(Main[[#This Row],[Transport2]]/Main[[#This Row],[Cantidad_Min]],2)</f>
        <v>0.61</v>
      </c>
      <c r="S122">
        <f>_xlfn.XLOOKUP(Main[[#This Row],[Type of Box]], Cajas[Nombre], Cajas[Largo])</f>
        <v>105</v>
      </c>
      <c r="T122">
        <f>_xlfn.XLOOKUP(Main[[#This Row],[Type of Box]], Cajas[Nombre], Cajas[Ancho])</f>
        <v>17</v>
      </c>
      <c r="U122">
        <f>_xlfn.XLOOKUP(Main[[#This Row],[Type of Box]], Cajas[Nombre], Cajas[Alto])</f>
        <v>17</v>
      </c>
      <c r="V12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2">
        <f>ROUNDUP(((Main[[#This Row],[Volumen]]*5.25))*1.36,2)</f>
        <v>36.119999999999997</v>
      </c>
      <c r="X122" s="238">
        <v>0.15859999999999999</v>
      </c>
      <c r="Y122" s="260">
        <f>Main[[#This Row],[Cantidad_Min]]*Main[[#This Row],[Precio]]*Main[[#This Row],[Qty]]</f>
        <v>93.548387096774192</v>
      </c>
      <c r="Z122">
        <f>_xlfn.XLOOKUP(Main[[#This Row],[Finca]], Fincas[Nombre], Fincas[ID])</f>
        <v>61</v>
      </c>
      <c r="AA122" t="str" cm="1">
        <f t="array" ref="AA12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22" s="2" t="s">
        <v>36</v>
      </c>
      <c r="AC122" s="31"/>
      <c r="AD122" s="244" t="s">
        <v>159</v>
      </c>
    </row>
    <row r="123" spans="1:30" x14ac:dyDescent="0.25">
      <c r="A123" s="161" t="s">
        <v>156</v>
      </c>
      <c r="B123" s="162">
        <v>1</v>
      </c>
      <c r="C123" s="162" t="s">
        <v>32</v>
      </c>
      <c r="D123" s="161">
        <v>60</v>
      </c>
      <c r="E123" s="261">
        <v>60</v>
      </c>
      <c r="F123" s="261" t="s">
        <v>157</v>
      </c>
      <c r="G123" t="str">
        <f>"Assorted Colors " &amp; _xlfn.XLOOKUP(Main[[#This Row],[FechaEntrega]], Guias[Fecha], Guias[Llegada])</f>
        <v>Assorted Colors (T/W)</v>
      </c>
      <c r="H123" s="1" t="s">
        <v>926</v>
      </c>
      <c r="I123" s="259">
        <v>0.47</v>
      </c>
      <c r="J123" s="73">
        <f>_xlfn.LET(
  _xlpm.result, 1-((Main[[#This Row],[Cost]]+Main[[#This Row],[Duties]]+Main[[#This Row],[Transport]])/((Main[[#This Row],[Precio]]*0.96))),
  IF(_xlpm.result&lt;0, "BAJO", IF(_xlpm.result&gt;1, "ALTO", _xlpm.result))
)</f>
        <v>0.22499999999999998</v>
      </c>
      <c r="K123" s="135">
        <v>1.5591397849462365</v>
      </c>
      <c r="L123" s="33" t="str" cm="1">
        <f t="array" aca="1" ref="L12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23" s="156">
        <f>Guias!$B$3</f>
        <v>46296</v>
      </c>
      <c r="N123" s="234">
        <f>ROUNDUP((Main[[#This Row],[Cost]]*Main[[#This Row],[Import Duties]]),2)</f>
        <v>0.08</v>
      </c>
      <c r="O123">
        <v>0</v>
      </c>
      <c r="P123">
        <v>1</v>
      </c>
      <c r="Q123">
        <v>0</v>
      </c>
      <c r="R123" s="235">
        <f>ROUNDUP(Main[[#This Row],[Transport2]]/Main[[#This Row],[Cantidad_Min]],2)</f>
        <v>0.61</v>
      </c>
      <c r="S123">
        <f>_xlfn.XLOOKUP(Main[[#This Row],[Type of Box]], Cajas[Nombre], Cajas[Largo])</f>
        <v>105</v>
      </c>
      <c r="T123">
        <f>_xlfn.XLOOKUP(Main[[#This Row],[Type of Box]], Cajas[Nombre], Cajas[Ancho])</f>
        <v>17</v>
      </c>
      <c r="U123">
        <f>_xlfn.XLOOKUP(Main[[#This Row],[Type of Box]], Cajas[Nombre], Cajas[Alto])</f>
        <v>17</v>
      </c>
      <c r="V1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3">
        <f>ROUNDUP(((Main[[#This Row],[Volumen]]*5.25))*1.36,2)</f>
        <v>36.119999999999997</v>
      </c>
      <c r="X123" s="238">
        <v>0.15859999999999999</v>
      </c>
      <c r="Y123" s="260">
        <f>Main[[#This Row],[Cantidad_Min]]*Main[[#This Row],[Precio]]*Main[[#This Row],[Qty]]</f>
        <v>93.548387096774192</v>
      </c>
      <c r="Z123">
        <f>_xlfn.XLOOKUP(Main[[#This Row],[Finca]], Fincas[Nombre], Fincas[ID])</f>
        <v>61</v>
      </c>
      <c r="AA123" t="str" cm="1">
        <f t="array" ref="AA12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23" s="2" t="s">
        <v>36</v>
      </c>
      <c r="AC123" s="31"/>
      <c r="AD123" s="244" t="s">
        <v>65</v>
      </c>
    </row>
    <row r="124" spans="1:30" x14ac:dyDescent="0.25">
      <c r="A124" s="161" t="s">
        <v>60</v>
      </c>
      <c r="B124" s="162">
        <v>1</v>
      </c>
      <c r="C124" s="162" t="s">
        <v>32</v>
      </c>
      <c r="D124" s="161">
        <v>1</v>
      </c>
      <c r="E124" s="261">
        <v>1</v>
      </c>
      <c r="F124" s="261" t="s">
        <v>139</v>
      </c>
      <c r="G124" t="str">
        <f>"6 Tender Love/6 Charm/6 Trophy x 18 " &amp; _xlfn.XLOOKUP(Main[[#This Row],[FechaEntrega]], Guias[Fecha], Guias[Llegada])</f>
        <v>6 Tender Love/6 Charm/6 Trophy x 18 (W/T)</v>
      </c>
      <c r="H124" s="1" t="s">
        <v>927</v>
      </c>
      <c r="I124" s="259">
        <f>1.5*18</f>
        <v>27</v>
      </c>
      <c r="J124" s="73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24" s="135">
        <v>89.99</v>
      </c>
      <c r="L124" s="33" cm="1">
        <f t="array" aca="1" ref="L12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24" s="156">
        <f>Guias!$B$4</f>
        <v>46297</v>
      </c>
      <c r="N124" s="169">
        <f>ROUNDUP((Main[[#This Row],[Cost]]*Main[[#This Row],[Import Duties]]),2)</f>
        <v>4.29</v>
      </c>
      <c r="O124">
        <v>0</v>
      </c>
      <c r="P124">
        <v>1</v>
      </c>
      <c r="Q124">
        <v>0</v>
      </c>
      <c r="R124" s="170">
        <f>ROUNDUP(Main[[#This Row],[Transport2]]/Main[[#This Row],[Cantidad_Min]],2)</f>
        <v>36.119999999999997</v>
      </c>
      <c r="S124">
        <f>_xlfn.XLOOKUP(Main[[#This Row],[Type of Box]], Cajas[Nombre], Cajas[Largo])</f>
        <v>105</v>
      </c>
      <c r="T124">
        <f>_xlfn.XLOOKUP(Main[[#This Row],[Type of Box]], Cajas[Nombre], Cajas[Ancho])</f>
        <v>17</v>
      </c>
      <c r="U124">
        <f>_xlfn.XLOOKUP(Main[[#This Row],[Type of Box]], Cajas[Nombre], Cajas[Alto])</f>
        <v>17</v>
      </c>
      <c r="V12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4">
        <f>ROUNDUP(((Main[[#This Row],[Volumen]]*5.25))*1.36,2)</f>
        <v>36.119999999999997</v>
      </c>
      <c r="X124" s="238">
        <v>0.15859999999999999</v>
      </c>
      <c r="Y124" s="260">
        <f>Main[[#This Row],[Cantidad_Min]]*Main[[#This Row],[Precio]]*Main[[#This Row],[Qty]]</f>
        <v>89.99</v>
      </c>
      <c r="Z124">
        <f>_xlfn.XLOOKUP(Main[[#This Row],[Finca]], Fincas[Nombre], Fincas[ID])</f>
        <v>40</v>
      </c>
      <c r="AA124" t="str" cm="1">
        <f t="array" ref="AA12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24" s="2" t="s">
        <v>36</v>
      </c>
      <c r="AC124" s="31"/>
      <c r="AD124" s="244" t="s">
        <v>53</v>
      </c>
    </row>
    <row r="125" spans="1:30" x14ac:dyDescent="0.25">
      <c r="A125" s="161" t="s">
        <v>142</v>
      </c>
      <c r="B125" s="162">
        <v>1</v>
      </c>
      <c r="C125" s="162" t="s">
        <v>33</v>
      </c>
      <c r="D125" s="161">
        <v>60</v>
      </c>
      <c r="E125" s="261">
        <v>60</v>
      </c>
      <c r="F125" s="261" t="s">
        <v>160</v>
      </c>
      <c r="G125" t="str">
        <f>"30 Starfighter/30 White " &amp; _xlfn.XLOOKUP(Main[[#This Row],[FechaEntrega]], Guias[Fecha], Guias[Llegada])</f>
        <v>30 Starfighter/30 White (T/W)</v>
      </c>
      <c r="H125" s="1" t="s">
        <v>928</v>
      </c>
      <c r="I125" s="259">
        <v>0.84</v>
      </c>
      <c r="J125" s="73">
        <f>_xlfn.LET(
  _xlpm.result, 1-((Main[[#This Row],[Cost]]+Main[[#This Row],[Duties]]+Main[[#This Row],[Transport]])/((Main[[#This Row],[Precio]]*0.96))),
  IF(_xlpm.result&lt;0, "BAJO", IF(_xlpm.result&gt;1, "ALTO", _xlpm.result))
)</f>
        <v>0.27517985611510776</v>
      </c>
      <c r="K125" s="135">
        <v>2.9892473118279566</v>
      </c>
      <c r="L125" s="33" t="str" cm="1">
        <f t="array" aca="1" ref="L12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25" s="156">
        <f>Guias!$B$3</f>
        <v>46296</v>
      </c>
      <c r="N125" s="234">
        <f>ROUNDUP((Main[[#This Row],[Cost]]*Main[[#This Row],[Import Duties]]),2)</f>
        <v>0.14000000000000001</v>
      </c>
      <c r="O125">
        <v>0</v>
      </c>
      <c r="P125">
        <v>1</v>
      </c>
      <c r="Q125">
        <v>0</v>
      </c>
      <c r="R125" s="235">
        <f>ROUNDUP(Main[[#This Row],[Transport2]]/Main[[#This Row],[Cantidad_Min]],2)</f>
        <v>1.1000000000000001</v>
      </c>
      <c r="S125">
        <f>_xlfn.XLOOKUP(Main[[#This Row],[Type of Box]], Cajas[Nombre], Cajas[Largo])</f>
        <v>99</v>
      </c>
      <c r="T125">
        <f>_xlfn.XLOOKUP(Main[[#This Row],[Type of Box]], Cajas[Nombre], Cajas[Ancho])</f>
        <v>35</v>
      </c>
      <c r="U125">
        <f>_xlfn.XLOOKUP(Main[[#This Row],[Type of Box]], Cajas[Nombre], Cajas[Alto])</f>
        <v>16</v>
      </c>
      <c r="V12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5">
        <f>ROUNDUP(((Main[[#This Row],[Volumen]]*5.25))*1.36,2)</f>
        <v>65.98</v>
      </c>
      <c r="X125" s="238">
        <v>0.15859999999999999</v>
      </c>
      <c r="Y125" s="260">
        <f>Main[[#This Row],[Cantidad_Min]]*Main[[#This Row],[Precio]]*Main[[#This Row],[Qty]]</f>
        <v>179.35483870967738</v>
      </c>
      <c r="Z125">
        <f>_xlfn.XLOOKUP(Main[[#This Row],[Finca]], Fincas[Nombre], Fincas[ID])</f>
        <v>29</v>
      </c>
      <c r="AA125" t="str" cm="1">
        <f t="array" ref="AA12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25" s="2" t="s">
        <v>36</v>
      </c>
      <c r="AC125" s="5"/>
      <c r="AD125" s="245" t="s">
        <v>161</v>
      </c>
    </row>
    <row r="126" spans="1:30" x14ac:dyDescent="0.25">
      <c r="A126" s="161" t="s">
        <v>162</v>
      </c>
      <c r="B126" s="162">
        <v>1</v>
      </c>
      <c r="C126" s="162" t="s">
        <v>32</v>
      </c>
      <c r="D126" s="161">
        <v>50</v>
      </c>
      <c r="E126" s="261">
        <v>50</v>
      </c>
      <c r="F126" s="261" t="s">
        <v>163</v>
      </c>
      <c r="G126" t="str">
        <f>"Light Pink/Hot Pink/Yellow/White/Purple " &amp; _xlfn.XLOOKUP(Main[[#This Row],[FechaEntrega]], Guias[Fecha], Guias[Llegada])</f>
        <v>Light Pink/Hot Pink/Yellow/White/Purple (M/T)</v>
      </c>
      <c r="H126" s="1" t="s">
        <v>929</v>
      </c>
      <c r="I126" s="259">
        <v>0.26</v>
      </c>
      <c r="J126" s="73">
        <f>_xlfn.LET(
  _xlpm.result, 1-((Main[[#This Row],[Cost]]+Main[[#This Row],[Duties]]+Main[[#This Row],[Transport]])/((Main[[#This Row],[Precio]]*0.96))),
  IF(_xlpm.result&lt;0, "BAJO", IF(_xlpm.result&gt;1, "ALTO", _xlpm.result))
)</f>
        <v>0.1333333333333333</v>
      </c>
      <c r="K126" s="135">
        <v>1.25</v>
      </c>
      <c r="L126" s="33" t="str" cm="1">
        <f t="array" aca="1" ref="L12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26" s="156">
        <f>Guias!$B$2</f>
        <v>46295</v>
      </c>
      <c r="N126" s="234">
        <f>ROUNDUP((Main[[#This Row],[Cost]]*Main[[#This Row],[Import Duties]]),2)</f>
        <v>0.05</v>
      </c>
      <c r="O126">
        <v>0</v>
      </c>
      <c r="P126">
        <v>1</v>
      </c>
      <c r="Q126">
        <v>0</v>
      </c>
      <c r="R126" s="235">
        <f>ROUNDUP(Main[[#This Row],[Transport2]]/Main[[#This Row],[Cantidad_Min]],2)</f>
        <v>0.73</v>
      </c>
      <c r="S126">
        <f>_xlfn.XLOOKUP(Main[[#This Row],[Type of Box]], Cajas[Nombre], Cajas[Largo])</f>
        <v>105</v>
      </c>
      <c r="T126">
        <f>_xlfn.XLOOKUP(Main[[#This Row],[Type of Box]], Cajas[Nombre], Cajas[Ancho])</f>
        <v>17</v>
      </c>
      <c r="U126">
        <f>_xlfn.XLOOKUP(Main[[#This Row],[Type of Box]], Cajas[Nombre], Cajas[Alto])</f>
        <v>17</v>
      </c>
      <c r="V1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6">
        <f>ROUNDUP(((Main[[#This Row],[Volumen]]*5.25))*1.36,2)</f>
        <v>36.119999999999997</v>
      </c>
      <c r="X126" s="238">
        <v>0.15859999999999999</v>
      </c>
      <c r="Y126" s="260">
        <f>Main[[#This Row],[Cantidad_Min]]*Main[[#This Row],[Precio]]*Main[[#This Row],[Qty]]</f>
        <v>62.5</v>
      </c>
      <c r="Z126">
        <f>_xlfn.XLOOKUP(Main[[#This Row],[Finca]], Fincas[Nombre], Fincas[ID])</f>
        <v>62</v>
      </c>
      <c r="AA126" t="str" cm="1">
        <f t="array" ref="AA12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126" s="2" t="s">
        <v>36</v>
      </c>
      <c r="AC126" s="5"/>
      <c r="AD126" s="245" t="s">
        <v>661</v>
      </c>
    </row>
    <row r="127" spans="1:30" x14ac:dyDescent="0.25">
      <c r="A127" s="161" t="s">
        <v>162</v>
      </c>
      <c r="B127" s="162">
        <v>1</v>
      </c>
      <c r="C127" s="162" t="s">
        <v>32</v>
      </c>
      <c r="D127" s="161">
        <v>50</v>
      </c>
      <c r="E127" s="261">
        <v>50</v>
      </c>
      <c r="F127" s="261" t="s">
        <v>163</v>
      </c>
      <c r="G127" t="str">
        <f>"Light Pink/Hot Pink/Yellow/White/Purple " &amp; _xlfn.XLOOKUP(Main[[#This Row],[FechaEntrega]], Guias[Fecha], Guias[Llegada])</f>
        <v>Light Pink/Hot Pink/Yellow/White/Purple (M/T)</v>
      </c>
      <c r="H127" s="1" t="s">
        <v>930</v>
      </c>
      <c r="I127" s="259">
        <v>0.26</v>
      </c>
      <c r="J127" s="73">
        <f>_xlfn.LET(
  _xlpm.result, 1-((Main[[#This Row],[Cost]]+Main[[#This Row],[Duties]]+Main[[#This Row],[Transport]])/((Main[[#This Row],[Precio]]*0.96))),
  IF(_xlpm.result&lt;0, "BAJO", IF(_xlpm.result&gt;1, "ALTO", _xlpm.result))
)</f>
        <v>0.16020671834625322</v>
      </c>
      <c r="K127" s="135">
        <v>1.29</v>
      </c>
      <c r="L127" s="33" t="str" cm="1">
        <f t="array" aca="1" ref="L12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27" s="156">
        <f>Guias!$B$2</f>
        <v>46295</v>
      </c>
      <c r="N127" s="234">
        <f>ROUNDUP((Main[[#This Row],[Cost]]*Main[[#This Row],[Import Duties]]),2)</f>
        <v>0.05</v>
      </c>
      <c r="O127">
        <v>0</v>
      </c>
      <c r="P127">
        <v>1</v>
      </c>
      <c r="Q127">
        <v>0</v>
      </c>
      <c r="R127" s="235">
        <f>ROUNDUP(Main[[#This Row],[Transport2]]/Main[[#This Row],[Cantidad_Min]],2)</f>
        <v>0.73</v>
      </c>
      <c r="S127">
        <f>_xlfn.XLOOKUP(Main[[#This Row],[Type of Box]], Cajas[Nombre], Cajas[Largo])</f>
        <v>105</v>
      </c>
      <c r="T127">
        <f>_xlfn.XLOOKUP(Main[[#This Row],[Type of Box]], Cajas[Nombre], Cajas[Ancho])</f>
        <v>17</v>
      </c>
      <c r="U127">
        <f>_xlfn.XLOOKUP(Main[[#This Row],[Type of Box]], Cajas[Nombre], Cajas[Alto])</f>
        <v>17</v>
      </c>
      <c r="V12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7">
        <f>ROUNDUP(((Main[[#This Row],[Volumen]]*5.25))*1.36,2)</f>
        <v>36.119999999999997</v>
      </c>
      <c r="X127" s="238">
        <v>0.15859999999999999</v>
      </c>
      <c r="Y127" s="260">
        <f>Main[[#This Row],[Cantidad_Min]]*Main[[#This Row],[Precio]]*Main[[#This Row],[Qty]]</f>
        <v>64.5</v>
      </c>
      <c r="Z127">
        <f>_xlfn.XLOOKUP(Main[[#This Row],[Finca]], Fincas[Nombre], Fincas[ID])</f>
        <v>62</v>
      </c>
      <c r="AA127" t="str" cm="1">
        <f t="array" ref="AA12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27" s="2" t="s">
        <v>36</v>
      </c>
      <c r="AC127" s="5"/>
      <c r="AD127" s="245" t="s">
        <v>158</v>
      </c>
    </row>
    <row r="128" spans="1:30" x14ac:dyDescent="0.25">
      <c r="A128" s="161" t="s">
        <v>164</v>
      </c>
      <c r="B128" s="162">
        <v>1</v>
      </c>
      <c r="C128" s="162" t="s">
        <v>32</v>
      </c>
      <c r="D128" s="161">
        <v>35</v>
      </c>
      <c r="E128" s="261">
        <v>35</v>
      </c>
      <c r="F128" s="261" t="s">
        <v>165</v>
      </c>
      <c r="G128" t="str">
        <f>"Vincents Choice " &amp; _xlfn.XLOOKUP(Main[[#This Row],[FechaEntrega]], Guias[Fecha], Guias[Llegada])</f>
        <v>Vincents Choice (M/T)</v>
      </c>
      <c r="H128" s="1" t="s">
        <v>931</v>
      </c>
      <c r="I128" s="259">
        <v>0.3</v>
      </c>
      <c r="J128" s="73">
        <f>_xlfn.LET(
  _xlpm.result, 1-((Main[[#This Row],[Cost]]+Main[[#This Row],[Duties]]+Main[[#This Row],[Transport]])/((Main[[#This Row],[Precio]]*0.96))),
  IF(_xlpm.result&lt;0, "BAJO", IF(_xlpm.result&gt;1, "ALTO", _xlpm.result))
)</f>
        <v>0.17261904761904756</v>
      </c>
      <c r="K128" s="135">
        <v>1.75</v>
      </c>
      <c r="L128" s="33" t="str" cm="1">
        <f t="array" aca="1" ref="L12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28" s="156">
        <f>Guias!$B$2</f>
        <v>46295</v>
      </c>
      <c r="N128" s="234">
        <f>ROUNDUP((Main[[#This Row],[Cost]]*Main[[#This Row],[Import Duties]]),2)</f>
        <v>0.05</v>
      </c>
      <c r="O128">
        <v>0</v>
      </c>
      <c r="P128">
        <v>1</v>
      </c>
      <c r="Q128">
        <v>0</v>
      </c>
      <c r="R128" s="235">
        <f>ROUNDUP(Main[[#This Row],[Transport2]]/Main[[#This Row],[Cantidad_Min]],2)</f>
        <v>1.04</v>
      </c>
      <c r="S128">
        <f>_xlfn.XLOOKUP(Main[[#This Row],[Type of Box]], Cajas[Nombre], Cajas[Largo])</f>
        <v>105</v>
      </c>
      <c r="T128">
        <f>_xlfn.XLOOKUP(Main[[#This Row],[Type of Box]], Cajas[Nombre], Cajas[Ancho])</f>
        <v>17</v>
      </c>
      <c r="U128">
        <f>_xlfn.XLOOKUP(Main[[#This Row],[Type of Box]], Cajas[Nombre], Cajas[Alto])</f>
        <v>17</v>
      </c>
      <c r="V1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8">
        <f>ROUNDUP(((Main[[#This Row],[Volumen]]*5.25))*1.36,2)</f>
        <v>36.119999999999997</v>
      </c>
      <c r="X128" s="238">
        <v>0.15859999999999999</v>
      </c>
      <c r="Y128" s="260">
        <f>Main[[#This Row],[Cantidad_Min]]*Main[[#This Row],[Precio]]*Main[[#This Row],[Qty]]</f>
        <v>61.25</v>
      </c>
      <c r="Z128">
        <f>_xlfn.XLOOKUP(Main[[#This Row],[Finca]], Fincas[Nombre], Fincas[ID])</f>
        <v>6</v>
      </c>
      <c r="AA128" t="str" cm="1">
        <f t="array" ref="AA12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28" s="2" t="s">
        <v>36</v>
      </c>
      <c r="AC128" s="5"/>
      <c r="AD128" s="245" t="s">
        <v>158</v>
      </c>
    </row>
    <row r="129" spans="1:30" x14ac:dyDescent="0.25">
      <c r="A129" s="161" t="s">
        <v>164</v>
      </c>
      <c r="B129" s="162">
        <v>1</v>
      </c>
      <c r="C129" s="162" t="s">
        <v>33</v>
      </c>
      <c r="D129" s="161">
        <v>65</v>
      </c>
      <c r="E129" s="261">
        <v>65</v>
      </c>
      <c r="F129" s="261" t="s">
        <v>165</v>
      </c>
      <c r="G129" t="str">
        <f>"Vincents Choice " &amp; _xlfn.XLOOKUP(Main[[#This Row],[FechaEntrega]], Guias[Fecha], Guias[Llegada])</f>
        <v>Vincents Choice (M/T)</v>
      </c>
      <c r="H129" s="1" t="s">
        <v>932</v>
      </c>
      <c r="I129" s="259">
        <v>0.3</v>
      </c>
      <c r="J129" s="73">
        <f>_xlfn.LET(
  _xlpm.result, 1-((Main[[#This Row],[Cost]]+Main[[#This Row],[Duties]]+Main[[#This Row],[Transport]])/((Main[[#This Row],[Precio]]*0.96))),
  IF(_xlpm.result&lt;0, "BAJO", IF(_xlpm.result&gt;1, "ALTO", _xlpm.result))
)</f>
        <v>0.18452380952380942</v>
      </c>
      <c r="K129" s="135">
        <v>1.75</v>
      </c>
      <c r="L129" s="33" t="str" cm="1">
        <f t="array" aca="1" ref="L12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29" s="156">
        <f>Guias!$B$2</f>
        <v>46295</v>
      </c>
      <c r="N129" s="234">
        <f>ROUNDUP((Main[[#This Row],[Cost]]*Main[[#This Row],[Import Duties]]),2)</f>
        <v>0.05</v>
      </c>
      <c r="O129">
        <v>0</v>
      </c>
      <c r="P129">
        <v>1</v>
      </c>
      <c r="Q129">
        <v>0</v>
      </c>
      <c r="R129" s="235">
        <f>ROUNDUP(Main[[#This Row],[Transport2]]/Main[[#This Row],[Cantidad_Min]],2)</f>
        <v>1.02</v>
      </c>
      <c r="S129">
        <f>_xlfn.XLOOKUP(Main[[#This Row],[Type of Box]], Cajas[Nombre], Cajas[Largo])</f>
        <v>99</v>
      </c>
      <c r="T129">
        <f>_xlfn.XLOOKUP(Main[[#This Row],[Type of Box]], Cajas[Nombre], Cajas[Ancho])</f>
        <v>35</v>
      </c>
      <c r="U129">
        <f>_xlfn.XLOOKUP(Main[[#This Row],[Type of Box]], Cajas[Nombre], Cajas[Alto])</f>
        <v>16</v>
      </c>
      <c r="V12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9">
        <f>ROUNDUP(((Main[[#This Row],[Volumen]]*5.25))*1.36,2)</f>
        <v>65.98</v>
      </c>
      <c r="X129" s="238">
        <v>0.15859999999999999</v>
      </c>
      <c r="Y129" s="260">
        <f>Main[[#This Row],[Cantidad_Min]]*Main[[#This Row],[Precio]]*Main[[#This Row],[Qty]]</f>
        <v>113.75</v>
      </c>
      <c r="Z129">
        <f>_xlfn.XLOOKUP(Main[[#This Row],[Finca]], Fincas[Nombre], Fincas[ID])</f>
        <v>6</v>
      </c>
      <c r="AA129" t="str" cm="1">
        <f t="array" ref="AA12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29" s="2" t="s">
        <v>36</v>
      </c>
      <c r="AC129" s="5"/>
      <c r="AD129" s="245" t="s">
        <v>53</v>
      </c>
    </row>
    <row r="130" spans="1:30" x14ac:dyDescent="0.25">
      <c r="A130" s="161" t="s">
        <v>87</v>
      </c>
      <c r="B130" s="162">
        <v>1</v>
      </c>
      <c r="C130" s="162" t="s">
        <v>33</v>
      </c>
      <c r="D130" s="161">
        <v>125</v>
      </c>
      <c r="E130" s="261">
        <v>125</v>
      </c>
      <c r="F130" s="261" t="s">
        <v>35</v>
      </c>
      <c r="G130" t="str">
        <f>"25 Playa Blanca/25 Freedom/25 Full Monty/25 Deep Purple/25 Brighton " &amp; _xlfn.XLOOKUP(Main[[#This Row],[FechaEntrega]], Guias[Fecha], Guias[Llegada])</f>
        <v>25 Playa Blanca/25 Freedom/25 Full Monty/25 Deep Purple/25 Brighton (M/T)</v>
      </c>
      <c r="H130" s="1" t="s">
        <v>933</v>
      </c>
      <c r="I130" s="259">
        <v>0.3</v>
      </c>
      <c r="J130" s="73">
        <f>_xlfn.LET(
  _xlpm.result, 1-((Main[[#This Row],[Cost]]+Main[[#This Row],[Duties]]+Main[[#This Row],[Transport]])/((Main[[#This Row],[Precio]]*0.96))),
  IF(_xlpm.result&lt;0, "BAJO", IF(_xlpm.result&gt;1, "ALTO", _xlpm.result))
)</f>
        <v>0.31249999999999989</v>
      </c>
      <c r="K130" s="135">
        <v>1.3333333333333333</v>
      </c>
      <c r="L130" s="33" t="str" cm="1">
        <f t="array" aca="1" ref="L13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30" s="156">
        <f>Guias!$B$2</f>
        <v>46295</v>
      </c>
      <c r="N130" s="234">
        <f>ROUNDUP((Main[[#This Row],[Cost]]*Main[[#This Row],[Import Duties]]),2)</f>
        <v>0.05</v>
      </c>
      <c r="O130">
        <v>0</v>
      </c>
      <c r="P130">
        <v>1</v>
      </c>
      <c r="Q130">
        <v>0</v>
      </c>
      <c r="R130" s="235">
        <f>ROUNDUP(Main[[#This Row],[Transport2]]/Main[[#This Row],[Cantidad_Min]],2)</f>
        <v>0.53</v>
      </c>
      <c r="S130">
        <f>_xlfn.XLOOKUP(Main[[#This Row],[Type of Box]], Cajas[Nombre], Cajas[Largo])</f>
        <v>99</v>
      </c>
      <c r="T130">
        <f>_xlfn.XLOOKUP(Main[[#This Row],[Type of Box]], Cajas[Nombre], Cajas[Ancho])</f>
        <v>35</v>
      </c>
      <c r="U130">
        <f>_xlfn.XLOOKUP(Main[[#This Row],[Type of Box]], Cajas[Nombre], Cajas[Alto])</f>
        <v>16</v>
      </c>
      <c r="V1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0">
        <f>ROUNDUP(((Main[[#This Row],[Volumen]]*5.25))*1.36,2)</f>
        <v>65.98</v>
      </c>
      <c r="X130" s="238">
        <v>0.15859999999999999</v>
      </c>
      <c r="Y130" s="260">
        <f>Main[[#This Row],[Cantidad_Min]]*Main[[#This Row],[Precio]]*Main[[#This Row],[Qty]]</f>
        <v>166.66666666666666</v>
      </c>
      <c r="Z130">
        <f>_xlfn.XLOOKUP(Main[[#This Row],[Finca]], Fincas[Nombre], Fincas[ID])</f>
        <v>70</v>
      </c>
      <c r="AA130" t="str" cm="1">
        <f t="array" ref="AA13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30" s="2" t="s">
        <v>36</v>
      </c>
      <c r="AC130" s="5"/>
      <c r="AD130" s="244" t="s">
        <v>71</v>
      </c>
    </row>
    <row r="131" spans="1:30" x14ac:dyDescent="0.25">
      <c r="A131" s="161" t="s">
        <v>87</v>
      </c>
      <c r="B131" s="162">
        <v>1</v>
      </c>
      <c r="C131" s="162" t="s">
        <v>33</v>
      </c>
      <c r="D131" s="161">
        <v>125</v>
      </c>
      <c r="E131" s="261">
        <v>125</v>
      </c>
      <c r="F131" s="261" t="s">
        <v>35</v>
      </c>
      <c r="G131" t="str">
        <f>"50 Proud/25 Sweet Memory/25 Atlas/25 Shocking Blue " &amp; _xlfn.XLOOKUP(Main[[#This Row],[FechaEntrega]], Guias[Fecha], Guias[Llegada])</f>
        <v>50 Proud/25 Sweet Memory/25 Atlas/25 Shocking Blue (M/T)</v>
      </c>
      <c r="H131" s="1" t="s">
        <v>934</v>
      </c>
      <c r="I131" s="259">
        <v>0.3</v>
      </c>
      <c r="J131" s="73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131" s="135">
        <v>1.1499999999999999</v>
      </c>
      <c r="L131" s="33" t="str" cm="1">
        <f t="array" aca="1" ref="L13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31" s="156">
        <f>Guias!$B$2</f>
        <v>46295</v>
      </c>
      <c r="N131" s="234">
        <f>ROUNDUP((Main[[#This Row],[Cost]]*Main[[#This Row],[Import Duties]]),2)</f>
        <v>0.05</v>
      </c>
      <c r="O131">
        <v>0</v>
      </c>
      <c r="P131">
        <v>1</v>
      </c>
      <c r="Q131">
        <v>0</v>
      </c>
      <c r="R131" s="235">
        <f>ROUNDUP(Main[[#This Row],[Transport2]]/Main[[#This Row],[Cantidad_Min]],2)</f>
        <v>0.53</v>
      </c>
      <c r="S131">
        <f>_xlfn.XLOOKUP(Main[[#This Row],[Type of Box]], Cajas[Nombre], Cajas[Largo])</f>
        <v>99</v>
      </c>
      <c r="T131">
        <f>_xlfn.XLOOKUP(Main[[#This Row],[Type of Box]], Cajas[Nombre], Cajas[Ancho])</f>
        <v>35</v>
      </c>
      <c r="U131">
        <f>_xlfn.XLOOKUP(Main[[#This Row],[Type of Box]], Cajas[Nombre], Cajas[Alto])</f>
        <v>16</v>
      </c>
      <c r="V1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1">
        <f>ROUNDUP(((Main[[#This Row],[Volumen]]*5.25))*1.36,2)</f>
        <v>65.98</v>
      </c>
      <c r="X131" s="238">
        <v>0.15859999999999999</v>
      </c>
      <c r="Y131" s="260">
        <f>Main[[#This Row],[Cantidad_Min]]*Main[[#This Row],[Precio]]*Main[[#This Row],[Qty]]</f>
        <v>143.75</v>
      </c>
      <c r="Z131">
        <f>_xlfn.XLOOKUP(Main[[#This Row],[Finca]], Fincas[Nombre], Fincas[ID])</f>
        <v>70</v>
      </c>
      <c r="AA131" t="str" cm="1">
        <f t="array" ref="AA13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31" s="2" t="s">
        <v>36</v>
      </c>
      <c r="AC131" s="278"/>
      <c r="AD131" s="244" t="s">
        <v>136</v>
      </c>
    </row>
    <row r="132" spans="1:30" x14ac:dyDescent="0.25">
      <c r="A132" s="161" t="s">
        <v>87</v>
      </c>
      <c r="B132" s="162">
        <v>1</v>
      </c>
      <c r="C132" s="162" t="s">
        <v>33</v>
      </c>
      <c r="D132" s="161">
        <v>125</v>
      </c>
      <c r="E132" s="261">
        <v>125</v>
      </c>
      <c r="F132" s="261" t="s">
        <v>35</v>
      </c>
      <c r="G132" t="str">
        <f>"25 Born Free/25 Proud/25 Fasination/25 Shocking Blue/25 Atomic " &amp; _xlfn.XLOOKUP(Main[[#This Row],[FechaEntrega]], Guias[Fecha], Guias[Llegada])</f>
        <v>25 Born Free/25 Proud/25 Fasination/25 Shocking Blue/25 Atomic (M/T)</v>
      </c>
      <c r="H132" s="1" t="s">
        <v>935</v>
      </c>
      <c r="I132" s="259">
        <v>0.33</v>
      </c>
      <c r="J132" s="73">
        <f>_xlfn.LET(
  _xlpm.result, 1-((Main[[#This Row],[Cost]]+Main[[#This Row],[Duties]]+Main[[#This Row],[Transport]])/((Main[[#This Row],[Precio]]*0.96))),
  IF(_xlpm.result&lt;0, "BAJO", IF(_xlpm.result&gt;1, "ALTO", _xlpm.result))
)</f>
        <v>0.25710594315245472</v>
      </c>
      <c r="K132" s="135">
        <v>1.29</v>
      </c>
      <c r="L132" s="33" t="str" cm="1">
        <f t="array" aca="1" ref="L13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32" s="156">
        <f>Guias!$B$2</f>
        <v>46295</v>
      </c>
      <c r="N132" s="234">
        <f>ROUNDUP((Main[[#This Row],[Cost]]*Main[[#This Row],[Import Duties]]),2)</f>
        <v>6.0000000000000005E-2</v>
      </c>
      <c r="O132">
        <v>0</v>
      </c>
      <c r="P132">
        <v>1</v>
      </c>
      <c r="Q132">
        <v>0</v>
      </c>
      <c r="R132" s="235">
        <f>ROUNDUP(Main[[#This Row],[Transport2]]/Main[[#This Row],[Cantidad_Min]],2)</f>
        <v>0.53</v>
      </c>
      <c r="S132">
        <f>_xlfn.XLOOKUP(Main[[#This Row],[Type of Box]], Cajas[Nombre], Cajas[Largo])</f>
        <v>99</v>
      </c>
      <c r="T132">
        <f>_xlfn.XLOOKUP(Main[[#This Row],[Type of Box]], Cajas[Nombre], Cajas[Ancho])</f>
        <v>35</v>
      </c>
      <c r="U132">
        <f>_xlfn.XLOOKUP(Main[[#This Row],[Type of Box]], Cajas[Nombre], Cajas[Alto])</f>
        <v>16</v>
      </c>
      <c r="V13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2">
        <f>ROUNDUP(((Main[[#This Row],[Volumen]]*5.25))*1.36,2)</f>
        <v>65.98</v>
      </c>
      <c r="X132" s="238">
        <v>0.15859999999999999</v>
      </c>
      <c r="Y132" s="260">
        <f>Main[[#This Row],[Cantidad_Min]]*Main[[#This Row],[Precio]]*Main[[#This Row],[Qty]]</f>
        <v>161.25</v>
      </c>
      <c r="Z132">
        <f>_xlfn.XLOOKUP(Main[[#This Row],[Finca]], Fincas[Nombre], Fincas[ID])</f>
        <v>70</v>
      </c>
      <c r="AA132" t="str" cm="1">
        <f t="array" ref="AA13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2" s="2" t="s">
        <v>36</v>
      </c>
      <c r="AC132" s="278"/>
      <c r="AD132" s="244"/>
    </row>
    <row r="133" spans="1:30" ht="15.75" thickBot="1" x14ac:dyDescent="0.3">
      <c r="A133" s="161" t="s">
        <v>34</v>
      </c>
      <c r="B133" s="162">
        <v>1</v>
      </c>
      <c r="C133" s="162" t="s">
        <v>33</v>
      </c>
      <c r="D133" s="161">
        <v>100</v>
      </c>
      <c r="E133" s="261">
        <v>100</v>
      </c>
      <c r="F133" s="261" t="s">
        <v>38</v>
      </c>
      <c r="G133" t="str">
        <f>"Free Spirit 40cm/Phoenix 60cm/Candlelight 60cm/Shocking Blue 60cm " &amp; _xlfn.XLOOKUP(Main[[#This Row],[FechaEntrega]], Guias[Fecha], Guias[Llegada])</f>
        <v>Free Spirit 40cm/Phoenix 60cm/Candlelight 60cm/Shocking Blue 60cm (T/W)</v>
      </c>
      <c r="H133" s="1" t="s">
        <v>936</v>
      </c>
      <c r="I133" s="259">
        <v>0.33</v>
      </c>
      <c r="J133" s="73">
        <f>_xlfn.LET(
  _xlpm.result, 1-((Main[[#This Row],[Cost]]+Main[[#This Row],[Duties]]+Main[[#This Row],[Transport]])/((Main[[#This Row],[Precio]]*0.96))),
  IF(_xlpm.result&lt;0, "BAJO", IF(_xlpm.result&gt;1, "ALTO", _xlpm.result))
)</f>
        <v>0.29435483870967738</v>
      </c>
      <c r="K133" s="135">
        <v>1.55</v>
      </c>
      <c r="L133" s="33" t="str" cm="1">
        <f t="array" aca="1" ref="L13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33" s="156">
        <f>Guias!$B$3</f>
        <v>46296</v>
      </c>
      <c r="N133" s="234">
        <f>ROUNDUP((Main[[#This Row],[Cost]]*Main[[#This Row],[Import Duties]]),2)</f>
        <v>6.0000000000000005E-2</v>
      </c>
      <c r="O133">
        <v>0</v>
      </c>
      <c r="P133">
        <v>1</v>
      </c>
      <c r="Q133">
        <v>0</v>
      </c>
      <c r="R133" s="235">
        <f>ROUNDUP(Main[[#This Row],[Transport2]]/Main[[#This Row],[Cantidad_Min]],2)</f>
        <v>0.66</v>
      </c>
      <c r="S133">
        <f>_xlfn.XLOOKUP(Main[[#This Row],[Type of Box]], Cajas[Nombre], Cajas[Largo])</f>
        <v>99</v>
      </c>
      <c r="T133">
        <f>_xlfn.XLOOKUP(Main[[#This Row],[Type of Box]], Cajas[Nombre], Cajas[Ancho])</f>
        <v>35</v>
      </c>
      <c r="U133">
        <f>_xlfn.XLOOKUP(Main[[#This Row],[Type of Box]], Cajas[Nombre], Cajas[Alto])</f>
        <v>16</v>
      </c>
      <c r="V1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3">
        <f>ROUNDUP(((Main[[#This Row],[Volumen]]*5.25))*1.36,2)</f>
        <v>65.98</v>
      </c>
      <c r="X133" s="238">
        <v>0.15859999999999999</v>
      </c>
      <c r="Y133" s="260">
        <f>Main[[#This Row],[Cantidad_Min]]*Main[[#This Row],[Precio]]*Main[[#This Row],[Qty]]</f>
        <v>155</v>
      </c>
      <c r="Z133">
        <f>_xlfn.XLOOKUP(Main[[#This Row],[Finca]], Fincas[Nombre], Fincas[ID])</f>
        <v>72</v>
      </c>
      <c r="AA133" t="str" cm="1">
        <f t="array" ref="AA13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dcordova,</v>
      </c>
      <c r="AB133" s="2" t="s">
        <v>36</v>
      </c>
      <c r="AC133" s="278"/>
      <c r="AD133" s="244" t="s">
        <v>166</v>
      </c>
    </row>
    <row r="134" spans="1:30" ht="15.75" thickBot="1" x14ac:dyDescent="0.3">
      <c r="A134" s="231" t="s">
        <v>134</v>
      </c>
      <c r="B134" s="232">
        <v>1</v>
      </c>
      <c r="C134" s="232" t="s">
        <v>32</v>
      </c>
      <c r="D134" s="231">
        <v>70</v>
      </c>
      <c r="E134" s="231">
        <v>70</v>
      </c>
      <c r="F134" s="231" t="s">
        <v>135</v>
      </c>
      <c r="G134" t="str">
        <f>"Seawaltz/Skywaltz " &amp; _xlfn.XLOOKUP(Main[[#This Row],[FechaEntrega]], Guias[Fecha], Guias[Llegada])</f>
        <v>Seawaltz/Skywaltz (T/W)</v>
      </c>
      <c r="H134" s="1" t="s">
        <v>937</v>
      </c>
      <c r="I134" s="259">
        <v>0.41</v>
      </c>
      <c r="J134" s="73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134" s="172">
        <f>IF(OR(AND(ISNUMBER(FIND("(*PAR)",
UPPER(Main[[#This Row],[Standing Orders]]))),
MOD(IFERROR(VALUE(Guias!$M$2),0),2)=0),
AND(ISNUMBER(FIND("(*IMPAR)",
UPPER(Main[[#This Row],[Standing Orders]]))),
MOD(IFERROR(VALUE(Guias!$M$2),
0),2)=1)), 1.49, 1.59)</f>
        <v>1.49</v>
      </c>
      <c r="L134" s="33" t="str" cm="1">
        <f t="array" aca="1" ref="L13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34" s="156">
        <f>Guias!$B$3</f>
        <v>46296</v>
      </c>
      <c r="N134" s="234">
        <f>ROUNDUP((Main[[#This Row],[Cost]]*Main[[#This Row],[Import Duties]]),2)</f>
        <v>6.9999999999999993E-2</v>
      </c>
      <c r="O134">
        <v>0</v>
      </c>
      <c r="P134">
        <v>1</v>
      </c>
      <c r="Q134">
        <v>0</v>
      </c>
      <c r="R134" s="235">
        <f>ROUNDUP(Main[[#This Row],[Transport2]]/Main[[#This Row],[Cantidad_Min]],2)</f>
        <v>0.52</v>
      </c>
      <c r="S134">
        <f>_xlfn.XLOOKUP(Main[[#This Row],[Type of Box]], Cajas[Nombre], Cajas[Largo])</f>
        <v>105</v>
      </c>
      <c r="T134">
        <f>_xlfn.XLOOKUP(Main[[#This Row],[Type of Box]], Cajas[Nombre], Cajas[Ancho])</f>
        <v>17</v>
      </c>
      <c r="U134">
        <f>_xlfn.XLOOKUP(Main[[#This Row],[Type of Box]], Cajas[Nombre], Cajas[Alto])</f>
        <v>17</v>
      </c>
      <c r="V13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4">
        <f>ROUNDUP(((Main[[#This Row],[Volumen]]*5.25))*1.36,2)</f>
        <v>36.119999999999997</v>
      </c>
      <c r="X134" s="238">
        <v>0.15859999999999999</v>
      </c>
      <c r="Y134" s="260">
        <f>Main[[#This Row],[Cantidad_Min]]*Main[[#This Row],[Precio]]*Main[[#This Row],[Qty]]</f>
        <v>104.3</v>
      </c>
      <c r="Z134">
        <f>_xlfn.XLOOKUP(Main[[#This Row],[Finca]], Fincas[Nombre], Fincas[ID])</f>
        <v>74</v>
      </c>
      <c r="AA134" t="str" cm="1">
        <f t="array" ref="AA13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34" s="2" t="s">
        <v>36</v>
      </c>
      <c r="AC134" s="5"/>
      <c r="AD134" s="244" t="s">
        <v>167</v>
      </c>
    </row>
    <row r="135" spans="1:30" ht="15.75" thickBot="1" x14ac:dyDescent="0.3">
      <c r="A135" s="163" t="s">
        <v>142</v>
      </c>
      <c r="B135" s="164">
        <v>1</v>
      </c>
      <c r="C135" s="164" t="s">
        <v>33</v>
      </c>
      <c r="D135" s="163">
        <v>70</v>
      </c>
      <c r="E135" s="262">
        <v>70</v>
      </c>
      <c r="F135" s="262" t="s">
        <v>168</v>
      </c>
      <c r="G135" t="str">
        <f>"Red/White/Pink/Orange " &amp; _xlfn.XLOOKUP(Main[[#This Row],[FechaEntrega]], Guias[Fecha], Guias[Llegada])</f>
        <v>Red/White/Pink/Orange (T/W)</v>
      </c>
      <c r="H135" s="1" t="s">
        <v>938</v>
      </c>
      <c r="I135" s="259">
        <v>0.54</v>
      </c>
      <c r="J135" s="73">
        <f>_xlfn.LET(
  _xlpm.result, 1-((Main[[#This Row],[Cost]]+Main[[#This Row],[Duties]]+Main[[#This Row],[Transport]])/((Main[[#This Row],[Precio]]*0.96))),
  IF(_xlpm.result&lt;0, "BAJO", IF(_xlpm.result&gt;1, "ALTO", _xlpm.result))
)</f>
        <v>0.24847792998477924</v>
      </c>
      <c r="K135" s="172">
        <f>IF(OR(AND(ISNUMBER(FIND("(*PAR)",
UPPER(Main[[#This Row],[Standing Orders]]))),
MOD(IFERROR(VALUE(Guias!$M$2),0),2)=0),
AND(ISNUMBER(FIND("(*IMPAR)",
UPPER(Main[[#This Row],[Standing Orders]]))),
MOD(IFERROR(VALUE(Guias!$M$2),
0),2)=1)), 2.16, 2.19)</f>
        <v>2.19</v>
      </c>
      <c r="L135" s="33" t="str" cm="1">
        <f t="array" aca="1" ref="L13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35" s="156">
        <f>Guias!$B$3</f>
        <v>46296</v>
      </c>
      <c r="N135" s="234">
        <f>ROUNDUP((Main[[#This Row],[Cost]]*Main[[#This Row],[Import Duties]]),2)</f>
        <v>0.09</v>
      </c>
      <c r="O135">
        <v>0</v>
      </c>
      <c r="P135">
        <v>1</v>
      </c>
      <c r="Q135">
        <v>0</v>
      </c>
      <c r="R135" s="235">
        <f>ROUNDUP(Main[[#This Row],[Transport2]]/Main[[#This Row],[Cantidad_Min]],2)</f>
        <v>0.95</v>
      </c>
      <c r="S135">
        <f>_xlfn.XLOOKUP(Main[[#This Row],[Type of Box]], Cajas[Nombre], Cajas[Largo])</f>
        <v>99</v>
      </c>
      <c r="T135">
        <f>_xlfn.XLOOKUP(Main[[#This Row],[Type of Box]], Cajas[Nombre], Cajas[Ancho])</f>
        <v>35</v>
      </c>
      <c r="U135">
        <f>_xlfn.XLOOKUP(Main[[#This Row],[Type of Box]], Cajas[Nombre], Cajas[Alto])</f>
        <v>16</v>
      </c>
      <c r="V13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5">
        <f>ROUNDUP(((Main[[#This Row],[Volumen]]*5.25))*1.36,2)</f>
        <v>65.98</v>
      </c>
      <c r="X135" s="238">
        <v>0.15859999999999999</v>
      </c>
      <c r="Y135" s="260">
        <f>Main[[#This Row],[Cantidad_Min]]*Main[[#This Row],[Precio]]*Main[[#This Row],[Qty]]</f>
        <v>153.29999999999998</v>
      </c>
      <c r="Z135">
        <f>_xlfn.XLOOKUP(Main[[#This Row],[Finca]], Fincas[Nombre], Fincas[ID])</f>
        <v>29</v>
      </c>
      <c r="AA135" t="str" cm="1">
        <f t="array" ref="AA13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5" s="2" t="s">
        <v>36</v>
      </c>
      <c r="AC135" s="5"/>
      <c r="AD135" s="244" t="s">
        <v>169</v>
      </c>
    </row>
    <row r="136" spans="1:30" ht="15.75" thickBot="1" x14ac:dyDescent="0.3">
      <c r="A136" s="163" t="s">
        <v>170</v>
      </c>
      <c r="B136" s="164">
        <v>1</v>
      </c>
      <c r="C136" s="164" t="s">
        <v>32</v>
      </c>
      <c r="D136" s="163">
        <v>50</v>
      </c>
      <c r="E136" s="262">
        <v>50</v>
      </c>
      <c r="F136" s="262" t="s">
        <v>171</v>
      </c>
      <c r="G136" t="str">
        <f>"Assorted Colors " &amp; _xlfn.XLOOKUP(Main[[#This Row],[FechaEntrega]], Guias[Fecha], Guias[Llegada])</f>
        <v>Assorted Colors (W/T)</v>
      </c>
      <c r="H136" s="1" t="s">
        <v>939</v>
      </c>
      <c r="I136" s="259">
        <v>0.4</v>
      </c>
      <c r="J136" s="73">
        <f>_xlfn.LET(
  _xlpm.result, 1-((Main[[#This Row],[Cost]]+Main[[#This Row],[Duties]]+Main[[#This Row],[Transport]])/((Main[[#This Row],[Precio]]*0.96))),
  IF(_xlpm.result&lt;0, "BAJO", IF(_xlpm.result&gt;1, "ALTO", _xlpm.result))
)</f>
        <v>0.25955414012738842</v>
      </c>
      <c r="K136" s="135">
        <v>1.6881720430107525</v>
      </c>
      <c r="L136" s="33" cm="1">
        <f t="array" aca="1" ref="L13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36" s="156">
        <f>Guias!$B$4</f>
        <v>46297</v>
      </c>
      <c r="N136" s="234">
        <f>ROUNDUP((Main[[#This Row],[Cost]]*Main[[#This Row],[Import Duties]]),2)</f>
        <v>6.9999999999999993E-2</v>
      </c>
      <c r="O136">
        <v>0</v>
      </c>
      <c r="P136">
        <v>1</v>
      </c>
      <c r="Q136">
        <v>0</v>
      </c>
      <c r="R136" s="235">
        <f>ROUNDUP(Main[[#This Row],[Transport2]]/Main[[#This Row],[Cantidad_Min]],2)</f>
        <v>0.73</v>
      </c>
      <c r="S136">
        <f>_xlfn.XLOOKUP(Main[[#This Row],[Type of Box]], Cajas[Nombre], Cajas[Largo])</f>
        <v>105</v>
      </c>
      <c r="T136">
        <f>_xlfn.XLOOKUP(Main[[#This Row],[Type of Box]], Cajas[Nombre], Cajas[Ancho])</f>
        <v>17</v>
      </c>
      <c r="U136">
        <f>_xlfn.XLOOKUP(Main[[#This Row],[Type of Box]], Cajas[Nombre], Cajas[Alto])</f>
        <v>17</v>
      </c>
      <c r="V13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6">
        <f>ROUNDUP(((Main[[#This Row],[Volumen]]*5.25))*1.36,2)</f>
        <v>36.119999999999997</v>
      </c>
      <c r="X136" s="238">
        <v>0.15859999999999999</v>
      </c>
      <c r="Y136" s="260">
        <f>Main[[#This Row],[Cantidad_Min]]*Main[[#This Row],[Precio]]*Main[[#This Row],[Qty]]</f>
        <v>84.408602150537632</v>
      </c>
      <c r="Z136">
        <f>_xlfn.XLOOKUP(Main[[#This Row],[Finca]], Fincas[Nombre], Fincas[ID])</f>
        <v>51</v>
      </c>
      <c r="AA136" t="str" cm="1">
        <f t="array" ref="AA13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36" s="2" t="s">
        <v>36</v>
      </c>
      <c r="AC136" s="31"/>
      <c r="AD136" s="245" t="s">
        <v>172</v>
      </c>
    </row>
    <row r="137" spans="1:30" ht="15.75" thickBot="1" x14ac:dyDescent="0.3">
      <c r="A137" s="163" t="s">
        <v>34</v>
      </c>
      <c r="B137" s="171">
        <v>1</v>
      </c>
      <c r="C137" s="164" t="s">
        <v>33</v>
      </c>
      <c r="D137" s="163">
        <v>125</v>
      </c>
      <c r="E137" s="262">
        <v>125</v>
      </c>
      <c r="F137" s="262" t="s">
        <v>35</v>
      </c>
      <c r="G137" t="str">
        <f>"Explorer/Tibet/Shimmer/Hot Explorer/Deep Purple " &amp; _xlfn.XLOOKUP(Main[[#This Row],[FechaEntrega]], Guias[Fecha], Guias[Llegada])</f>
        <v>Explorer/Tibet/Shimmer/Hot Explorer/Deep Purple (W/T)</v>
      </c>
      <c r="H137" s="1" t="s">
        <v>940</v>
      </c>
      <c r="I137" s="259">
        <v>0.36</v>
      </c>
      <c r="J137" s="73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137" s="135">
        <v>1.29</v>
      </c>
      <c r="L137" s="33" cm="1">
        <f t="array" aca="1" ref="L13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37" s="156">
        <f>Guias!$B$4</f>
        <v>46297</v>
      </c>
      <c r="N137" s="234">
        <f>ROUNDUP((Main[[#This Row],[Cost]]*Main[[#This Row],[Import Duties]]),2)</f>
        <v>6.0000000000000005E-2</v>
      </c>
      <c r="O137">
        <v>0</v>
      </c>
      <c r="P137">
        <v>1</v>
      </c>
      <c r="Q137">
        <v>0</v>
      </c>
      <c r="R137" s="235">
        <f>ROUNDUP(Main[[#This Row],[Transport2]]/Main[[#This Row],[Cantidad_Min]],2)</f>
        <v>0.53</v>
      </c>
      <c r="S137">
        <f>_xlfn.XLOOKUP(Main[[#This Row],[Type of Box]], Cajas[Nombre], Cajas[Largo])</f>
        <v>99</v>
      </c>
      <c r="T137">
        <f>_xlfn.XLOOKUP(Main[[#This Row],[Type of Box]], Cajas[Nombre], Cajas[Ancho])</f>
        <v>35</v>
      </c>
      <c r="U137">
        <f>_xlfn.XLOOKUP(Main[[#This Row],[Type of Box]], Cajas[Nombre], Cajas[Alto])</f>
        <v>16</v>
      </c>
      <c r="V13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7">
        <f>ROUNDUP(((Main[[#This Row],[Volumen]]*5.25))*1.36,2)</f>
        <v>65.98</v>
      </c>
      <c r="X137" s="238">
        <v>0.15859999999999999</v>
      </c>
      <c r="Y137" s="260">
        <f>Main[[#This Row],[Cantidad_Min]]*Main[[#This Row],[Precio]]*Main[[#This Row],[Qty]]</f>
        <v>161.25</v>
      </c>
      <c r="Z137">
        <f>_xlfn.XLOOKUP(Main[[#This Row],[Finca]], Fincas[Nombre], Fincas[ID])</f>
        <v>72</v>
      </c>
      <c r="AA137" t="str" cm="1">
        <f t="array" ref="AA13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37" s="266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37" s="278"/>
      <c r="AD137" s="244" t="s">
        <v>173</v>
      </c>
    </row>
    <row r="138" spans="1:30" ht="15.75" thickBot="1" x14ac:dyDescent="0.3">
      <c r="A138" s="163" t="s">
        <v>125</v>
      </c>
      <c r="B138" s="171">
        <f>IF(Main[[#This Row],[SendEmail]]="Y", 1, 0)</f>
        <v>1</v>
      </c>
      <c r="C138" s="164" t="s">
        <v>131</v>
      </c>
      <c r="D138" s="163">
        <v>70</v>
      </c>
      <c r="E138" s="262">
        <v>70</v>
      </c>
      <c r="F138" s="262" t="s">
        <v>174</v>
      </c>
      <c r="G138" t="str">
        <f>"White/Pink/Orange/Red " &amp; _xlfn.XLOOKUP(Main[[#This Row],[FechaEntrega]], Guias[Fecha], Guias[Llegada])</f>
        <v>White/Pink/Orange/Red (W/T)</v>
      </c>
      <c r="H138" s="1" t="s">
        <v>941</v>
      </c>
      <c r="I138" s="259">
        <v>0.35</v>
      </c>
      <c r="J138" s="73">
        <f>_xlfn.LET(
  _xlpm.result, 1-((Main[[#This Row],[Cost]]+Main[[#This Row],[Duties]]+Main[[#This Row],[Transport]])/((Main[[#This Row],[Precio]]*0.96))),
  IF(_xlpm.result&lt;0, "BAJO", IF(_xlpm.result&gt;1, "ALTO", _xlpm.result))
)</f>
        <v>0.20452235772357719</v>
      </c>
      <c r="K138" s="135">
        <v>1.3225806451612903</v>
      </c>
      <c r="L138" s="33" t="str" cm="1">
        <f t="array" aca="1" ref="L13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38" s="156">
        <f>Guias!$B$4</f>
        <v>46297</v>
      </c>
      <c r="N138" s="234">
        <f>ROUNDUP((Main[[#This Row],[Cost]]*Main[[#This Row],[Import Duties]]),2)</f>
        <v>6.0000000000000005E-2</v>
      </c>
      <c r="O138">
        <v>0</v>
      </c>
      <c r="P138">
        <v>1</v>
      </c>
      <c r="Q138">
        <v>0</v>
      </c>
      <c r="R138" s="235">
        <f>ROUNDUP(Main[[#This Row],[Transport2]]/Main[[#This Row],[Cantidad_Min]],2)</f>
        <v>0.6</v>
      </c>
      <c r="S138">
        <f>_xlfn.XLOOKUP(Main[[#This Row],[Type of Box]], Cajas[Nombre], Cajas[Largo])</f>
        <v>39</v>
      </c>
      <c r="T138">
        <f>_xlfn.XLOOKUP(Main[[#This Row],[Type of Box]], Cajas[Nombre], Cajas[Ancho])</f>
        <v>30</v>
      </c>
      <c r="U138">
        <f>_xlfn.XLOOKUP(Main[[#This Row],[Type of Box]], Cajas[Nombre], Cajas[Alto])</f>
        <v>30</v>
      </c>
      <c r="V1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38">
        <f>ROUNDUP(((Main[[#This Row],[Volumen]]*5.25))*1.36,2)</f>
        <v>41.769999999999996</v>
      </c>
      <c r="X138" s="238">
        <v>0.15859999999999999</v>
      </c>
      <c r="Y138" s="260">
        <f>Main[[#This Row],[Cantidad_Min]]*Main[[#This Row],[Precio]]*Main[[#This Row],[Qty]]</f>
        <v>92.58064516129032</v>
      </c>
      <c r="Z138">
        <f>_xlfn.XLOOKUP(Main[[#This Row],[Finca]], Fincas[Nombre], Fincas[ID])</f>
        <v>8</v>
      </c>
      <c r="AA138" t="str" cm="1">
        <f t="array" ref="AA13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38" s="266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38" s="278"/>
      <c r="AD138" s="245" t="s">
        <v>175</v>
      </c>
    </row>
    <row r="139" spans="1:30" ht="15.75" thickBot="1" x14ac:dyDescent="0.3">
      <c r="A139" s="163" t="s">
        <v>125</v>
      </c>
      <c r="B139" s="171">
        <f>IF(Main[[#This Row],[SendEmail]]="Y", 1, 0)</f>
        <v>1</v>
      </c>
      <c r="C139" s="164" t="s">
        <v>131</v>
      </c>
      <c r="D139" s="163">
        <v>80</v>
      </c>
      <c r="E139" s="262">
        <v>80</v>
      </c>
      <c r="F139" s="262" t="s">
        <v>176</v>
      </c>
      <c r="G139" t="str">
        <f>"Assorted Colors " &amp; _xlfn.XLOOKUP(Main[[#This Row],[FechaEntrega]], Guias[Fecha], Guias[Llegada])</f>
        <v>Assorted Colors (W/T)</v>
      </c>
      <c r="H139" s="1" t="s">
        <v>942</v>
      </c>
      <c r="I139" s="259">
        <v>0.34</v>
      </c>
      <c r="J139" s="73">
        <f>_xlfn.LET(
  _xlpm.result, 1-((Main[[#This Row],[Cost]]+Main[[#This Row],[Duties]]+Main[[#This Row],[Transport]])/((Main[[#This Row],[Precio]]*0.96))),
  IF(_xlpm.result&lt;0, "BAJO", IF(_xlpm.result&gt;1, "ALTO", _xlpm.result))
)</f>
        <v>6.8509615384615308E-2</v>
      </c>
      <c r="K139" s="135">
        <v>1.04</v>
      </c>
      <c r="L139" s="33" t="str" cm="1">
        <f t="array" aca="1" ref="L13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39" s="156">
        <f>Guias!$B$4</f>
        <v>46297</v>
      </c>
      <c r="N139" s="234">
        <f>ROUNDUP((Main[[#This Row],[Cost]]*Main[[#This Row],[Import Duties]]),2)</f>
        <v>6.0000000000000005E-2</v>
      </c>
      <c r="O139">
        <v>0</v>
      </c>
      <c r="P139">
        <v>1</v>
      </c>
      <c r="Q139">
        <v>0</v>
      </c>
      <c r="R139" s="235">
        <f>ROUNDUP(Main[[#This Row],[Transport2]]/Main[[#This Row],[Cantidad_Min]],2)</f>
        <v>0.53</v>
      </c>
      <c r="S139">
        <f>_xlfn.XLOOKUP(Main[[#This Row],[Type of Box]], Cajas[Nombre], Cajas[Largo])</f>
        <v>39</v>
      </c>
      <c r="T139">
        <f>_xlfn.XLOOKUP(Main[[#This Row],[Type of Box]], Cajas[Nombre], Cajas[Ancho])</f>
        <v>30</v>
      </c>
      <c r="U139">
        <f>_xlfn.XLOOKUP(Main[[#This Row],[Type of Box]], Cajas[Nombre], Cajas[Alto])</f>
        <v>30</v>
      </c>
      <c r="V13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39">
        <f>ROUNDUP(((Main[[#This Row],[Volumen]]*5.25))*1.36,2)</f>
        <v>41.769999999999996</v>
      </c>
      <c r="X139" s="238">
        <v>0.15859999999999999</v>
      </c>
      <c r="Y139" s="260">
        <f>Main[[#This Row],[Cantidad_Min]]*Main[[#This Row],[Precio]]*Main[[#This Row],[Qty]]</f>
        <v>83.2</v>
      </c>
      <c r="Z139">
        <f>_xlfn.XLOOKUP(Main[[#This Row],[Finca]], Fincas[Nombre], Fincas[ID])</f>
        <v>8</v>
      </c>
      <c r="AA139" t="str" cm="1">
        <f t="array" ref="AA13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39" s="266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39" s="5"/>
      <c r="AD139" s="244" t="s">
        <v>177</v>
      </c>
    </row>
    <row r="140" spans="1:30" ht="15.75" thickBot="1" x14ac:dyDescent="0.3">
      <c r="A140" s="163" t="s">
        <v>162</v>
      </c>
      <c r="B140" s="171">
        <f>IF(Main[[#This Row],[SendEmail]]="Y", 1, 0)</f>
        <v>1</v>
      </c>
      <c r="C140" s="164" t="s">
        <v>32</v>
      </c>
      <c r="D140" s="163">
        <v>50</v>
      </c>
      <c r="E140" s="262">
        <v>50</v>
      </c>
      <c r="F140" s="262" t="s">
        <v>163</v>
      </c>
      <c r="G140" t="str">
        <f>"Assorted Colors " &amp; _xlfn.XLOOKUP(Main[[#This Row],[FechaEntrega]], Guias[Fecha], Guias[Llegada])</f>
        <v>Assorted Colors (M/T)</v>
      </c>
      <c r="H140" s="1" t="s">
        <v>943</v>
      </c>
      <c r="I140" s="259">
        <v>0.26</v>
      </c>
      <c r="J140" s="73">
        <f>_xlfn.LET(
  _xlpm.result, 1-((Main[[#This Row],[Cost]]+Main[[#This Row],[Duties]]+Main[[#This Row],[Transport]])/((Main[[#This Row],[Precio]]*0.96))),
  IF(_xlpm.result&lt;0, "BAJO", IF(_xlpm.result&gt;1, "ALTO", _xlpm.result))
)</f>
        <v>0.15364583333333326</v>
      </c>
      <c r="K140" s="174">
        <v>1.28</v>
      </c>
      <c r="L140" s="33" t="str" cm="1">
        <f t="array" aca="1" ref="L14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40" s="156">
        <f>Guias!$B$2</f>
        <v>46295</v>
      </c>
      <c r="N140" s="169">
        <f>ROUNDUP((Main[[#This Row],[Cost]]*Main[[#This Row],[Import Duties]]),2)</f>
        <v>0.05</v>
      </c>
      <c r="O140">
        <v>0</v>
      </c>
      <c r="P140">
        <v>1</v>
      </c>
      <c r="Q140">
        <v>0</v>
      </c>
      <c r="R140" s="170">
        <f>ROUNDUP(Main[[#This Row],[Transport2]]/Main[[#This Row],[Cantidad_Min]],2)</f>
        <v>0.73</v>
      </c>
      <c r="S140">
        <f>_xlfn.XLOOKUP(Main[[#This Row],[Type of Box]], Cajas[Nombre], Cajas[Largo])</f>
        <v>105</v>
      </c>
      <c r="T140">
        <f>_xlfn.XLOOKUP(Main[[#This Row],[Type of Box]], Cajas[Nombre], Cajas[Ancho])</f>
        <v>17</v>
      </c>
      <c r="U140">
        <f>_xlfn.XLOOKUP(Main[[#This Row],[Type of Box]], Cajas[Nombre], Cajas[Alto])</f>
        <v>17</v>
      </c>
      <c r="V14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0">
        <f>ROUNDUP(((Main[[#This Row],[Volumen]]*5.25))*1.36,2)</f>
        <v>36.119999999999997</v>
      </c>
      <c r="X140" s="238">
        <v>0.15859999999999999</v>
      </c>
      <c r="Y140" s="260">
        <f>Main[[#This Row],[Cantidad_Min]]*Main[[#This Row],[Precio]]*Main[[#This Row],[Qty]]</f>
        <v>64</v>
      </c>
      <c r="Z140">
        <f>_xlfn.XLOOKUP(Main[[#This Row],[Finca]], Fincas[Nombre], Fincas[ID])</f>
        <v>62</v>
      </c>
      <c r="AA140" t="str" cm="1">
        <f t="array" ref="AA14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40" s="266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40" s="5"/>
      <c r="AD140" s="244" t="s">
        <v>62</v>
      </c>
    </row>
    <row r="141" spans="1:30" ht="15.75" thickBot="1" x14ac:dyDescent="0.3">
      <c r="A141" s="166" t="s">
        <v>54</v>
      </c>
      <c r="B141" s="167">
        <v>1</v>
      </c>
      <c r="C141" s="167" t="s">
        <v>32</v>
      </c>
      <c r="D141" s="166">
        <v>70</v>
      </c>
      <c r="E141" s="263">
        <v>70</v>
      </c>
      <c r="F141" s="263" t="s">
        <v>135</v>
      </c>
      <c r="G141" t="str">
        <f>"SeaWaltz " &amp; _xlfn.XLOOKUP(Main[[#This Row],[FechaEntrega]], Guias[Fecha], Guias[Llegada])</f>
        <v>SeaWaltz (T/W)</v>
      </c>
      <c r="H141" s="1" t="s">
        <v>944</v>
      </c>
      <c r="I141" s="259">
        <v>0.49</v>
      </c>
      <c r="J141" s="73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41" s="172">
        <f>IF(OR(AND(ISNUMBER(FIND("(*PAR)",
UPPER(Main[[#This Row],[Standing Orders]]))),
MOD(IFERROR(VALUE(Guias!$M$2),0),2)=0),
AND(ISNUMBER(FIND("(*IMPAR)",
UPPER(Main[[#This Row],[Standing Orders]]))),
MOD(IFERROR(VALUE(Guias!$M$2),
0),2)=1)), 1.45, 1.49)</f>
        <v>1.49</v>
      </c>
      <c r="L141" s="33" t="str" cm="1">
        <f t="array" aca="1" ref="L14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41" s="156">
        <f>Guias!$B$3</f>
        <v>46296</v>
      </c>
      <c r="N141" s="234">
        <f>ROUNDUP((Main[[#This Row],[Cost]]*Main[[#This Row],[Import Duties]]),2)</f>
        <v>0.08</v>
      </c>
      <c r="O141">
        <v>0</v>
      </c>
      <c r="P141">
        <v>1</v>
      </c>
      <c r="Q141">
        <v>0</v>
      </c>
      <c r="R141" s="235">
        <f>ROUNDUP(Main[[#This Row],[Transport2]]/Main[[#This Row],[Cantidad_Min]],2)</f>
        <v>0.52</v>
      </c>
      <c r="S141">
        <f>_xlfn.XLOOKUP(Main[[#This Row],[Type of Box]], Cajas[Nombre], Cajas[Largo])</f>
        <v>105</v>
      </c>
      <c r="T141">
        <f>_xlfn.XLOOKUP(Main[[#This Row],[Type of Box]], Cajas[Nombre], Cajas[Ancho])</f>
        <v>17</v>
      </c>
      <c r="U141">
        <f>_xlfn.XLOOKUP(Main[[#This Row],[Type of Box]], Cajas[Nombre], Cajas[Alto])</f>
        <v>17</v>
      </c>
      <c r="V14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1">
        <f>ROUNDUP(((Main[[#This Row],[Volumen]]*5.25))*1.36,2)</f>
        <v>36.119999999999997</v>
      </c>
      <c r="X141" s="238">
        <v>0.15859999999999999</v>
      </c>
      <c r="Y141" s="260">
        <f>Main[[#This Row],[Cantidad_Min]]*Main[[#This Row],[Precio]]*Main[[#This Row],[Qty]]</f>
        <v>104.3</v>
      </c>
      <c r="Z141">
        <f>_xlfn.XLOOKUP(Main[[#This Row],[Finca]], Fincas[Nombre], Fincas[ID])</f>
        <v>58</v>
      </c>
      <c r="AA141" t="str" cm="1">
        <f t="array" ref="AA14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1" s="2" t="s">
        <v>36</v>
      </c>
      <c r="AC141" s="5"/>
      <c r="AD141" s="244" t="s">
        <v>180</v>
      </c>
    </row>
    <row r="142" spans="1:30" ht="15.75" thickBot="1" x14ac:dyDescent="0.3">
      <c r="A142" s="166" t="s">
        <v>54</v>
      </c>
      <c r="B142" s="167">
        <v>1</v>
      </c>
      <c r="C142" s="167" t="s">
        <v>33</v>
      </c>
      <c r="D142" s="166">
        <v>50</v>
      </c>
      <c r="E142" s="263">
        <v>50</v>
      </c>
      <c r="F142" s="263" t="s">
        <v>181</v>
      </c>
      <c r="G142" t="str">
        <f>"30 White/20 Pink " &amp; _xlfn.XLOOKUP(Main[[#This Row],[FechaEntrega]], Guias[Fecha], Guias[Llegada])</f>
        <v>30 White/20 Pink (T/W)</v>
      </c>
      <c r="H142" s="1" t="s">
        <v>945</v>
      </c>
      <c r="I142" s="259">
        <v>1.45</v>
      </c>
      <c r="J142" s="73">
        <f>_xlfn.LET(
  _xlpm.result, 1-((Main[[#This Row],[Cost]]+Main[[#This Row],[Duties]]+Main[[#This Row],[Transport]])/((Main[[#This Row],[Precio]]*0.96))),
  IF(_xlpm.result&lt;0, "BAJO", IF(_xlpm.result&gt;1, "ALTO", _xlpm.result))
)</f>
        <v>0.25417661097852029</v>
      </c>
      <c r="K142" s="173">
        <f>IF(OR(AND(ISNUMBER(FIND("(*PAR)",
UPPER(Main[[#This Row],[Standing Orders]]))),
MOD(IFERROR(VALUE(Guias!$M$2),0),2)=0),
AND(ISNUMBER(FIND("(*IMPAR)",
UPPER(Main[[#This Row],[Standing Orders]]))),
MOD(IFERROR(VALUE(Guias!$M$2),
0),2)=1)), 3.69, 4.19)</f>
        <v>4.1900000000000004</v>
      </c>
      <c r="L142" s="33" t="str" cm="1">
        <f t="array" aca="1" ref="L14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42" s="156">
        <f>Guias!$B$3</f>
        <v>46296</v>
      </c>
      <c r="N142" s="234">
        <f>ROUNDUP((Main[[#This Row],[Cost]]*Main[[#This Row],[Import Duties]]),2)</f>
        <v>0.23</v>
      </c>
      <c r="O142">
        <v>0</v>
      </c>
      <c r="P142">
        <v>1</v>
      </c>
      <c r="Q142">
        <v>0</v>
      </c>
      <c r="R142" s="235">
        <f>ROUNDUP(Main[[#This Row],[Transport2]]/Main[[#This Row],[Cantidad_Min]],2)</f>
        <v>1.32</v>
      </c>
      <c r="S142">
        <f>_xlfn.XLOOKUP(Main[[#This Row],[Type of Box]], Cajas[Nombre], Cajas[Largo])</f>
        <v>99</v>
      </c>
      <c r="T142">
        <f>_xlfn.XLOOKUP(Main[[#This Row],[Type of Box]], Cajas[Nombre], Cajas[Ancho])</f>
        <v>35</v>
      </c>
      <c r="U142">
        <f>_xlfn.XLOOKUP(Main[[#This Row],[Type of Box]], Cajas[Nombre], Cajas[Alto])</f>
        <v>16</v>
      </c>
      <c r="V1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2">
        <f>ROUNDUP(((Main[[#This Row],[Volumen]]*5.25))*1.36,2)</f>
        <v>65.98</v>
      </c>
      <c r="X142" s="238">
        <v>0.15859999999999999</v>
      </c>
      <c r="Y142" s="260">
        <f>Main[[#This Row],[Cantidad_Min]]*Main[[#This Row],[Precio]]*Main[[#This Row],[Qty]]</f>
        <v>209.50000000000003</v>
      </c>
      <c r="Z142">
        <f>_xlfn.XLOOKUP(Main[[#This Row],[Finca]], Fincas[Nombre], Fincas[ID])</f>
        <v>58</v>
      </c>
      <c r="AA142" t="str" cm="1">
        <f t="array" ref="AA14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2" s="2" t="s">
        <v>36</v>
      </c>
      <c r="AC142" s="5"/>
      <c r="AD142" s="244" t="s">
        <v>182</v>
      </c>
    </row>
    <row r="143" spans="1:30" ht="15.75" thickBot="1" x14ac:dyDescent="0.3">
      <c r="A143" s="166" t="s">
        <v>54</v>
      </c>
      <c r="B143" s="167">
        <v>1</v>
      </c>
      <c r="C143" s="167" t="s">
        <v>33</v>
      </c>
      <c r="D143" s="166">
        <v>50</v>
      </c>
      <c r="E143" s="263">
        <v>50</v>
      </c>
      <c r="F143" s="263" t="s">
        <v>181</v>
      </c>
      <c r="G143" t="str">
        <f>"30 White/20 Pink " &amp; _xlfn.XLOOKUP(Main[[#This Row],[FechaEntrega]], Guias[Fecha], Guias[Llegada])</f>
        <v>30 White/20 Pink (T/W)</v>
      </c>
      <c r="H143" s="1" t="s">
        <v>946</v>
      </c>
      <c r="I143" s="259">
        <v>1.45</v>
      </c>
      <c r="J143" s="73">
        <f>_xlfn.LET(
  _xlpm.result, 1-((Main[[#This Row],[Cost]]+Main[[#This Row],[Duties]]+Main[[#This Row],[Transport]])/((Main[[#This Row],[Precio]]*0.96))),
  IF(_xlpm.result&lt;0, "BAJO", IF(_xlpm.result&gt;1, "ALTO", _xlpm.result))
)</f>
        <v>0.25417661097852029</v>
      </c>
      <c r="K143" s="172">
        <f>IF(OR(AND(ISNUMBER(FIND("(*PAR)",
UPPER(Main[[#This Row],[Standing Orders]]))),
MOD(IFERROR(VALUE(Guias!$M$2),0),2)=0),
AND(ISNUMBER(FIND("(*IMPAR)",
UPPER(Main[[#This Row],[Standing Orders]]))),
MOD(IFERROR(VALUE(Guias!$M$2),
0),2)=1)), 3.45, 4.19)</f>
        <v>4.1900000000000004</v>
      </c>
      <c r="L143" s="33" t="str" cm="1">
        <f t="array" aca="1" ref="L14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43" s="156">
        <f>Guias!$B$3</f>
        <v>46296</v>
      </c>
      <c r="N143" s="234">
        <f>ROUNDUP((Main[[#This Row],[Cost]]*Main[[#This Row],[Import Duties]]),2)</f>
        <v>0.23</v>
      </c>
      <c r="O143">
        <v>0</v>
      </c>
      <c r="P143">
        <v>1</v>
      </c>
      <c r="Q143">
        <v>0</v>
      </c>
      <c r="R143" s="235">
        <f>ROUNDUP(Main[[#This Row],[Transport2]]/Main[[#This Row],[Cantidad_Min]],2)</f>
        <v>1.32</v>
      </c>
      <c r="S143">
        <f>_xlfn.XLOOKUP(Main[[#This Row],[Type of Box]], Cajas[Nombre], Cajas[Largo])</f>
        <v>99</v>
      </c>
      <c r="T143">
        <f>_xlfn.XLOOKUP(Main[[#This Row],[Type of Box]], Cajas[Nombre], Cajas[Ancho])</f>
        <v>35</v>
      </c>
      <c r="U143">
        <f>_xlfn.XLOOKUP(Main[[#This Row],[Type of Box]], Cajas[Nombre], Cajas[Alto])</f>
        <v>16</v>
      </c>
      <c r="V14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3">
        <f>ROUNDUP(((Main[[#This Row],[Volumen]]*5.25))*1.36,2)</f>
        <v>65.98</v>
      </c>
      <c r="X143" s="238">
        <v>0.15859999999999999</v>
      </c>
      <c r="Y143" s="260">
        <f>Main[[#This Row],[Cantidad_Min]]*Main[[#This Row],[Precio]]*Main[[#This Row],[Qty]]</f>
        <v>209.50000000000003</v>
      </c>
      <c r="Z143">
        <f>_xlfn.XLOOKUP(Main[[#This Row],[Finca]], Fincas[Nombre], Fincas[ID])</f>
        <v>58</v>
      </c>
      <c r="AA143" t="str" cm="1">
        <f t="array" ref="AA14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3" s="2" t="s">
        <v>36</v>
      </c>
      <c r="AC143" s="5"/>
      <c r="AD143" s="244" t="s">
        <v>662</v>
      </c>
    </row>
    <row r="144" spans="1:30" x14ac:dyDescent="0.25">
      <c r="A144" s="166" t="s">
        <v>54</v>
      </c>
      <c r="B144" s="167">
        <v>1</v>
      </c>
      <c r="C144" s="167" t="s">
        <v>33</v>
      </c>
      <c r="D144" s="166">
        <v>60</v>
      </c>
      <c r="E144" s="263">
        <v>60</v>
      </c>
      <c r="F144" s="263" t="s">
        <v>150</v>
      </c>
      <c r="G144" t="str">
        <f>"White/Pink/Hot Pink " &amp; _xlfn.XLOOKUP(Main[[#This Row],[FechaEntrega]], Guias[Fecha], Guias[Llegada])</f>
        <v>White/Pink/Hot Pink (M/T)</v>
      </c>
      <c r="H144" s="1" t="s">
        <v>947</v>
      </c>
      <c r="I144" s="259">
        <v>0.85</v>
      </c>
      <c r="J144" s="73">
        <f>_xlfn.LET(
  _xlpm.result, 1-((Main[[#This Row],[Cost]]+Main[[#This Row],[Duties]]+Main[[#This Row],[Transport]])/((Main[[#This Row],[Precio]]*0.96))),
  IF(_xlpm.result&lt;0, "BAJO", IF(_xlpm.result&gt;1, "ALTO", _xlpm.result))
)</f>
        <v>0.27187848383500568</v>
      </c>
      <c r="K144" s="267">
        <v>2.99</v>
      </c>
      <c r="L144" s="33" t="str" cm="1">
        <f t="array" aca="1" ref="L14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44" s="156">
        <f>Guias!$B$2</f>
        <v>46295</v>
      </c>
      <c r="N144" s="234">
        <f>ROUNDUP((Main[[#This Row],[Cost]]*Main[[#This Row],[Import Duties]]),2)</f>
        <v>0.14000000000000001</v>
      </c>
      <c r="O144">
        <v>0</v>
      </c>
      <c r="P144">
        <v>1</v>
      </c>
      <c r="Q144">
        <v>0</v>
      </c>
      <c r="R144" s="235">
        <f>ROUNDUP(Main[[#This Row],[Transport2]]/Main[[#This Row],[Cantidad_Min]],2)</f>
        <v>1.1000000000000001</v>
      </c>
      <c r="S144">
        <f>_xlfn.XLOOKUP(Main[[#This Row],[Type of Box]], Cajas[Nombre], Cajas[Largo])</f>
        <v>99</v>
      </c>
      <c r="T144">
        <f>_xlfn.XLOOKUP(Main[[#This Row],[Type of Box]], Cajas[Nombre], Cajas[Ancho])</f>
        <v>35</v>
      </c>
      <c r="U144">
        <f>_xlfn.XLOOKUP(Main[[#This Row],[Type of Box]], Cajas[Nombre], Cajas[Alto])</f>
        <v>16</v>
      </c>
      <c r="V14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4">
        <f>ROUNDUP(((Main[[#This Row],[Volumen]]*5.25))*1.36,2)</f>
        <v>65.98</v>
      </c>
      <c r="X144" s="238">
        <v>0.15859999999999999</v>
      </c>
      <c r="Y144" s="260">
        <f>Main[[#This Row],[Cantidad_Min]]*Main[[#This Row],[Precio]]*Main[[#This Row],[Qty]]</f>
        <v>179.4</v>
      </c>
      <c r="Z144">
        <f>_xlfn.XLOOKUP(Main[[#This Row],[Finca]], Fincas[Nombre], Fincas[ID])</f>
        <v>58</v>
      </c>
      <c r="AA144" t="str" cm="1">
        <f t="array" ref="AA14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4" s="2" t="s">
        <v>36</v>
      </c>
      <c r="AC144" s="5"/>
      <c r="AD144" s="244" t="s">
        <v>183</v>
      </c>
    </row>
    <row r="145" spans="1:30" ht="15.75" thickBot="1" x14ac:dyDescent="0.3">
      <c r="A145" s="166" t="s">
        <v>54</v>
      </c>
      <c r="B145" s="167">
        <v>1</v>
      </c>
      <c r="C145" s="167" t="s">
        <v>33</v>
      </c>
      <c r="D145" s="166">
        <v>60</v>
      </c>
      <c r="E145" s="263">
        <v>60</v>
      </c>
      <c r="F145" s="263" t="s">
        <v>160</v>
      </c>
      <c r="G145" t="str">
        <f>"30 Starfighter/30 White " &amp; _xlfn.XLOOKUP(Main[[#This Row],[FechaEntrega]], Guias[Fecha], Guias[Llegada])</f>
        <v>30 Starfighter/30 White (T/W)</v>
      </c>
      <c r="H145" s="1" t="s">
        <v>948</v>
      </c>
      <c r="I145" s="259">
        <v>0.84</v>
      </c>
      <c r="J145" s="73">
        <f>_xlfn.LET(
  _xlpm.result, 1-((Main[[#This Row],[Cost]]+Main[[#This Row],[Duties]]+Main[[#This Row],[Transport]])/((Main[[#This Row],[Precio]]*0.96))),
  IF(_xlpm.result&lt;0, "BAJO", IF(_xlpm.result&gt;1, "ALTO", _xlpm.result))
)</f>
        <v>0.27536231884057971</v>
      </c>
      <c r="K145" s="268">
        <v>2.99</v>
      </c>
      <c r="L145" s="33" t="str" cm="1">
        <f t="array" aca="1" ref="L14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45" s="156">
        <f>Guias!$B$3</f>
        <v>46296</v>
      </c>
      <c r="N145" s="169">
        <f>ROUNDUP((Main[[#This Row],[Cost]]*Main[[#This Row],[Import Duties]]),2)</f>
        <v>0.14000000000000001</v>
      </c>
      <c r="O145">
        <v>0</v>
      </c>
      <c r="P145">
        <v>1</v>
      </c>
      <c r="Q145">
        <v>0</v>
      </c>
      <c r="R145" s="170">
        <f>ROUNDUP(Main[[#This Row],[Transport2]]/Main[[#This Row],[Cantidad_Min]],2)</f>
        <v>1.1000000000000001</v>
      </c>
      <c r="S145">
        <f>_xlfn.XLOOKUP(Main[[#This Row],[Type of Box]], Cajas[Nombre], Cajas[Largo])</f>
        <v>99</v>
      </c>
      <c r="T145">
        <f>_xlfn.XLOOKUP(Main[[#This Row],[Type of Box]], Cajas[Nombre], Cajas[Ancho])</f>
        <v>35</v>
      </c>
      <c r="U145">
        <f>_xlfn.XLOOKUP(Main[[#This Row],[Type of Box]], Cajas[Nombre], Cajas[Alto])</f>
        <v>16</v>
      </c>
      <c r="V14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5">
        <f>ROUNDUP(((Main[[#This Row],[Volumen]]*5.25))*1.36,2)</f>
        <v>65.98</v>
      </c>
      <c r="X145" s="238">
        <v>0.15859999999999999</v>
      </c>
      <c r="Y145" s="260">
        <f>Main[[#This Row],[Cantidad_Min]]*Main[[#This Row],[Precio]]*Main[[#This Row],[Qty]]</f>
        <v>179.4</v>
      </c>
      <c r="Z145">
        <f>_xlfn.XLOOKUP(Main[[#This Row],[Finca]], Fincas[Nombre], Fincas[ID])</f>
        <v>58</v>
      </c>
      <c r="AA145" t="str" cm="1">
        <f t="array" ref="AA14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145" s="2" t="s">
        <v>36</v>
      </c>
      <c r="AC145" s="278"/>
      <c r="AD145" s="244" t="s">
        <v>802</v>
      </c>
    </row>
    <row r="146" spans="1:30" ht="15.75" thickBot="1" x14ac:dyDescent="0.3">
      <c r="A146" s="166" t="s">
        <v>54</v>
      </c>
      <c r="B146" s="167">
        <v>1</v>
      </c>
      <c r="C146" s="167" t="s">
        <v>33</v>
      </c>
      <c r="D146" s="166">
        <v>60</v>
      </c>
      <c r="E146" s="263">
        <v>60</v>
      </c>
      <c r="F146" s="263" t="s">
        <v>184</v>
      </c>
      <c r="G146" t="str">
        <f>"30 White/20 Pink/10 Yellow " &amp; _xlfn.XLOOKUP(Main[[#This Row],[FechaEntrega]], Guias[Fecha], Guias[Llegada])</f>
        <v>30 White/20 Pink/10 Yellow (T/W)</v>
      </c>
      <c r="H146" s="1" t="s">
        <v>949</v>
      </c>
      <c r="I146" s="259">
        <f>((30*0.95)+20+10)/60</f>
        <v>0.97499999999999998</v>
      </c>
      <c r="J146" s="73">
        <f>_xlfn.LET(
  _xlpm.result, 1-((Main[[#This Row],[Cost]]+Main[[#This Row],[Duties]]+Main[[#This Row],[Transport]])/((Main[[#This Row],[Precio]]*0.96))),
  IF(_xlpm.result&lt;0, "BAJO", IF(_xlpm.result&gt;1, "ALTO", _xlpm.result))
)</f>
        <v>0.24656148867313898</v>
      </c>
      <c r="K146" s="172">
        <f>IF(OR(AND(ISNUMBER(FIND("(*PAR)",
UPPER(Main[[#This Row],[Standing Orders]]))),
MOD(IFERROR(VALUE(Guias!$M$2),0),2)=0),
AND(ISNUMBER(FIND("(*IMPAR)",
UPPER(Main[[#This Row],[Standing Orders]]))),
MOD(IFERROR(VALUE(Guias!$M$2),
0),2)=1)), 2.99, 3.09)</f>
        <v>3.09</v>
      </c>
      <c r="L146" s="33" t="str" cm="1">
        <f t="array" aca="1" ref="L14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46" s="156">
        <f>Guias!$B$3</f>
        <v>46296</v>
      </c>
      <c r="N146" s="234">
        <f>ROUNDUP((Main[[#This Row],[Cost]]*Main[[#This Row],[Import Duties]]),2)</f>
        <v>0.16</v>
      </c>
      <c r="O146">
        <v>0</v>
      </c>
      <c r="P146">
        <v>1</v>
      </c>
      <c r="Q146">
        <v>0</v>
      </c>
      <c r="R146" s="235">
        <f>ROUNDUP(Main[[#This Row],[Transport2]]/Main[[#This Row],[Cantidad_Min]],2)</f>
        <v>1.1000000000000001</v>
      </c>
      <c r="S146">
        <f>_xlfn.XLOOKUP(Main[[#This Row],[Type of Box]], Cajas[Nombre], Cajas[Largo])</f>
        <v>99</v>
      </c>
      <c r="T146">
        <f>_xlfn.XLOOKUP(Main[[#This Row],[Type of Box]], Cajas[Nombre], Cajas[Ancho])</f>
        <v>35</v>
      </c>
      <c r="U146">
        <f>_xlfn.XLOOKUP(Main[[#This Row],[Type of Box]], Cajas[Nombre], Cajas[Alto])</f>
        <v>16</v>
      </c>
      <c r="V14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6">
        <f>ROUNDUP(((Main[[#This Row],[Volumen]]*5.25))*1.36,2)</f>
        <v>65.98</v>
      </c>
      <c r="X146" s="238">
        <v>0.15859999999999999</v>
      </c>
      <c r="Y146" s="260">
        <f>Main[[#This Row],[Cantidad_Min]]*Main[[#This Row],[Precio]]*Main[[#This Row],[Qty]]</f>
        <v>185.39999999999998</v>
      </c>
      <c r="Z146">
        <f>_xlfn.XLOOKUP(Main[[#This Row],[Finca]], Fincas[Nombre], Fincas[ID])</f>
        <v>58</v>
      </c>
      <c r="AA146" t="str" cm="1">
        <f t="array" ref="AA14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6" s="2" t="s">
        <v>36</v>
      </c>
      <c r="AC146" s="5" t="s">
        <v>185</v>
      </c>
      <c r="AD146" s="244" t="s">
        <v>186</v>
      </c>
    </row>
    <row r="147" spans="1:30" ht="15.75" thickBot="1" x14ac:dyDescent="0.3">
      <c r="A147" s="166" t="s">
        <v>187</v>
      </c>
      <c r="B147" s="167">
        <v>1</v>
      </c>
      <c r="C147" s="167" t="s">
        <v>32</v>
      </c>
      <c r="D147" s="166">
        <v>120</v>
      </c>
      <c r="E147" s="263">
        <v>120</v>
      </c>
      <c r="F147" s="263" t="s">
        <v>188</v>
      </c>
      <c r="G147" t="str">
        <f>"Assorted Colors " &amp; _xlfn.XLOOKUP(Main[[#This Row],[FechaEntrega]], Guias[Fecha], Guias[Llegada])</f>
        <v>Assorted Colors (T/W)</v>
      </c>
      <c r="H147" s="1" t="s">
        <v>950</v>
      </c>
      <c r="I147" s="259">
        <v>0.2</v>
      </c>
      <c r="J147" s="73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147" s="172">
        <f>IF(OR(AND(ISNUMBER(FIND("(*PAR)",
UPPER(Main[[#This Row],[Standing Orders]]))),
MOD(IFERROR(VALUE(Guias!$M$2),0),2)=0),
AND(ISNUMBER(FIND("(*IMPAR)",
UPPER(Main[[#This Row],[Standing Orders]]))),
MOD(IFERROR(VALUE(Guias!$M$2),
0),2)=1)), 0.79, 0.74)</f>
        <v>0.74</v>
      </c>
      <c r="L147" s="33" t="str" cm="1">
        <f t="array" aca="1" ref="L14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47" s="156">
        <f>Guias!$B$3</f>
        <v>46296</v>
      </c>
      <c r="N147" s="234">
        <f>ROUNDUP((Main[[#This Row],[Cost]]*Main[[#This Row],[Import Duties]]),2)</f>
        <v>0.04</v>
      </c>
      <c r="O147">
        <v>0</v>
      </c>
      <c r="P147">
        <v>1</v>
      </c>
      <c r="Q147">
        <v>0</v>
      </c>
      <c r="R147" s="235">
        <f>ROUNDUP(Main[[#This Row],[Transport2]]/Main[[#This Row],[Cantidad_Min]],2)</f>
        <v>0.31</v>
      </c>
      <c r="S147">
        <f>_xlfn.XLOOKUP(Main[[#This Row],[Type of Box]], Cajas[Nombre], Cajas[Largo])</f>
        <v>105</v>
      </c>
      <c r="T147">
        <f>_xlfn.XLOOKUP(Main[[#This Row],[Type of Box]], Cajas[Nombre], Cajas[Ancho])</f>
        <v>17</v>
      </c>
      <c r="U147">
        <f>_xlfn.XLOOKUP(Main[[#This Row],[Type of Box]], Cajas[Nombre], Cajas[Alto])</f>
        <v>17</v>
      </c>
      <c r="V1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7">
        <f>ROUNDUP(((Main[[#This Row],[Volumen]]*5.25))*1.36,2)</f>
        <v>36.119999999999997</v>
      </c>
      <c r="X147" s="238">
        <v>0.15859999999999999</v>
      </c>
      <c r="Y147" s="260">
        <f>Main[[#This Row],[Cantidad_Min]]*Main[[#This Row],[Precio]]*Main[[#This Row],[Qty]]</f>
        <v>88.8</v>
      </c>
      <c r="Z147">
        <f>_xlfn.XLOOKUP(Main[[#This Row],[Finca]], Fincas[Nombre], Fincas[ID])</f>
        <v>34</v>
      </c>
      <c r="AA147" t="str" cm="1">
        <f t="array" ref="AA14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7" s="2" t="s">
        <v>36</v>
      </c>
      <c r="AC147" s="31"/>
      <c r="AD147" s="245" t="s">
        <v>189</v>
      </c>
    </row>
    <row r="148" spans="1:30" ht="15.75" thickBot="1" x14ac:dyDescent="0.3">
      <c r="A148" s="166" t="s">
        <v>458</v>
      </c>
      <c r="B148" s="167">
        <v>1</v>
      </c>
      <c r="C148" s="167" t="s">
        <v>32</v>
      </c>
      <c r="D148" s="166">
        <v>70</v>
      </c>
      <c r="E148" s="263">
        <v>70</v>
      </c>
      <c r="F148" s="263" t="s">
        <v>190</v>
      </c>
      <c r="G148" t="str">
        <f>"Blue/Light Blue/Lavender/White " &amp; _xlfn.XLOOKUP(Main[[#This Row],[FechaEntrega]], Guias[Fecha], Guias[Llegada])</f>
        <v>Blue/Light Blue/Lavender/White (T/W)</v>
      </c>
      <c r="H148" s="1" t="s">
        <v>951</v>
      </c>
      <c r="I148" s="259">
        <v>0.5</v>
      </c>
      <c r="J148" s="73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148" s="172">
        <f>IF(OR(AND(ISNUMBER(FIND("(*PAR)",
UPPER(Main[[#This Row],[Standing Orders]]))),
MOD(IFERROR(VALUE(Guias!$M$2),0),2)=0),
AND(ISNUMBER(FIND("(*IMPAR)",
UPPER(Main[[#This Row],[Standing Orders]]))),
MOD(IFERROR(VALUE(Guias!$M$2),
0),2)=1)), 1.51, 1.49)</f>
        <v>1.49</v>
      </c>
      <c r="L148" s="33" t="str" cm="1">
        <f t="array" aca="1" ref="L14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48" s="156">
        <f>Guias!$B$3</f>
        <v>46296</v>
      </c>
      <c r="N148" s="234">
        <f>ROUNDUP((Main[[#This Row],[Cost]]*Main[[#This Row],[Import Duties]]),2)</f>
        <v>0.08</v>
      </c>
      <c r="O148">
        <v>0</v>
      </c>
      <c r="P148">
        <v>1</v>
      </c>
      <c r="Q148">
        <v>0</v>
      </c>
      <c r="R148" s="235">
        <f>ROUNDUP(Main[[#This Row],[Transport2]]/Main[[#This Row],[Cantidad_Min]],2)</f>
        <v>0.52</v>
      </c>
      <c r="S148">
        <f>_xlfn.XLOOKUP(Main[[#This Row],[Type of Box]], Cajas[Nombre], Cajas[Largo])</f>
        <v>105</v>
      </c>
      <c r="T148">
        <f>_xlfn.XLOOKUP(Main[[#This Row],[Type of Box]], Cajas[Nombre], Cajas[Ancho])</f>
        <v>17</v>
      </c>
      <c r="U148">
        <f>_xlfn.XLOOKUP(Main[[#This Row],[Type of Box]], Cajas[Nombre], Cajas[Alto])</f>
        <v>17</v>
      </c>
      <c r="V14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8">
        <f>ROUNDUP(((Main[[#This Row],[Volumen]]*5.25))*1.36,2)</f>
        <v>36.119999999999997</v>
      </c>
      <c r="X148" s="238">
        <v>0.15859999999999999</v>
      </c>
      <c r="Y148" s="260">
        <f>Main[[#This Row],[Cantidad_Min]]*Main[[#This Row],[Precio]]*Main[[#This Row],[Qty]]</f>
        <v>104.3</v>
      </c>
      <c r="Z148">
        <f>_xlfn.XLOOKUP(Main[[#This Row],[Finca]], Fincas[Nombre], Fincas[ID])</f>
        <v>43</v>
      </c>
      <c r="AA148" t="str" cm="1">
        <f t="array" ref="AA14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8" s="2" t="s">
        <v>36</v>
      </c>
      <c r="AC148" s="5"/>
      <c r="AD148" s="244" t="s">
        <v>667</v>
      </c>
    </row>
    <row r="149" spans="1:30" x14ac:dyDescent="0.25">
      <c r="A149" s="166" t="s">
        <v>156</v>
      </c>
      <c r="B149" s="167">
        <v>1</v>
      </c>
      <c r="C149" s="167" t="s">
        <v>32</v>
      </c>
      <c r="D149" s="166">
        <v>60</v>
      </c>
      <c r="E149" s="263">
        <v>60</v>
      </c>
      <c r="F149" s="263" t="s">
        <v>157</v>
      </c>
      <c r="G149" t="str">
        <f>"Assorted Colors " &amp; _xlfn.XLOOKUP(Main[[#This Row],[FechaEntrega]], Guias[Fecha], Guias[Llegada])</f>
        <v>Assorted Colors (M/T)</v>
      </c>
      <c r="H149" s="1" t="s">
        <v>952</v>
      </c>
      <c r="I149" s="259">
        <v>0.47</v>
      </c>
      <c r="J149" s="73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49" s="135">
        <v>1.59</v>
      </c>
      <c r="L149" s="33" t="str" cm="1">
        <f t="array" aca="1" ref="L14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49" s="156">
        <f>Guias!$B$2</f>
        <v>46295</v>
      </c>
      <c r="N149" s="234">
        <f>ROUNDUP((Main[[#This Row],[Cost]]*Main[[#This Row],[Import Duties]]),2)</f>
        <v>0.08</v>
      </c>
      <c r="O149">
        <v>0</v>
      </c>
      <c r="P149">
        <v>1</v>
      </c>
      <c r="Q149">
        <v>0</v>
      </c>
      <c r="R149" s="235">
        <f>ROUNDUP(Main[[#This Row],[Transport2]]/Main[[#This Row],[Cantidad_Min]],2)</f>
        <v>0.61</v>
      </c>
      <c r="S149">
        <f>_xlfn.XLOOKUP(Main[[#This Row],[Type of Box]], Cajas[Nombre], Cajas[Largo])</f>
        <v>105</v>
      </c>
      <c r="T149">
        <f>_xlfn.XLOOKUP(Main[[#This Row],[Type of Box]], Cajas[Nombre], Cajas[Ancho])</f>
        <v>17</v>
      </c>
      <c r="U149">
        <f>_xlfn.XLOOKUP(Main[[#This Row],[Type of Box]], Cajas[Nombre], Cajas[Alto])</f>
        <v>17</v>
      </c>
      <c r="V14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9">
        <f>ROUNDUP(((Main[[#This Row],[Volumen]]*5.25))*1.36,2)</f>
        <v>36.119999999999997</v>
      </c>
      <c r="X149" s="238">
        <v>0.15859999999999999</v>
      </c>
      <c r="Y149" s="260">
        <f>Main[[#This Row],[Cantidad_Min]]*Main[[#This Row],[Precio]]*Main[[#This Row],[Qty]]</f>
        <v>95.4</v>
      </c>
      <c r="Z149">
        <f>_xlfn.XLOOKUP(Main[[#This Row],[Finca]], Fincas[Nombre], Fincas[ID])</f>
        <v>61</v>
      </c>
      <c r="AA149" t="str" cm="1">
        <f t="array" ref="AA14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9" s="2" t="s">
        <v>36</v>
      </c>
      <c r="AC149" s="31"/>
      <c r="AD149" s="244" t="s">
        <v>191</v>
      </c>
    </row>
    <row r="150" spans="1:30" x14ac:dyDescent="0.25">
      <c r="A150" s="166" t="s">
        <v>156</v>
      </c>
      <c r="B150" s="167">
        <v>1</v>
      </c>
      <c r="C150" s="167" t="s">
        <v>32</v>
      </c>
      <c r="D150" s="166">
        <v>60</v>
      </c>
      <c r="E150" s="263">
        <v>60</v>
      </c>
      <c r="F150" s="263" t="s">
        <v>157</v>
      </c>
      <c r="G150" t="str">
        <f>"20 Purple/20 Apricot/20 White " &amp; _xlfn.XLOOKUP(Main[[#This Row],[FechaEntrega]], Guias[Fecha], Guias[Llegada])</f>
        <v>20 Purple/20 Apricot/20 White (T/W)</v>
      </c>
      <c r="H150" s="1" t="s">
        <v>953</v>
      </c>
      <c r="I150" s="259">
        <v>0.45</v>
      </c>
      <c r="J150" s="73">
        <f>_xlfn.LET(
  _xlpm.result, 1-((Main[[#This Row],[Cost]]+Main[[#This Row],[Duties]]+Main[[#This Row],[Transport]])/((Main[[#This Row],[Precio]]*0.96))),
  IF(_xlpm.result&lt;0, "BAJO", IF(_xlpm.result&gt;1, "ALTO", _xlpm.result))
)</f>
        <v>0.23836206896551704</v>
      </c>
      <c r="K150" s="135">
        <v>1.5591397849462365</v>
      </c>
      <c r="L150" s="33" t="str" cm="1">
        <f t="array" aca="1" ref="L15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50" s="156">
        <f>Guias!$B$3</f>
        <v>46296</v>
      </c>
      <c r="N150" s="234">
        <f>ROUNDUP((Main[[#This Row],[Cost]]*Main[[#This Row],[Import Duties]]),2)</f>
        <v>0.08</v>
      </c>
      <c r="O150">
        <v>0</v>
      </c>
      <c r="P150">
        <v>1</v>
      </c>
      <c r="Q150">
        <v>0</v>
      </c>
      <c r="R150" s="235">
        <f>ROUNDUP(Main[[#This Row],[Transport2]]/Main[[#This Row],[Cantidad_Min]],2)</f>
        <v>0.61</v>
      </c>
      <c r="S150">
        <f>_xlfn.XLOOKUP(Main[[#This Row],[Type of Box]], Cajas[Nombre], Cajas[Largo])</f>
        <v>105</v>
      </c>
      <c r="T150">
        <f>_xlfn.XLOOKUP(Main[[#This Row],[Type of Box]], Cajas[Nombre], Cajas[Ancho])</f>
        <v>17</v>
      </c>
      <c r="U150">
        <f>_xlfn.XLOOKUP(Main[[#This Row],[Type of Box]], Cajas[Nombre], Cajas[Alto])</f>
        <v>17</v>
      </c>
      <c r="V15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0">
        <f>ROUNDUP(((Main[[#This Row],[Volumen]]*5.25))*1.36,2)</f>
        <v>36.119999999999997</v>
      </c>
      <c r="X150" s="238">
        <v>0.15859999999999999</v>
      </c>
      <c r="Y150" s="260">
        <f>Main[[#This Row],[Cantidad_Min]]*Main[[#This Row],[Precio]]*Main[[#This Row],[Qty]]</f>
        <v>93.548387096774192</v>
      </c>
      <c r="Z150">
        <f>_xlfn.XLOOKUP(Main[[#This Row],[Finca]], Fincas[Nombre], Fincas[ID])</f>
        <v>61</v>
      </c>
      <c r="AA150" t="str" cm="1">
        <f t="array" ref="AA15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0" s="2" t="s">
        <v>36</v>
      </c>
      <c r="AC150" s="31"/>
      <c r="AD150" s="244" t="s">
        <v>186</v>
      </c>
    </row>
    <row r="151" spans="1:30" x14ac:dyDescent="0.25">
      <c r="A151" s="37" t="s">
        <v>192</v>
      </c>
      <c r="B151" s="157">
        <v>3</v>
      </c>
      <c r="C151" s="157" t="s">
        <v>32</v>
      </c>
      <c r="D151" s="37">
        <v>120</v>
      </c>
      <c r="E151">
        <v>120</v>
      </c>
      <c r="F151" t="s">
        <v>193</v>
      </c>
      <c r="G151" t="str">
        <f>"Assorted Colors " &amp; _xlfn.XLOOKUP(Main[[#This Row],[FechaEntrega]], Guias[Fecha], Guias[Llegada])</f>
        <v>Assorted Colors (T/W)</v>
      </c>
      <c r="H151" s="1" t="s">
        <v>954</v>
      </c>
      <c r="I151" s="259">
        <v>0.7</v>
      </c>
      <c r="J151" s="73">
        <f>_xlfn.LET(
  _xlpm.result, 1-((Main[[#This Row],[Cost]]+Main[[#This Row],[Duties]]+Main[[#This Row],[Transport]])/((Main[[#This Row],[Precio]]*0.96))),
  IF(_xlpm.result&lt;0, "BAJO", IF(_xlpm.result&gt;1, "ALTO", _xlpm.result))
)</f>
        <v>0.30350098619329391</v>
      </c>
      <c r="K151" s="135">
        <v>1.69</v>
      </c>
      <c r="L151" s="33" t="str" cm="1">
        <f t="array" aca="1" ref="L15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51" s="156">
        <f>Guias!$B$3</f>
        <v>46296</v>
      </c>
      <c r="N151" s="234">
        <f>ROUNDUP((Main[[#This Row],[Cost]]*Main[[#This Row],[Import Duties]]),2)</f>
        <v>0.12</v>
      </c>
      <c r="O151">
        <v>0</v>
      </c>
      <c r="P151">
        <v>1</v>
      </c>
      <c r="Q151">
        <v>0</v>
      </c>
      <c r="R151" s="235">
        <f>ROUNDUP(Main[[#This Row],[Transport2]]/Main[[#This Row],[Cantidad_Min]],2)</f>
        <v>0.31</v>
      </c>
      <c r="S151">
        <f>_xlfn.XLOOKUP(Main[[#This Row],[Type of Box]], Cajas[Nombre], Cajas[Largo])</f>
        <v>105</v>
      </c>
      <c r="T151">
        <f>_xlfn.XLOOKUP(Main[[#This Row],[Type of Box]], Cajas[Nombre], Cajas[Ancho])</f>
        <v>17</v>
      </c>
      <c r="U151">
        <f>_xlfn.XLOOKUP(Main[[#This Row],[Type of Box]], Cajas[Nombre], Cajas[Alto])</f>
        <v>17</v>
      </c>
      <c r="V15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1">
        <f>ROUNDUP(((Main[[#This Row],[Volumen]]*5.25))*1.36,2)</f>
        <v>36.119999999999997</v>
      </c>
      <c r="X151" s="238">
        <v>0.15859999999999999</v>
      </c>
      <c r="Y151" s="260">
        <f>Main[[#This Row],[Cantidad_Min]]*Main[[#This Row],[Precio]]*Main[[#This Row],[Qty]]</f>
        <v>608.4</v>
      </c>
      <c r="Z151">
        <f>_xlfn.XLOOKUP(Main[[#This Row],[Finca]], Fincas[Nombre], Fincas[ID])</f>
        <v>53</v>
      </c>
      <c r="AA151" t="str" cm="1">
        <f t="array" ref="AA15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1" s="2" t="s">
        <v>36</v>
      </c>
      <c r="AC151" s="5"/>
      <c r="AD151" s="245"/>
    </row>
    <row r="152" spans="1:30" x14ac:dyDescent="0.25">
      <c r="A152" s="37" t="s">
        <v>178</v>
      </c>
      <c r="B152" s="157">
        <v>5</v>
      </c>
      <c r="C152" s="157" t="s">
        <v>32</v>
      </c>
      <c r="D152" s="37">
        <v>40</v>
      </c>
      <c r="E152">
        <v>40</v>
      </c>
      <c r="F152" t="s">
        <v>165</v>
      </c>
      <c r="G152" t="str">
        <f>"Vincents Choice " &amp; _xlfn.XLOOKUP(Main[[#This Row],[FechaEntrega]], Guias[Fecha], Guias[Llegada])</f>
        <v>Vincents Choice (M/T)</v>
      </c>
      <c r="H152" s="1" t="s">
        <v>955</v>
      </c>
      <c r="I152" s="259">
        <v>0.27</v>
      </c>
      <c r="J152" s="73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152" s="135">
        <v>1.69</v>
      </c>
      <c r="L152" s="33" t="str" cm="1">
        <f t="array" aca="1" ref="L15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52" s="156">
        <f>Guias!$B$2</f>
        <v>46295</v>
      </c>
      <c r="N152" s="234">
        <f>ROUNDUP((Main[[#This Row],[Cost]]*Main[[#This Row],[Import Duties]]),2)</f>
        <v>0.05</v>
      </c>
      <c r="O152">
        <v>0</v>
      </c>
      <c r="P152">
        <v>1</v>
      </c>
      <c r="Q152">
        <v>0</v>
      </c>
      <c r="R152" s="235">
        <f>ROUNDUP(Main[[#This Row],[Transport2]]/Main[[#This Row],[Cantidad_Min]],2)</f>
        <v>0.91</v>
      </c>
      <c r="S152">
        <f>_xlfn.XLOOKUP(Main[[#This Row],[Type of Box]], Cajas[Nombre], Cajas[Largo])</f>
        <v>105</v>
      </c>
      <c r="T152">
        <f>_xlfn.XLOOKUP(Main[[#This Row],[Type of Box]], Cajas[Nombre], Cajas[Ancho])</f>
        <v>17</v>
      </c>
      <c r="U152">
        <f>_xlfn.XLOOKUP(Main[[#This Row],[Type of Box]], Cajas[Nombre], Cajas[Alto])</f>
        <v>17</v>
      </c>
      <c r="V15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2">
        <f>ROUNDUP(((Main[[#This Row],[Volumen]]*5.25))*1.36,2)</f>
        <v>36.119999999999997</v>
      </c>
      <c r="X152" s="238">
        <v>0.15859999999999999</v>
      </c>
      <c r="Y152" s="260">
        <f>Main[[#This Row],[Cantidad_Min]]*Main[[#This Row],[Precio]]*Main[[#This Row],[Qty]]</f>
        <v>338</v>
      </c>
      <c r="Z152">
        <f>_xlfn.XLOOKUP(Main[[#This Row],[Finca]], Fincas[Nombre], Fincas[ID])</f>
        <v>75</v>
      </c>
      <c r="AA152" t="str" cm="1">
        <f t="array" ref="AA15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2" s="2" t="s">
        <v>36</v>
      </c>
      <c r="AC152" s="31"/>
      <c r="AD152" s="248"/>
    </row>
    <row r="153" spans="1:30" x14ac:dyDescent="0.25">
      <c r="A153" s="37" t="s">
        <v>178</v>
      </c>
      <c r="B153" s="157">
        <v>5</v>
      </c>
      <c r="C153" s="157" t="s">
        <v>32</v>
      </c>
      <c r="D153" s="37">
        <v>40</v>
      </c>
      <c r="E153">
        <v>40</v>
      </c>
      <c r="F153" t="s">
        <v>165</v>
      </c>
      <c r="G153" t="str">
        <f>"Vincents Choice " &amp; _xlfn.XLOOKUP(Main[[#This Row],[FechaEntrega]], Guias[Fecha], Guias[Llegada])</f>
        <v>Vincents Choice (W/T)</v>
      </c>
      <c r="H153" s="1" t="s">
        <v>956</v>
      </c>
      <c r="I153" s="259">
        <v>0.27</v>
      </c>
      <c r="J153" s="73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153" s="135">
        <v>1.69</v>
      </c>
      <c r="L153" s="33" cm="1">
        <f t="array" aca="1" ref="L15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53" s="156">
        <f>Guias!$B$5</f>
        <v>46298</v>
      </c>
      <c r="N153" s="234">
        <f>ROUNDUP((Main[[#This Row],[Cost]]*Main[[#This Row],[Import Duties]]),2)</f>
        <v>0.05</v>
      </c>
      <c r="O153">
        <v>0</v>
      </c>
      <c r="P153">
        <v>1</v>
      </c>
      <c r="Q153">
        <v>0</v>
      </c>
      <c r="R153" s="235">
        <f>ROUNDUP(Main[[#This Row],[Transport2]]/Main[[#This Row],[Cantidad_Min]],2)</f>
        <v>0.91</v>
      </c>
      <c r="S153">
        <f>_xlfn.XLOOKUP(Main[[#This Row],[Type of Box]], Cajas[Nombre], Cajas[Largo])</f>
        <v>105</v>
      </c>
      <c r="T153">
        <f>_xlfn.XLOOKUP(Main[[#This Row],[Type of Box]], Cajas[Nombre], Cajas[Ancho])</f>
        <v>17</v>
      </c>
      <c r="U153">
        <f>_xlfn.XLOOKUP(Main[[#This Row],[Type of Box]], Cajas[Nombre], Cajas[Alto])</f>
        <v>17</v>
      </c>
      <c r="V15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3">
        <f>ROUNDUP(((Main[[#This Row],[Volumen]]*5.25))*1.36,2)</f>
        <v>36.119999999999997</v>
      </c>
      <c r="X153" s="238">
        <v>0.15859999999999999</v>
      </c>
      <c r="Y153" s="260">
        <f>Main[[#This Row],[Cantidad_Min]]*Main[[#This Row],[Precio]]*Main[[#This Row],[Qty]]</f>
        <v>338</v>
      </c>
      <c r="Z153">
        <f>_xlfn.XLOOKUP(Main[[#This Row],[Finca]], Fincas[Nombre], Fincas[ID])</f>
        <v>75</v>
      </c>
      <c r="AA153" t="str" cm="1">
        <f t="array" ref="AA15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3" s="2" t="s">
        <v>36</v>
      </c>
      <c r="AC153" s="31"/>
      <c r="AD153" s="248"/>
    </row>
    <row r="154" spans="1:30" x14ac:dyDescent="0.25">
      <c r="A154" s="37" t="s">
        <v>178</v>
      </c>
      <c r="B154" s="157">
        <v>5</v>
      </c>
      <c r="C154" s="157" t="s">
        <v>32</v>
      </c>
      <c r="D154" s="37">
        <v>45</v>
      </c>
      <c r="E154">
        <v>45</v>
      </c>
      <c r="F154" t="s">
        <v>194</v>
      </c>
      <c r="G154" t="str">
        <f>"Select/Medium/Petit " &amp; _xlfn.XLOOKUP(Main[[#This Row],[FechaEntrega]], Guias[Fecha], Guias[Llegada])</f>
        <v>Select/Medium/Petit (W/T)</v>
      </c>
      <c r="H154" s="1" t="s">
        <v>957</v>
      </c>
      <c r="I154" s="259">
        <v>0.25</v>
      </c>
      <c r="J154" s="73">
        <f>_xlfn.LET(
  _xlpm.result, 1-((Main[[#This Row],[Cost]]+Main[[#This Row],[Duties]]+Main[[#This Row],[Transport]])/((Main[[#This Row],[Precio]]*0.96))),
  IF(_xlpm.result&lt;0, "BAJO", IF(_xlpm.result&gt;1, "ALTO", _xlpm.result))
)</f>
        <v>0.27935010482180289</v>
      </c>
      <c r="K154" s="135">
        <v>1.59</v>
      </c>
      <c r="L154" s="33" cm="1">
        <f t="array" aca="1" ref="L15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54" s="156">
        <f>Guias!$B$4</f>
        <v>46297</v>
      </c>
      <c r="N154" s="234">
        <f>ROUNDUP((Main[[#This Row],[Cost]]*Main[[#This Row],[Import Duties]]),2)</f>
        <v>0.04</v>
      </c>
      <c r="O154">
        <v>0</v>
      </c>
      <c r="P154">
        <v>1</v>
      </c>
      <c r="Q154">
        <v>0</v>
      </c>
      <c r="R154" s="235">
        <f>ROUNDUP(Main[[#This Row],[Transport2]]/Main[[#This Row],[Cantidad_Min]],2)</f>
        <v>0.81</v>
      </c>
      <c r="S154">
        <f>_xlfn.XLOOKUP(Main[[#This Row],[Type of Box]], Cajas[Nombre], Cajas[Largo])</f>
        <v>105</v>
      </c>
      <c r="T154">
        <f>_xlfn.XLOOKUP(Main[[#This Row],[Type of Box]], Cajas[Nombre], Cajas[Ancho])</f>
        <v>17</v>
      </c>
      <c r="U154">
        <f>_xlfn.XLOOKUP(Main[[#This Row],[Type of Box]], Cajas[Nombre], Cajas[Alto])</f>
        <v>17</v>
      </c>
      <c r="V15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4">
        <f>ROUNDUP(((Main[[#This Row],[Volumen]]*5.25))*1.36,2)</f>
        <v>36.119999999999997</v>
      </c>
      <c r="X154" s="238">
        <v>0.15859999999999999</v>
      </c>
      <c r="Y154" s="260">
        <f>Main[[#This Row],[Cantidad_Min]]*Main[[#This Row],[Precio]]*Main[[#This Row],[Qty]]</f>
        <v>357.75</v>
      </c>
      <c r="Z154">
        <f>_xlfn.XLOOKUP(Main[[#This Row],[Finca]], Fincas[Nombre], Fincas[ID])</f>
        <v>75</v>
      </c>
      <c r="AA154" t="str" cm="1">
        <f t="array" ref="AA15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4" s="2" t="s">
        <v>36</v>
      </c>
      <c r="AC154" s="31"/>
      <c r="AD154" s="248"/>
    </row>
    <row r="155" spans="1:30" x14ac:dyDescent="0.25">
      <c r="A155" s="37" t="s">
        <v>54</v>
      </c>
      <c r="B155" s="157">
        <v>7</v>
      </c>
      <c r="C155" s="157" t="s">
        <v>33</v>
      </c>
      <c r="D155" s="37">
        <v>110</v>
      </c>
      <c r="E155">
        <v>110</v>
      </c>
      <c r="F155" t="s">
        <v>151</v>
      </c>
      <c r="G155" t="str">
        <f>"Assorted Colors " &amp; _xlfn.XLOOKUP(Main[[#This Row],[FechaEntrega]], Guias[Fecha], Guias[Llegada])</f>
        <v>Assorted Colors (W/T)</v>
      </c>
      <c r="H155" s="1" t="s">
        <v>958</v>
      </c>
      <c r="I155" s="259">
        <v>0.4</v>
      </c>
      <c r="J155" s="73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55" s="135">
        <v>1.49</v>
      </c>
      <c r="L155" s="33" cm="1">
        <f t="array" aca="1" ref="L15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55" s="156">
        <f>Guias!$B$4</f>
        <v>46297</v>
      </c>
      <c r="N155" s="234">
        <f>ROUNDUP((Main[[#This Row],[Cost]]*Main[[#This Row],[Import Duties]]),2)</f>
        <v>6.9999999999999993E-2</v>
      </c>
      <c r="O155">
        <v>0</v>
      </c>
      <c r="P155">
        <v>1</v>
      </c>
      <c r="Q155">
        <v>0</v>
      </c>
      <c r="R155" s="235">
        <f>ROUNDUP(Main[[#This Row],[Transport2]]/Main[[#This Row],[Cantidad_Min]],2)</f>
        <v>0.6</v>
      </c>
      <c r="S155">
        <f>_xlfn.XLOOKUP(Main[[#This Row],[Type of Box]], Cajas[Nombre], Cajas[Largo])</f>
        <v>99</v>
      </c>
      <c r="T155">
        <f>_xlfn.XLOOKUP(Main[[#This Row],[Type of Box]], Cajas[Nombre], Cajas[Ancho])</f>
        <v>35</v>
      </c>
      <c r="U155">
        <f>_xlfn.XLOOKUP(Main[[#This Row],[Type of Box]], Cajas[Nombre], Cajas[Alto])</f>
        <v>16</v>
      </c>
      <c r="V15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5">
        <f>ROUNDUP(((Main[[#This Row],[Volumen]]*5.25))*1.36,2)</f>
        <v>65.98</v>
      </c>
      <c r="X155" s="238">
        <v>0.15859999999999999</v>
      </c>
      <c r="Y155" s="260">
        <f>Main[[#This Row],[Cantidad_Min]]*Main[[#This Row],[Precio]]*Main[[#This Row],[Qty]]</f>
        <v>1147.3</v>
      </c>
      <c r="Z155">
        <f>_xlfn.XLOOKUP(Main[[#This Row],[Finca]], Fincas[Nombre], Fincas[ID])</f>
        <v>58</v>
      </c>
      <c r="AA155" t="str" cm="1">
        <f t="array" ref="AA15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5" s="2" t="s">
        <v>36</v>
      </c>
      <c r="AC155" s="5"/>
      <c r="AD155" s="244"/>
    </row>
    <row r="156" spans="1:30" x14ac:dyDescent="0.25">
      <c r="A156" s="37" t="s">
        <v>54</v>
      </c>
      <c r="B156" s="160">
        <v>25</v>
      </c>
      <c r="C156" s="157" t="s">
        <v>33</v>
      </c>
      <c r="D156" s="37">
        <v>100</v>
      </c>
      <c r="E156">
        <v>100</v>
      </c>
      <c r="F156" t="s">
        <v>151</v>
      </c>
      <c r="G156" t="str">
        <f>"Fall Colors " &amp; _xlfn.XLOOKUP(Main[[#This Row],[FechaEntrega]], Guias[Fecha], Guias[Llegada])</f>
        <v>Fall Colors (W/T)</v>
      </c>
      <c r="H156" s="1" t="s">
        <v>959</v>
      </c>
      <c r="I156" s="259">
        <v>0.43</v>
      </c>
      <c r="J156" s="73">
        <f>_xlfn.LET(
  _xlpm.result, 1-((Main[[#This Row],[Cost]]+Main[[#This Row],[Duties]]+Main[[#This Row],[Transport]])/((Main[[#This Row],[Precio]]*0.96))),
  IF(_xlpm.result&lt;0, "BAJO", IF(_xlpm.result&gt;1, "ALTO", _xlpm.result))
)</f>
        <v>0.24004192872117391</v>
      </c>
      <c r="K156" s="135">
        <v>1.59</v>
      </c>
      <c r="L156" s="33" cm="1">
        <f t="array" aca="1" ref="L15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56" s="156">
        <f>Guias!$B$4</f>
        <v>46297</v>
      </c>
      <c r="N156" s="234">
        <f>ROUNDUP((Main[[#This Row],[Cost]]*Main[[#This Row],[Import Duties]]),2)</f>
        <v>6.9999999999999993E-2</v>
      </c>
      <c r="O156">
        <v>0</v>
      </c>
      <c r="P156">
        <v>1</v>
      </c>
      <c r="Q156">
        <v>0</v>
      </c>
      <c r="R156" s="235">
        <f>ROUNDUP(Main[[#This Row],[Transport2]]/Main[[#This Row],[Cantidad_Min]],2)</f>
        <v>0.66</v>
      </c>
      <c r="S156">
        <f>_xlfn.XLOOKUP(Main[[#This Row],[Type of Box]], Cajas[Nombre], Cajas[Largo])</f>
        <v>99</v>
      </c>
      <c r="T156">
        <f>_xlfn.XLOOKUP(Main[[#This Row],[Type of Box]], Cajas[Nombre], Cajas[Ancho])</f>
        <v>35</v>
      </c>
      <c r="U156">
        <f>_xlfn.XLOOKUP(Main[[#This Row],[Type of Box]], Cajas[Nombre], Cajas[Alto])</f>
        <v>16</v>
      </c>
      <c r="V15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6">
        <f>ROUNDUP(((Main[[#This Row],[Volumen]]*5.25))*1.36,2)</f>
        <v>65.98</v>
      </c>
      <c r="X156" s="238">
        <v>0.15859999999999999</v>
      </c>
      <c r="Y156" s="260">
        <f>Main[[#This Row],[Cantidad_Min]]*Main[[#This Row],[Precio]]*Main[[#This Row],[Qty]]</f>
        <v>3975</v>
      </c>
      <c r="Z156">
        <f>_xlfn.XLOOKUP(Main[[#This Row],[Finca]], Fincas[Nombre], Fincas[ID])</f>
        <v>58</v>
      </c>
      <c r="AA156" t="str" cm="1">
        <f t="array" ref="AA15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6" s="2" t="s">
        <v>36</v>
      </c>
      <c r="AC156" s="5" t="s">
        <v>195</v>
      </c>
      <c r="AD156" s="246"/>
    </row>
    <row r="157" spans="1:30" x14ac:dyDescent="0.25">
      <c r="A157" s="37" t="s">
        <v>54</v>
      </c>
      <c r="B157" s="157">
        <v>4</v>
      </c>
      <c r="C157" s="157" t="s">
        <v>33</v>
      </c>
      <c r="D157" s="37">
        <v>60</v>
      </c>
      <c r="E157">
        <v>60</v>
      </c>
      <c r="F157" t="s">
        <v>196</v>
      </c>
      <c r="G157" t="str">
        <f>"White " &amp; _xlfn.XLOOKUP(Main[[#This Row],[FechaEntrega]], Guias[Fecha], Guias[Llegada])</f>
        <v>White (T/W)</v>
      </c>
      <c r="H157" s="1" t="s">
        <v>960</v>
      </c>
      <c r="I157" s="259">
        <v>0.35</v>
      </c>
      <c r="J157" s="73">
        <f>_xlfn.LET(
  _xlpm.result, 1-((Main[[#This Row],[Cost]]+Main[[#This Row],[Duties]]+Main[[#This Row],[Transport]])/((Main[[#This Row],[Precio]]*0.96))),
  IF(_xlpm.result&lt;0, "BAJO", IF(_xlpm.result&gt;1, "ALTO", _xlpm.result))
)</f>
        <v>0.30092592592592593</v>
      </c>
      <c r="K157" s="135">
        <v>2.25</v>
      </c>
      <c r="L157" s="33" t="str" cm="1">
        <f t="array" aca="1" ref="L15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57" s="156">
        <f>Guias!$B$3</f>
        <v>46296</v>
      </c>
      <c r="N157" s="234">
        <f>ROUNDUP((Main[[#This Row],[Cost]]*Main[[#This Row],[Import Duties]]),2)</f>
        <v>6.0000000000000005E-2</v>
      </c>
      <c r="O157">
        <v>0</v>
      </c>
      <c r="P157">
        <v>1</v>
      </c>
      <c r="Q157">
        <v>0</v>
      </c>
      <c r="R157" s="235">
        <f>ROUNDUP(Main[[#This Row],[Transport2]]/Main[[#This Row],[Cantidad_Min]],2)</f>
        <v>1.1000000000000001</v>
      </c>
      <c r="S157">
        <f>_xlfn.XLOOKUP(Main[[#This Row],[Type of Box]], Cajas[Nombre], Cajas[Largo])</f>
        <v>99</v>
      </c>
      <c r="T157">
        <f>_xlfn.XLOOKUP(Main[[#This Row],[Type of Box]], Cajas[Nombre], Cajas[Ancho])</f>
        <v>35</v>
      </c>
      <c r="U157">
        <f>_xlfn.XLOOKUP(Main[[#This Row],[Type of Box]], Cajas[Nombre], Cajas[Alto])</f>
        <v>16</v>
      </c>
      <c r="V15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7">
        <f>ROUNDUP(((Main[[#This Row],[Volumen]]*5.25))*1.36,2)</f>
        <v>65.98</v>
      </c>
      <c r="X157" s="238">
        <v>0.15859999999999999</v>
      </c>
      <c r="Y157" s="260">
        <f>Main[[#This Row],[Cantidad_Min]]*Main[[#This Row],[Precio]]*Main[[#This Row],[Qty]]</f>
        <v>540</v>
      </c>
      <c r="Z157">
        <f>_xlfn.XLOOKUP(Main[[#This Row],[Finca]], Fincas[Nombre], Fincas[ID])</f>
        <v>58</v>
      </c>
      <c r="AA157" t="str" cm="1">
        <f t="array" ref="AA15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7" s="2" t="s">
        <v>36</v>
      </c>
      <c r="AC157" s="5"/>
      <c r="AD157" s="244"/>
    </row>
    <row r="158" spans="1:30" x14ac:dyDescent="0.25">
      <c r="A158" s="37" t="s">
        <v>54</v>
      </c>
      <c r="B158" s="157">
        <v>1</v>
      </c>
      <c r="C158" s="157" t="s">
        <v>33</v>
      </c>
      <c r="D158" s="37">
        <v>60</v>
      </c>
      <c r="E158">
        <v>60</v>
      </c>
      <c r="F158" t="s">
        <v>150</v>
      </c>
      <c r="G158" t="str">
        <f>"White/Pink/Hot Pink " &amp; _xlfn.XLOOKUP(Main[[#This Row],[FechaEntrega]], Guias[Fecha], Guias[Llegada])</f>
        <v>White/Pink/Hot Pink (M/T)</v>
      </c>
      <c r="H158" s="1" t="s">
        <v>961</v>
      </c>
      <c r="I158" s="259">
        <v>0.85</v>
      </c>
      <c r="J158" s="73">
        <f>_xlfn.LET(
  _xlpm.result, 1-((Main[[#This Row],[Cost]]+Main[[#This Row],[Duties]]+Main[[#This Row],[Transport]])/((Main[[#This Row],[Precio]]*0.96))),
  IF(_xlpm.result&lt;0, "BAJO", IF(_xlpm.result&gt;1, "ALTO", _xlpm.result))
)</f>
        <v>0.27187848383500568</v>
      </c>
      <c r="K158" s="135">
        <v>2.99</v>
      </c>
      <c r="L158" s="33" t="str" cm="1">
        <f t="array" aca="1" ref="L15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58" s="156">
        <f>Guias!$B$2</f>
        <v>46295</v>
      </c>
      <c r="N158" s="169">
        <f>ROUNDUP((Main[[#This Row],[Cost]]*Main[[#This Row],[Import Duties]]),2)</f>
        <v>0.14000000000000001</v>
      </c>
      <c r="O158">
        <v>0</v>
      </c>
      <c r="P158">
        <v>1</v>
      </c>
      <c r="Q158">
        <v>0</v>
      </c>
      <c r="R158" s="170">
        <f>ROUNDUP(Main[[#This Row],[Transport2]]/Main[[#This Row],[Cantidad_Min]],2)</f>
        <v>1.1000000000000001</v>
      </c>
      <c r="S158">
        <f>_xlfn.XLOOKUP(Main[[#This Row],[Type of Box]], Cajas[Nombre], Cajas[Largo])</f>
        <v>99</v>
      </c>
      <c r="T158">
        <f>_xlfn.XLOOKUP(Main[[#This Row],[Type of Box]], Cajas[Nombre], Cajas[Ancho])</f>
        <v>35</v>
      </c>
      <c r="U158">
        <f>_xlfn.XLOOKUP(Main[[#This Row],[Type of Box]], Cajas[Nombre], Cajas[Alto])</f>
        <v>16</v>
      </c>
      <c r="V15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8">
        <f>ROUNDUP(((Main[[#This Row],[Volumen]]*5.25))*1.36,2)</f>
        <v>65.98</v>
      </c>
      <c r="X158" s="238">
        <v>0.15859999999999999</v>
      </c>
      <c r="Y158" s="260">
        <f>Main[[#This Row],[Cantidad_Min]]*Main[[#This Row],[Precio]]*Main[[#This Row],[Qty]]</f>
        <v>179.4</v>
      </c>
      <c r="Z158">
        <f>_xlfn.XLOOKUP(Main[[#This Row],[Finca]], Fincas[Nombre], Fincas[ID])</f>
        <v>58</v>
      </c>
      <c r="AA158" t="str" cm="1">
        <f t="array" ref="AA15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8" s="2" t="s">
        <v>36</v>
      </c>
      <c r="AC158" s="5"/>
      <c r="AD158" s="244"/>
    </row>
    <row r="159" spans="1:30" x14ac:dyDescent="0.25">
      <c r="A159" s="37" t="s">
        <v>54</v>
      </c>
      <c r="B159" s="157">
        <v>5</v>
      </c>
      <c r="C159" s="157" t="s">
        <v>32</v>
      </c>
      <c r="D159" s="37">
        <v>6</v>
      </c>
      <c r="E159">
        <v>6</v>
      </c>
      <c r="F159" t="s">
        <v>197</v>
      </c>
      <c r="G159" t="str">
        <f>"250rg. " &amp; _xlfn.XLOOKUP(Main[[#This Row],[FechaEntrega]], Guias[Fecha], Guias[Llegada])</f>
        <v>250rg. (T/W)</v>
      </c>
      <c r="H159" s="1" t="s">
        <v>962</v>
      </c>
      <c r="I159" s="259">
        <v>2.2000000000000002</v>
      </c>
      <c r="J159" s="73">
        <f>_xlfn.LET(
  _xlpm.result, 1-((Main[[#This Row],[Cost]]+Main[[#This Row],[Duties]]+Main[[#This Row],[Transport]])/((Main[[#This Row],[Precio]]*0.96))),
  IF(_xlpm.result&lt;0, "BAJO", IF(_xlpm.result&gt;1, "ALTO", _xlpm.result))
)</f>
        <v>0.25545593550180712</v>
      </c>
      <c r="K159" s="135">
        <v>11.99</v>
      </c>
      <c r="L159" s="33" t="str" cm="1">
        <f t="array" aca="1" ref="L15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59" s="156">
        <f>Guias!$B$3</f>
        <v>46296</v>
      </c>
      <c r="N159" s="234">
        <f>ROUNDUP((Main[[#This Row],[Cost]]*Main[[#This Row],[Import Duties]]),2)</f>
        <v>0.35000000000000003</v>
      </c>
      <c r="O159">
        <v>0</v>
      </c>
      <c r="P159">
        <v>1</v>
      </c>
      <c r="Q159">
        <v>0</v>
      </c>
      <c r="R159" s="235">
        <f>ROUNDUP(Main[[#This Row],[Transport2]]/Main[[#This Row],[Cantidad_Min]],2)</f>
        <v>6.02</v>
      </c>
      <c r="S159">
        <f>_xlfn.XLOOKUP(Main[[#This Row],[Type of Box]], Cajas[Nombre], Cajas[Largo])</f>
        <v>105</v>
      </c>
      <c r="T159">
        <f>_xlfn.XLOOKUP(Main[[#This Row],[Type of Box]], Cajas[Nombre], Cajas[Ancho])</f>
        <v>17</v>
      </c>
      <c r="U159">
        <f>_xlfn.XLOOKUP(Main[[#This Row],[Type of Box]], Cajas[Nombre], Cajas[Alto])</f>
        <v>17</v>
      </c>
      <c r="V15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9">
        <f>ROUNDUP(((Main[[#This Row],[Volumen]]*5.25))*1.36,2)</f>
        <v>36.119999999999997</v>
      </c>
      <c r="X159" s="238">
        <v>0.15859999999999999</v>
      </c>
      <c r="Y159" s="260">
        <f>Main[[#This Row],[Cantidad_Min]]*Main[[#This Row],[Precio]]*Main[[#This Row],[Qty]]</f>
        <v>359.7</v>
      </c>
      <c r="Z159">
        <f>_xlfn.XLOOKUP(Main[[#This Row],[Finca]], Fincas[Nombre], Fincas[ID])</f>
        <v>58</v>
      </c>
      <c r="AA159" t="str" cm="1">
        <f t="array" ref="AA15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9" s="2" t="s">
        <v>36</v>
      </c>
      <c r="AC159" s="5"/>
      <c r="AD159" s="244"/>
    </row>
    <row r="160" spans="1:30" x14ac:dyDescent="0.25">
      <c r="A160" s="37" t="s">
        <v>54</v>
      </c>
      <c r="B160" s="157">
        <v>1</v>
      </c>
      <c r="C160" s="157" t="s">
        <v>32</v>
      </c>
      <c r="D160" s="37">
        <v>60</v>
      </c>
      <c r="E160">
        <v>60</v>
      </c>
      <c r="F160" t="s">
        <v>198</v>
      </c>
      <c r="G160" t="str">
        <f>"Premium Golden Glory " &amp; _xlfn.XLOOKUP(Main[[#This Row],[FechaEntrega]], Guias[Fecha], Guias[Llegada])</f>
        <v>Premium Golden Glory (M/T)</v>
      </c>
      <c r="H160" s="1" t="s">
        <v>963</v>
      </c>
      <c r="I160" s="259">
        <v>0.3</v>
      </c>
      <c r="J160" s="73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60" s="135">
        <v>1.29</v>
      </c>
      <c r="L160" s="33" t="str" cm="1">
        <f t="array" aca="1" ref="L16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60" s="156">
        <f>Guias!$B$2</f>
        <v>46295</v>
      </c>
      <c r="N160" s="234">
        <f>ROUNDUP((Main[[#This Row],[Cost]]*Main[[#This Row],[Import Duties]]),2)</f>
        <v>0.05</v>
      </c>
      <c r="O160">
        <v>0</v>
      </c>
      <c r="P160">
        <v>1</v>
      </c>
      <c r="Q160">
        <v>0</v>
      </c>
      <c r="R160" s="235">
        <f>ROUNDUP(Main[[#This Row],[Transport2]]/Main[[#This Row],[Cantidad_Min]],2)</f>
        <v>0.61</v>
      </c>
      <c r="S160">
        <f>_xlfn.XLOOKUP(Main[[#This Row],[Type of Box]], Cajas[Nombre], Cajas[Largo])</f>
        <v>105</v>
      </c>
      <c r="T160">
        <f>_xlfn.XLOOKUP(Main[[#This Row],[Type of Box]], Cajas[Nombre], Cajas[Ancho])</f>
        <v>17</v>
      </c>
      <c r="U160">
        <f>_xlfn.XLOOKUP(Main[[#This Row],[Type of Box]], Cajas[Nombre], Cajas[Alto])</f>
        <v>17</v>
      </c>
      <c r="V16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0">
        <f>ROUNDUP(((Main[[#This Row],[Volumen]]*5.25))*1.36,2)</f>
        <v>36.119999999999997</v>
      </c>
      <c r="X160" s="238">
        <v>0.15859999999999999</v>
      </c>
      <c r="Y160" s="260">
        <f>Main[[#This Row],[Cantidad_Min]]*Main[[#This Row],[Precio]]*Main[[#This Row],[Qty]]</f>
        <v>77.400000000000006</v>
      </c>
      <c r="Z160">
        <f>_xlfn.XLOOKUP(Main[[#This Row],[Finca]], Fincas[Nombre], Fincas[ID])</f>
        <v>58</v>
      </c>
      <c r="AA160" t="str" cm="1">
        <f t="array" ref="AA16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0" s="2" t="s">
        <v>36</v>
      </c>
      <c r="AC160" s="5"/>
      <c r="AD160" s="245"/>
    </row>
    <row r="161" spans="1:30" x14ac:dyDescent="0.25">
      <c r="A161" s="37" t="s">
        <v>54</v>
      </c>
      <c r="B161" s="157">
        <v>5</v>
      </c>
      <c r="C161" s="157" t="s">
        <v>32</v>
      </c>
      <c r="D161" s="37">
        <v>60</v>
      </c>
      <c r="E161">
        <v>60</v>
      </c>
      <c r="F161" t="s">
        <v>198</v>
      </c>
      <c r="G161" t="str">
        <f>"Golden Glory " &amp; _xlfn.XLOOKUP(Main[[#This Row],[FechaEntrega]], Guias[Fecha], Guias[Llegada])</f>
        <v>Golden Glory (W/T)</v>
      </c>
      <c r="H161" s="1" t="s">
        <v>964</v>
      </c>
      <c r="I161" s="259">
        <v>0.22</v>
      </c>
      <c r="J161" s="73">
        <f>_xlfn.LET(
  _xlpm.result, 1-((Main[[#This Row],[Cost]]+Main[[#This Row],[Duties]]+Main[[#This Row],[Transport]])/((Main[[#This Row],[Precio]]*0.96))),
  IF(_xlpm.result&lt;0, "BAJO", IF(_xlpm.result&gt;1, "ALTO", _xlpm.result))
)</f>
        <v>0.23844537815126043</v>
      </c>
      <c r="K161" s="135">
        <v>1.19</v>
      </c>
      <c r="L161" s="33" cm="1">
        <f t="array" aca="1" ref="L16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61" s="156">
        <f>Guias!$B$4</f>
        <v>46297</v>
      </c>
      <c r="N161" s="234">
        <f>ROUNDUP((Main[[#This Row],[Cost]]*Main[[#This Row],[Import Duties]]),2)</f>
        <v>0.04</v>
      </c>
      <c r="O161">
        <v>0</v>
      </c>
      <c r="P161">
        <v>1</v>
      </c>
      <c r="Q161">
        <v>0</v>
      </c>
      <c r="R161" s="235">
        <f>ROUNDUP(Main[[#This Row],[Transport2]]/Main[[#This Row],[Cantidad_Min]],2)</f>
        <v>0.61</v>
      </c>
      <c r="S161">
        <f>_xlfn.XLOOKUP(Main[[#This Row],[Type of Box]], Cajas[Nombre], Cajas[Largo])</f>
        <v>105</v>
      </c>
      <c r="T161">
        <f>_xlfn.XLOOKUP(Main[[#This Row],[Type of Box]], Cajas[Nombre], Cajas[Ancho])</f>
        <v>17</v>
      </c>
      <c r="U161">
        <f>_xlfn.XLOOKUP(Main[[#This Row],[Type of Box]], Cajas[Nombre], Cajas[Alto])</f>
        <v>17</v>
      </c>
      <c r="V16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1">
        <f>ROUNDUP(((Main[[#This Row],[Volumen]]*5.25))*1.36,2)</f>
        <v>36.119999999999997</v>
      </c>
      <c r="X161" s="238">
        <v>0.15859999999999999</v>
      </c>
      <c r="Y161" s="260">
        <f>Main[[#This Row],[Cantidad_Min]]*Main[[#This Row],[Precio]]*Main[[#This Row],[Qty]]</f>
        <v>356.99999999999994</v>
      </c>
      <c r="Z161">
        <f>_xlfn.XLOOKUP(Main[[#This Row],[Finca]], Fincas[Nombre], Fincas[ID])</f>
        <v>58</v>
      </c>
      <c r="AA161" t="str" cm="1">
        <f t="array" ref="AA16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1" s="2" t="s">
        <v>36</v>
      </c>
      <c r="AC161" s="5"/>
      <c r="AD161" s="245"/>
    </row>
    <row r="162" spans="1:30" x14ac:dyDescent="0.25">
      <c r="A162" s="37" t="s">
        <v>54</v>
      </c>
      <c r="B162" s="157">
        <v>4</v>
      </c>
      <c r="C162" s="157" t="s">
        <v>32</v>
      </c>
      <c r="D162" s="37">
        <v>70</v>
      </c>
      <c r="E162">
        <v>70</v>
      </c>
      <c r="F162" t="s">
        <v>148</v>
      </c>
      <c r="G162" t="str">
        <f>"Red/Yellow/Orange/White/Lavender/Ligth Pink/Hot Pink " &amp; _xlfn.XLOOKUP(Main[[#This Row],[FechaEntrega]], Guias[Fecha], Guias[Llegada])</f>
        <v>Red/Yellow/Orange/White/Lavender/Ligth Pink/Hot Pink (T/W)</v>
      </c>
      <c r="H162" s="1" t="s">
        <v>965</v>
      </c>
      <c r="I162" s="259">
        <v>0.21</v>
      </c>
      <c r="J162" s="73">
        <f>_xlfn.LET(
  _xlpm.result, 1-((Main[[#This Row],[Cost]]+Main[[#This Row],[Duties]]+Main[[#This Row],[Transport]])/((Main[[#This Row],[Precio]]*0.96))),
  IF(_xlpm.result&lt;0, "BAJO", IF(_xlpm.result&gt;1, "ALTO", _xlpm.result))
)</f>
        <v>0.26414373088685017</v>
      </c>
      <c r="K162" s="135">
        <v>1.0900000000000001</v>
      </c>
      <c r="L162" s="33" t="str" cm="1">
        <f t="array" aca="1" ref="L16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62" s="156">
        <f>Guias!$B$3</f>
        <v>46296</v>
      </c>
      <c r="N162" s="234">
        <f>ROUNDUP((Main[[#This Row],[Cost]]*Main[[#This Row],[Import Duties]]),2)</f>
        <v>0.04</v>
      </c>
      <c r="O162">
        <v>0</v>
      </c>
      <c r="P162">
        <v>1</v>
      </c>
      <c r="Q162">
        <v>0</v>
      </c>
      <c r="R162" s="235">
        <f>ROUNDUP(Main[[#This Row],[Transport2]]/Main[[#This Row],[Cantidad_Min]],2)</f>
        <v>0.52</v>
      </c>
      <c r="S162">
        <f>_xlfn.XLOOKUP(Main[[#This Row],[Type of Box]], Cajas[Nombre], Cajas[Largo])</f>
        <v>105</v>
      </c>
      <c r="T162">
        <f>_xlfn.XLOOKUP(Main[[#This Row],[Type of Box]], Cajas[Nombre], Cajas[Ancho])</f>
        <v>17</v>
      </c>
      <c r="U162">
        <f>_xlfn.XLOOKUP(Main[[#This Row],[Type of Box]], Cajas[Nombre], Cajas[Alto])</f>
        <v>17</v>
      </c>
      <c r="V16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2">
        <f>ROUNDUP(((Main[[#This Row],[Volumen]]*5.25))*1.36,2)</f>
        <v>36.119999999999997</v>
      </c>
      <c r="X162" s="238">
        <v>0.15859999999999999</v>
      </c>
      <c r="Y162" s="260">
        <f>Main[[#This Row],[Cantidad_Min]]*Main[[#This Row],[Precio]]*Main[[#This Row],[Qty]]</f>
        <v>305.20000000000005</v>
      </c>
      <c r="Z162">
        <f>_xlfn.XLOOKUP(Main[[#This Row],[Finca]], Fincas[Nombre], Fincas[ID])</f>
        <v>58</v>
      </c>
      <c r="AA162" t="str" cm="1">
        <f t="array" ref="AA16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62" s="2" t="s">
        <v>36</v>
      </c>
      <c r="AC162" s="5"/>
      <c r="AD162" s="245" t="s">
        <v>739</v>
      </c>
    </row>
    <row r="163" spans="1:30" x14ac:dyDescent="0.25">
      <c r="A163" s="37" t="s">
        <v>54</v>
      </c>
      <c r="B163" s="157">
        <v>1</v>
      </c>
      <c r="C163" s="157" t="s">
        <v>33</v>
      </c>
      <c r="D163" s="37">
        <v>50</v>
      </c>
      <c r="E163">
        <v>50</v>
      </c>
      <c r="F163" t="s">
        <v>181</v>
      </c>
      <c r="G163" t="s">
        <v>199</v>
      </c>
      <c r="H163" s="1" t="s">
        <v>966</v>
      </c>
      <c r="I163" s="259">
        <v>1.45</v>
      </c>
      <c r="J163" s="73">
        <f>_xlfn.LET(
  _xlpm.result, 1-((Main[[#This Row],[Cost]]+Main[[#This Row],[Duties]]+Main[[#This Row],[Transport]])/((Main[[#This Row],[Precio]]*0.96))),
  IF(_xlpm.result&lt;0, "BAJO", IF(_xlpm.result&gt;1, "ALTO", _xlpm.result))
)</f>
        <v>0.25417661097852029</v>
      </c>
      <c r="K163" s="135">
        <v>4.1900000000000004</v>
      </c>
      <c r="L163" s="33" t="str" cm="1">
        <f t="array" aca="1" ref="L16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63" s="156">
        <f>Guias!$B$2</f>
        <v>46295</v>
      </c>
      <c r="N163" s="234">
        <f>ROUNDUP((Main[[#This Row],[Cost]]*Main[[#This Row],[Import Duties]]),2)</f>
        <v>0.23</v>
      </c>
      <c r="O163">
        <v>0</v>
      </c>
      <c r="P163">
        <v>1</v>
      </c>
      <c r="Q163">
        <v>0</v>
      </c>
      <c r="R163" s="235">
        <f>ROUNDUP(Main[[#This Row],[Transport2]]/Main[[#This Row],[Cantidad_Min]],2)</f>
        <v>1.32</v>
      </c>
      <c r="S163">
        <f>_xlfn.XLOOKUP(Main[[#This Row],[Type of Box]], Cajas[Nombre], Cajas[Largo])</f>
        <v>99</v>
      </c>
      <c r="T163">
        <f>_xlfn.XLOOKUP(Main[[#This Row],[Type of Box]], Cajas[Nombre], Cajas[Ancho])</f>
        <v>35</v>
      </c>
      <c r="U163">
        <f>_xlfn.XLOOKUP(Main[[#This Row],[Type of Box]], Cajas[Nombre], Cajas[Alto])</f>
        <v>16</v>
      </c>
      <c r="V16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3">
        <f>ROUNDUP(((Main[[#This Row],[Volumen]]*5.25))*1.36,2)</f>
        <v>65.98</v>
      </c>
      <c r="X163" s="238">
        <v>0.15859999999999999</v>
      </c>
      <c r="Y163" s="260">
        <f>Main[[#This Row],[Cantidad_Min]]*Main[[#This Row],[Precio]]*Main[[#This Row],[Qty]]</f>
        <v>209.50000000000003</v>
      </c>
      <c r="Z163">
        <f>_xlfn.XLOOKUP(Main[[#This Row],[Finca]], Fincas[Nombre], Fincas[ID])</f>
        <v>58</v>
      </c>
      <c r="AA163" t="str" cm="1">
        <f t="array" ref="AA16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3" s="2" t="s">
        <v>36</v>
      </c>
      <c r="AC163" s="5"/>
      <c r="AD163" s="245"/>
    </row>
    <row r="164" spans="1:30" x14ac:dyDescent="0.25">
      <c r="A164" s="37" t="s">
        <v>200</v>
      </c>
      <c r="B164" s="157">
        <v>2</v>
      </c>
      <c r="C164" s="157" t="s">
        <v>33</v>
      </c>
      <c r="D164" s="37">
        <v>120</v>
      </c>
      <c r="E164">
        <v>120</v>
      </c>
      <c r="F164" t="s">
        <v>201</v>
      </c>
      <c r="G164" t="str">
        <f>"Assorted Colors " &amp; _xlfn.XLOOKUP(Main[[#This Row],[FechaEntrega]], Guias[Fecha], Guias[Llegada])</f>
        <v>Assorted Colors (T/W)</v>
      </c>
      <c r="H164" s="1" t="s">
        <v>967</v>
      </c>
      <c r="I164" s="259">
        <v>0.4</v>
      </c>
      <c r="J164" s="73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164" s="135">
        <v>1.4516129032258065</v>
      </c>
      <c r="L164" s="33" t="str" cm="1">
        <f t="array" aca="1" ref="L16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64" s="156">
        <f>Guias!$B$3</f>
        <v>46296</v>
      </c>
      <c r="N164" s="234">
        <f>ROUNDUP((Main[[#This Row],[Cost]]*Main[[#This Row],[Import Duties]]),2)</f>
        <v>6.9999999999999993E-2</v>
      </c>
      <c r="O164">
        <v>0</v>
      </c>
      <c r="P164">
        <v>1</v>
      </c>
      <c r="Q164">
        <v>0</v>
      </c>
      <c r="R164" s="235">
        <f>ROUNDUP(Main[[#This Row],[Transport2]]/Main[[#This Row],[Cantidad_Min]],2)</f>
        <v>0.55000000000000004</v>
      </c>
      <c r="S164">
        <f>_xlfn.XLOOKUP(Main[[#This Row],[Type of Box]], Cajas[Nombre], Cajas[Largo])</f>
        <v>99</v>
      </c>
      <c r="T164">
        <f>_xlfn.XLOOKUP(Main[[#This Row],[Type of Box]], Cajas[Nombre], Cajas[Ancho])</f>
        <v>35</v>
      </c>
      <c r="U164">
        <f>_xlfn.XLOOKUP(Main[[#This Row],[Type of Box]], Cajas[Nombre], Cajas[Alto])</f>
        <v>16</v>
      </c>
      <c r="V16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4">
        <f>ROUNDUP(((Main[[#This Row],[Volumen]]*5.25))*1.36,2)</f>
        <v>65.98</v>
      </c>
      <c r="X164" s="238">
        <v>0.15859999999999999</v>
      </c>
      <c r="Y164" s="260">
        <f>Main[[#This Row],[Cantidad_Min]]*Main[[#This Row],[Precio]]*Main[[#This Row],[Qty]]</f>
        <v>348.38709677419354</v>
      </c>
      <c r="Z164">
        <f>_xlfn.XLOOKUP(Main[[#This Row],[Finca]], Fincas[Nombre], Fincas[ID])</f>
        <v>49</v>
      </c>
      <c r="AA164" t="str" cm="1">
        <f t="array" ref="AA16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4" s="2" t="s">
        <v>36</v>
      </c>
      <c r="AC164" s="5"/>
      <c r="AD164" s="245"/>
    </row>
    <row r="165" spans="1:30" x14ac:dyDescent="0.25">
      <c r="A165" s="37" t="s">
        <v>156</v>
      </c>
      <c r="B165" s="157">
        <v>2</v>
      </c>
      <c r="C165" s="157" t="s">
        <v>32</v>
      </c>
      <c r="D165" s="37">
        <v>60</v>
      </c>
      <c r="E165">
        <v>60</v>
      </c>
      <c r="F165" t="s">
        <v>157</v>
      </c>
      <c r="G165" t="str">
        <f>"Assorted Colors " &amp; _xlfn.XLOOKUP(Main[[#This Row],[FechaEntrega]], Guias[Fecha], Guias[Llegada])</f>
        <v>Assorted Colors (M/T)</v>
      </c>
      <c r="H165" s="1" t="s">
        <v>968</v>
      </c>
      <c r="I165" s="259">
        <v>0.47</v>
      </c>
      <c r="J165" s="73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65" s="135">
        <v>1.59</v>
      </c>
      <c r="L165" s="33" t="str" cm="1">
        <f t="array" aca="1" ref="L16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65" s="156">
        <f>Guias!$B$2</f>
        <v>46295</v>
      </c>
      <c r="N165" s="234">
        <f>ROUNDUP((Main[[#This Row],[Cost]]*Main[[#This Row],[Import Duties]]),2)</f>
        <v>0.08</v>
      </c>
      <c r="O165">
        <v>0</v>
      </c>
      <c r="P165">
        <v>1</v>
      </c>
      <c r="Q165">
        <v>0</v>
      </c>
      <c r="R165" s="235">
        <f>ROUNDUP(Main[[#This Row],[Transport2]]/Main[[#This Row],[Cantidad_Min]],2)</f>
        <v>0.61</v>
      </c>
      <c r="S165">
        <f>_xlfn.XLOOKUP(Main[[#This Row],[Type of Box]], Cajas[Nombre], Cajas[Largo])</f>
        <v>105</v>
      </c>
      <c r="T165">
        <f>_xlfn.XLOOKUP(Main[[#This Row],[Type of Box]], Cajas[Nombre], Cajas[Ancho])</f>
        <v>17</v>
      </c>
      <c r="U165">
        <f>_xlfn.XLOOKUP(Main[[#This Row],[Type of Box]], Cajas[Nombre], Cajas[Alto])</f>
        <v>17</v>
      </c>
      <c r="V16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5">
        <f>ROUNDUP(((Main[[#This Row],[Volumen]]*5.25))*1.36,2)</f>
        <v>36.119999999999997</v>
      </c>
      <c r="X165" s="238">
        <v>0.15859999999999999</v>
      </c>
      <c r="Y165" s="260">
        <f>Main[[#This Row],[Cantidad_Min]]*Main[[#This Row],[Precio]]*Main[[#This Row],[Qty]]</f>
        <v>190.8</v>
      </c>
      <c r="Z165">
        <f>_xlfn.XLOOKUP(Main[[#This Row],[Finca]], Fincas[Nombre], Fincas[ID])</f>
        <v>61</v>
      </c>
      <c r="AA165" t="str" cm="1">
        <f t="array" ref="AA16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65" s="2" t="s">
        <v>36</v>
      </c>
      <c r="AC165" s="5"/>
      <c r="AD165" s="244" t="s">
        <v>741</v>
      </c>
    </row>
    <row r="166" spans="1:30" x14ac:dyDescent="0.25">
      <c r="A166" s="37" t="s">
        <v>156</v>
      </c>
      <c r="B166" s="157">
        <v>5</v>
      </c>
      <c r="C166" s="157" t="s">
        <v>32</v>
      </c>
      <c r="D166" s="37">
        <v>60</v>
      </c>
      <c r="E166">
        <v>60</v>
      </c>
      <c r="F166" t="s">
        <v>157</v>
      </c>
      <c r="G166" t="str">
        <f>"Assorted Colors " &amp; _xlfn.XLOOKUP(Main[[#This Row],[FechaEntrega]], Guias[Fecha], Guias[Llegada])</f>
        <v>Assorted Colors (T/W)</v>
      </c>
      <c r="H166" s="1" t="s">
        <v>969</v>
      </c>
      <c r="I166" s="259">
        <v>0.47</v>
      </c>
      <c r="J166" s="73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66" s="135">
        <v>1.59</v>
      </c>
      <c r="L166" s="33" t="str" cm="1">
        <f t="array" aca="1" ref="L16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66" s="156">
        <f>Guias!$B$3</f>
        <v>46296</v>
      </c>
      <c r="N166" s="234">
        <f>ROUNDUP((Main[[#This Row],[Cost]]*Main[[#This Row],[Import Duties]]),2)</f>
        <v>0.08</v>
      </c>
      <c r="O166">
        <v>0</v>
      </c>
      <c r="P166">
        <v>1</v>
      </c>
      <c r="Q166">
        <v>0</v>
      </c>
      <c r="R166" s="235">
        <f>ROUNDUP(Main[[#This Row],[Transport2]]/Main[[#This Row],[Cantidad_Min]],2)</f>
        <v>0.61</v>
      </c>
      <c r="S166">
        <f>_xlfn.XLOOKUP(Main[[#This Row],[Type of Box]], Cajas[Nombre], Cajas[Largo])</f>
        <v>105</v>
      </c>
      <c r="T166">
        <f>_xlfn.XLOOKUP(Main[[#This Row],[Type of Box]], Cajas[Nombre], Cajas[Ancho])</f>
        <v>17</v>
      </c>
      <c r="U166">
        <f>_xlfn.XLOOKUP(Main[[#This Row],[Type of Box]], Cajas[Nombre], Cajas[Alto])</f>
        <v>17</v>
      </c>
      <c r="V16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6">
        <f>ROUNDUP(((Main[[#This Row],[Volumen]]*5.25))*1.36,2)</f>
        <v>36.119999999999997</v>
      </c>
      <c r="X166" s="238">
        <v>0.15859999999999999</v>
      </c>
      <c r="Y166" s="260">
        <f>Main[[#This Row],[Cantidad_Min]]*Main[[#This Row],[Precio]]*Main[[#This Row],[Qty]]</f>
        <v>477</v>
      </c>
      <c r="Z166">
        <f>_xlfn.XLOOKUP(Main[[#This Row],[Finca]], Fincas[Nombre], Fincas[ID])</f>
        <v>61</v>
      </c>
      <c r="AA166" t="str" cm="1">
        <f t="array" ref="AA16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6" s="2" t="s">
        <v>36</v>
      </c>
      <c r="AC166" s="31"/>
      <c r="AD166" s="247"/>
    </row>
    <row r="167" spans="1:30" x14ac:dyDescent="0.25">
      <c r="A167" s="37" t="s">
        <v>202</v>
      </c>
      <c r="B167" s="157">
        <v>1</v>
      </c>
      <c r="C167" s="157" t="s">
        <v>32</v>
      </c>
      <c r="D167" s="37">
        <v>60</v>
      </c>
      <c r="E167">
        <v>60</v>
      </c>
      <c r="F167" t="s">
        <v>203</v>
      </c>
      <c r="G167" t="str">
        <f>"30 Baby Blue/30 Silver Dollar " &amp; _xlfn.XLOOKUP(Main[[#This Row],[FechaEntrega]], Guias[Fecha], Guias[Llegada])</f>
        <v>30 Baby Blue/30 Silver Dollar (T/W)</v>
      </c>
      <c r="H167" s="1" t="s">
        <v>970</v>
      </c>
      <c r="I167" s="259">
        <v>0.25</v>
      </c>
      <c r="J167" s="73">
        <f>_xlfn.LET(
  _xlpm.result, 1-((Main[[#This Row],[Cost]]+Main[[#This Row],[Duties]]+Main[[#This Row],[Transport]])/((Main[[#This Row],[Precio]]*0.96))),
  IF(_xlpm.result&lt;0, "BAJO", IF(_xlpm.result&gt;1, "ALTO", _xlpm.result))
)</f>
        <v>0.25</v>
      </c>
      <c r="K167" s="135">
        <v>1.25</v>
      </c>
      <c r="L167" s="33" t="str" cm="1">
        <f t="array" aca="1" ref="L16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67" s="156">
        <f>Guias!$B$3</f>
        <v>46296</v>
      </c>
      <c r="N167" s="234">
        <f>ROUNDUP((Main[[#This Row],[Cost]]*Main[[#This Row],[Import Duties]]),2)</f>
        <v>0.04</v>
      </c>
      <c r="O167">
        <v>0</v>
      </c>
      <c r="P167">
        <v>1</v>
      </c>
      <c r="Q167">
        <v>0</v>
      </c>
      <c r="R167" s="235">
        <f>ROUNDUP(Main[[#This Row],[Transport2]]/Main[[#This Row],[Cantidad_Min]],2)</f>
        <v>0.61</v>
      </c>
      <c r="S167">
        <f>_xlfn.XLOOKUP(Main[[#This Row],[Type of Box]], Cajas[Nombre], Cajas[Largo])</f>
        <v>105</v>
      </c>
      <c r="T167">
        <f>_xlfn.XLOOKUP(Main[[#This Row],[Type of Box]], Cajas[Nombre], Cajas[Ancho])</f>
        <v>17</v>
      </c>
      <c r="U167">
        <f>_xlfn.XLOOKUP(Main[[#This Row],[Type of Box]], Cajas[Nombre], Cajas[Alto])</f>
        <v>17</v>
      </c>
      <c r="V16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7">
        <f>ROUNDUP(((Main[[#This Row],[Volumen]]*5.25))*1.36,2)</f>
        <v>36.119999999999997</v>
      </c>
      <c r="X167" s="238">
        <v>0.15859999999999999</v>
      </c>
      <c r="Y167" s="260">
        <f>Main[[#This Row],[Cantidad_Min]]*Main[[#This Row],[Precio]]*Main[[#This Row],[Qty]]</f>
        <v>75</v>
      </c>
      <c r="Z167">
        <f>_xlfn.XLOOKUP(Main[[#This Row],[Finca]], Fincas[Nombre], Fincas[ID])</f>
        <v>66</v>
      </c>
      <c r="AA167" t="str" cm="1">
        <f t="array" ref="AA16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7" s="2" t="s">
        <v>36</v>
      </c>
      <c r="AC167" s="5"/>
      <c r="AD167" s="245"/>
    </row>
    <row r="168" spans="1:30" x14ac:dyDescent="0.25">
      <c r="A168" s="37" t="s">
        <v>458</v>
      </c>
      <c r="B168" s="157">
        <v>5</v>
      </c>
      <c r="C168" s="157" t="s">
        <v>32</v>
      </c>
      <c r="D168" s="37">
        <v>70</v>
      </c>
      <c r="E168">
        <v>70</v>
      </c>
      <c r="F168" t="s">
        <v>145</v>
      </c>
      <c r="G168" t="str">
        <f>"Blue/Light Blue/Lavender/White " &amp; _xlfn.XLOOKUP(Main[[#This Row],[FechaEntrega]], Guias[Fecha], Guias[Llegada])</f>
        <v>Blue/Light Blue/Lavender/White (T/W)</v>
      </c>
      <c r="H168" s="1" t="s">
        <v>971</v>
      </c>
      <c r="I168" s="259">
        <v>0.5</v>
      </c>
      <c r="J168" s="73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168" s="135">
        <v>1.49</v>
      </c>
      <c r="L168" s="33" t="str" cm="1">
        <f t="array" aca="1" ref="L16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68" s="156">
        <f>Guias!$B$3</f>
        <v>46296</v>
      </c>
      <c r="N168" s="234">
        <f>ROUNDUP((Main[[#This Row],[Cost]]*Main[[#This Row],[Import Duties]]),2)</f>
        <v>0.08</v>
      </c>
      <c r="O168">
        <v>0</v>
      </c>
      <c r="P168">
        <v>1</v>
      </c>
      <c r="Q168">
        <v>0</v>
      </c>
      <c r="R168" s="235">
        <f>ROUNDUP(Main[[#This Row],[Transport2]]/Main[[#This Row],[Cantidad_Min]],2)</f>
        <v>0.52</v>
      </c>
      <c r="S168">
        <f>_xlfn.XLOOKUP(Main[[#This Row],[Type of Box]], Cajas[Nombre], Cajas[Largo])</f>
        <v>105</v>
      </c>
      <c r="T168">
        <f>_xlfn.XLOOKUP(Main[[#This Row],[Type of Box]], Cajas[Nombre], Cajas[Ancho])</f>
        <v>17</v>
      </c>
      <c r="U168">
        <f>_xlfn.XLOOKUP(Main[[#This Row],[Type of Box]], Cajas[Nombre], Cajas[Alto])</f>
        <v>17</v>
      </c>
      <c r="V16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8">
        <f>ROUNDUP(((Main[[#This Row],[Volumen]]*5.25))*1.36,2)</f>
        <v>36.119999999999997</v>
      </c>
      <c r="X168" s="238">
        <v>0.15859999999999999</v>
      </c>
      <c r="Y168" s="260">
        <f>Main[[#This Row],[Cantidad_Min]]*Main[[#This Row],[Precio]]*Main[[#This Row],[Qty]]</f>
        <v>521.5</v>
      </c>
      <c r="Z168">
        <f>_xlfn.XLOOKUP(Main[[#This Row],[Finca]], Fincas[Nombre], Fincas[ID])</f>
        <v>43</v>
      </c>
      <c r="AA168" t="str" cm="1">
        <f t="array" ref="AA16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mcabrera,mcabrera,</v>
      </c>
      <c r="AB168" s="2" t="s">
        <v>36</v>
      </c>
      <c r="AC168" s="5"/>
      <c r="AD168" s="244" t="s">
        <v>740</v>
      </c>
    </row>
    <row r="169" spans="1:30" x14ac:dyDescent="0.25">
      <c r="A169" s="37" t="s">
        <v>60</v>
      </c>
      <c r="B169" s="157">
        <v>2</v>
      </c>
      <c r="C169" s="157" t="s">
        <v>32</v>
      </c>
      <c r="D169" s="37">
        <v>1</v>
      </c>
      <c r="E169">
        <v>1</v>
      </c>
      <c r="F169" t="s">
        <v>139</v>
      </c>
      <c r="G169" t="str">
        <f>"6 Tender Love/6 Charm/6 Trophy x 18 " &amp; _xlfn.XLOOKUP(Main[[#This Row],[FechaEntrega]], Guias[Fecha], Guias[Llegada])</f>
        <v>6 Tender Love/6 Charm/6 Trophy x 18 (W/T)</v>
      </c>
      <c r="H169" s="1" t="s">
        <v>972</v>
      </c>
      <c r="I169" s="259">
        <f>1.5*18</f>
        <v>27</v>
      </c>
      <c r="J169" s="73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69" s="135">
        <v>89.99</v>
      </c>
      <c r="L169" s="33" cm="1">
        <f t="array" aca="1" ref="L16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69" s="156">
        <f>Guias!$B$4</f>
        <v>46297</v>
      </c>
      <c r="N169" s="169">
        <f>ROUNDUP((Main[[#This Row],[Cost]]*Main[[#This Row],[Import Duties]]),2)</f>
        <v>4.29</v>
      </c>
      <c r="O169">
        <v>0</v>
      </c>
      <c r="P169">
        <v>1</v>
      </c>
      <c r="Q169">
        <v>0</v>
      </c>
      <c r="R169" s="170">
        <f>ROUNDUP(Main[[#This Row],[Transport2]]/Main[[#This Row],[Cantidad_Min]],2)</f>
        <v>36.119999999999997</v>
      </c>
      <c r="S169">
        <f>_xlfn.XLOOKUP(Main[[#This Row],[Type of Box]], Cajas[Nombre], Cajas[Largo])</f>
        <v>105</v>
      </c>
      <c r="T169">
        <f>_xlfn.XLOOKUP(Main[[#This Row],[Type of Box]], Cajas[Nombre], Cajas[Ancho])</f>
        <v>17</v>
      </c>
      <c r="U169">
        <f>_xlfn.XLOOKUP(Main[[#This Row],[Type of Box]], Cajas[Nombre], Cajas[Alto])</f>
        <v>17</v>
      </c>
      <c r="V16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9">
        <f>ROUNDUP(((Main[[#This Row],[Volumen]]*5.25))*1.36,2)</f>
        <v>36.119999999999997</v>
      </c>
      <c r="X169" s="238">
        <v>0.15859999999999999</v>
      </c>
      <c r="Y169" s="260">
        <f>Main[[#This Row],[Cantidad_Min]]*Main[[#This Row],[Precio]]*Main[[#This Row],[Qty]]</f>
        <v>179.98</v>
      </c>
      <c r="Z169">
        <f>_xlfn.XLOOKUP(Main[[#This Row],[Finca]], Fincas[Nombre], Fincas[ID])</f>
        <v>40</v>
      </c>
      <c r="AA169" t="str" cm="1">
        <f t="array" ref="AA16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69" s="2" t="s">
        <v>36</v>
      </c>
      <c r="AC169" s="5"/>
      <c r="AD169" s="245" t="s">
        <v>739</v>
      </c>
    </row>
    <row r="170" spans="1:30" x14ac:dyDescent="0.25">
      <c r="A170" s="37" t="s">
        <v>187</v>
      </c>
      <c r="B170" s="157">
        <v>1</v>
      </c>
      <c r="C170" s="157" t="s">
        <v>32</v>
      </c>
      <c r="D170" s="37">
        <v>120</v>
      </c>
      <c r="E170">
        <v>120</v>
      </c>
      <c r="F170" t="s">
        <v>204</v>
      </c>
      <c r="G170" t="str">
        <f>"Assorted Colors " &amp; _xlfn.XLOOKUP(Main[[#This Row],[FechaEntrega]], Guias[Fecha], Guias[Llegada])</f>
        <v>Assorted Colors (T/W)</v>
      </c>
      <c r="H170" s="1" t="s">
        <v>973</v>
      </c>
      <c r="I170" s="259">
        <v>0.2</v>
      </c>
      <c r="J170" s="73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170" s="135">
        <v>0.74</v>
      </c>
      <c r="L170" s="33" t="str" cm="1">
        <f t="array" aca="1" ref="L17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70" s="156">
        <f>Guias!$B$3</f>
        <v>46296</v>
      </c>
      <c r="N170" s="234">
        <f>ROUNDUP((Main[[#This Row],[Cost]]*Main[[#This Row],[Import Duties]]),2)</f>
        <v>0.04</v>
      </c>
      <c r="O170">
        <v>0</v>
      </c>
      <c r="P170">
        <v>1</v>
      </c>
      <c r="Q170">
        <v>0</v>
      </c>
      <c r="R170" s="235">
        <f>ROUNDUP(Main[[#This Row],[Transport2]]/Main[[#This Row],[Cantidad_Min]],2)</f>
        <v>0.31</v>
      </c>
      <c r="S170">
        <f>_xlfn.XLOOKUP(Main[[#This Row],[Type of Box]], Cajas[Nombre], Cajas[Largo])</f>
        <v>105</v>
      </c>
      <c r="T170">
        <f>_xlfn.XLOOKUP(Main[[#This Row],[Type of Box]], Cajas[Nombre], Cajas[Ancho])</f>
        <v>17</v>
      </c>
      <c r="U170">
        <f>_xlfn.XLOOKUP(Main[[#This Row],[Type of Box]], Cajas[Nombre], Cajas[Alto])</f>
        <v>17</v>
      </c>
      <c r="V17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0">
        <f>ROUNDUP(((Main[[#This Row],[Volumen]]*5.25))*1.36,2)</f>
        <v>36.119999999999997</v>
      </c>
      <c r="X170" s="238">
        <v>0.15859999999999999</v>
      </c>
      <c r="Y170" s="260">
        <f>Main[[#This Row],[Cantidad_Min]]*Main[[#This Row],[Precio]]*Main[[#This Row],[Qty]]</f>
        <v>88.8</v>
      </c>
      <c r="Z170">
        <f>_xlfn.XLOOKUP(Main[[#This Row],[Finca]], Fincas[Nombre], Fincas[ID])</f>
        <v>34</v>
      </c>
      <c r="AA170" t="str" cm="1">
        <f t="array" ref="AA17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0" s="2" t="s">
        <v>36</v>
      </c>
      <c r="AC170" s="31"/>
      <c r="AD170" s="248"/>
    </row>
    <row r="171" spans="1:30" x14ac:dyDescent="0.25">
      <c r="A171" s="37" t="s">
        <v>187</v>
      </c>
      <c r="B171" s="157">
        <v>3</v>
      </c>
      <c r="C171" s="157" t="s">
        <v>32</v>
      </c>
      <c r="D171" s="37">
        <v>120</v>
      </c>
      <c r="E171">
        <v>120</v>
      </c>
      <c r="F171" t="s">
        <v>205</v>
      </c>
      <c r="G171" t="str">
        <f>"Minami Select/Mini - Assorted Colors " &amp; _xlfn.XLOOKUP(Main[[#This Row],[FechaEntrega]], Guias[Fecha], Guias[Llegada])</f>
        <v>Minami Select/Mini - Assorted Colors (T/W)</v>
      </c>
      <c r="H171" s="1" t="s">
        <v>974</v>
      </c>
      <c r="I171" s="259">
        <v>0.2</v>
      </c>
      <c r="J171" s="73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171" s="135">
        <v>0.74</v>
      </c>
      <c r="L171" s="33" t="str" cm="1">
        <f t="array" aca="1" ref="L17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71" s="156">
        <f>Guias!$B$3</f>
        <v>46296</v>
      </c>
      <c r="N171" s="234">
        <f>ROUNDUP((Main[[#This Row],[Cost]]*Main[[#This Row],[Import Duties]]),2)</f>
        <v>0.04</v>
      </c>
      <c r="O171">
        <v>0</v>
      </c>
      <c r="P171">
        <v>1</v>
      </c>
      <c r="Q171">
        <v>0</v>
      </c>
      <c r="R171" s="235">
        <f>ROUNDUP(Main[[#This Row],[Transport2]]/Main[[#This Row],[Cantidad_Min]],2)</f>
        <v>0.31</v>
      </c>
      <c r="S171">
        <f>_xlfn.XLOOKUP(Main[[#This Row],[Type of Box]], Cajas[Nombre], Cajas[Largo])</f>
        <v>105</v>
      </c>
      <c r="T171">
        <f>_xlfn.XLOOKUP(Main[[#This Row],[Type of Box]], Cajas[Nombre], Cajas[Ancho])</f>
        <v>17</v>
      </c>
      <c r="U171">
        <f>_xlfn.XLOOKUP(Main[[#This Row],[Type of Box]], Cajas[Nombre], Cajas[Alto])</f>
        <v>17</v>
      </c>
      <c r="V17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1">
        <f>ROUNDUP(((Main[[#This Row],[Volumen]]*5.25))*1.36,2)</f>
        <v>36.119999999999997</v>
      </c>
      <c r="X171" s="238">
        <v>0.15859999999999999</v>
      </c>
      <c r="Y171" s="260">
        <f>Main[[#This Row],[Cantidad_Min]]*Main[[#This Row],[Precio]]*Main[[#This Row],[Qty]]</f>
        <v>266.39999999999998</v>
      </c>
      <c r="Z171">
        <f>_xlfn.XLOOKUP(Main[[#This Row],[Finca]], Fincas[Nombre], Fincas[ID])</f>
        <v>34</v>
      </c>
      <c r="AA171" t="str" cm="1">
        <f t="array" ref="AA17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71" s="2" t="s">
        <v>36</v>
      </c>
      <c r="AC171" s="5"/>
      <c r="AD171" s="245" t="s">
        <v>739</v>
      </c>
    </row>
    <row r="172" spans="1:30" x14ac:dyDescent="0.25">
      <c r="A172" s="37" t="s">
        <v>206</v>
      </c>
      <c r="B172" s="157">
        <v>4</v>
      </c>
      <c r="C172" s="157" t="s">
        <v>32</v>
      </c>
      <c r="D172" s="37">
        <v>70</v>
      </c>
      <c r="E172">
        <v>70</v>
      </c>
      <c r="F172" t="s">
        <v>207</v>
      </c>
      <c r="G172" t="str">
        <f>"10 Red/10 Green/10 Burgundy/10 Coral/20 Pinks/10 White-Cream " &amp; _xlfn.XLOOKUP(Main[[#This Row],[FechaEntrega]], Guias[Fecha], Guias[Llegada])</f>
        <v>10 Red/10 Green/10 Burgundy/10 Coral/20 Pinks/10 White-Cream (T/W)</v>
      </c>
      <c r="H172" s="1" t="s">
        <v>975</v>
      </c>
      <c r="I172" s="259">
        <v>0.28000000000000003</v>
      </c>
      <c r="J172" s="73">
        <f>_xlfn.LET(
  _xlpm.result, 1-((Main[[#This Row],[Cost]]+Main[[#This Row],[Duties]]+Main[[#This Row],[Transport]])/((Main[[#This Row],[Precio]]*0.96))),
  IF(_xlpm.result&lt;0, "BAJO", IF(_xlpm.result&gt;1, "ALTO", _xlpm.result))
)</f>
        <v>0.25595238095238082</v>
      </c>
      <c r="K172" s="135">
        <v>1.19</v>
      </c>
      <c r="L172" s="33" t="str" cm="1">
        <f t="array" aca="1" ref="L17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72" s="156">
        <f>Guias!$B$3</f>
        <v>46296</v>
      </c>
      <c r="N172" s="234">
        <f>ROUNDUP((Main[[#This Row],[Cost]]*Main[[#This Row],[Import Duties]]),2)</f>
        <v>0.05</v>
      </c>
      <c r="O172">
        <v>0</v>
      </c>
      <c r="P172">
        <v>1</v>
      </c>
      <c r="Q172">
        <v>0</v>
      </c>
      <c r="R172" s="235">
        <f>ROUNDUP(Main[[#This Row],[Transport2]]/Main[[#This Row],[Cantidad_Min]],2)</f>
        <v>0.52</v>
      </c>
      <c r="S172">
        <f>_xlfn.XLOOKUP(Main[[#This Row],[Type of Box]], Cajas[Nombre], Cajas[Largo])</f>
        <v>105</v>
      </c>
      <c r="T172">
        <f>_xlfn.XLOOKUP(Main[[#This Row],[Type of Box]], Cajas[Nombre], Cajas[Ancho])</f>
        <v>17</v>
      </c>
      <c r="U172">
        <f>_xlfn.XLOOKUP(Main[[#This Row],[Type of Box]], Cajas[Nombre], Cajas[Alto])</f>
        <v>17</v>
      </c>
      <c r="V17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2">
        <f>ROUNDUP(((Main[[#This Row],[Volumen]]*5.25))*1.36,2)</f>
        <v>36.119999999999997</v>
      </c>
      <c r="X172" s="238">
        <v>0.15859999999999999</v>
      </c>
      <c r="Y172" s="260">
        <f>Main[[#This Row],[Cantidad_Min]]*Main[[#This Row],[Precio]]*Main[[#This Row],[Qty]]</f>
        <v>333.2</v>
      </c>
      <c r="Z172">
        <f>_xlfn.XLOOKUP(Main[[#This Row],[Finca]], Fincas[Nombre], Fincas[ID])</f>
        <v>16</v>
      </c>
      <c r="AA172" t="str" cm="1">
        <f t="array" ref="AA17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2" s="2" t="s">
        <v>36</v>
      </c>
      <c r="AC172" s="5"/>
      <c r="AD172" s="245" t="s">
        <v>208</v>
      </c>
    </row>
    <row r="173" spans="1:30" x14ac:dyDescent="0.25">
      <c r="A173" s="37" t="s">
        <v>170</v>
      </c>
      <c r="B173" s="157">
        <v>1</v>
      </c>
      <c r="C173" s="157" t="s">
        <v>32</v>
      </c>
      <c r="D173" s="37">
        <v>50</v>
      </c>
      <c r="E173">
        <v>50</v>
      </c>
      <c r="F173" t="s">
        <v>171</v>
      </c>
      <c r="G173" t="str">
        <f>"Assorted Colors " &amp; _xlfn.XLOOKUP(Main[[#This Row],[FechaEntrega]], Guias[Fecha], Guias[Llegada])</f>
        <v>Assorted Colors (W/T)</v>
      </c>
      <c r="H173" s="1" t="s">
        <v>976</v>
      </c>
      <c r="I173" s="259">
        <v>0.4</v>
      </c>
      <c r="J173" s="73">
        <f>_xlfn.LET(
  _xlpm.result, 1-((Main[[#This Row],[Cost]]+Main[[#This Row],[Duties]]+Main[[#This Row],[Transport]])/((Main[[#This Row],[Precio]]*0.96))),
  IF(_xlpm.result&lt;0, "BAJO", IF(_xlpm.result&gt;1, "ALTO", _xlpm.result))
)</f>
        <v>0.25955414012738842</v>
      </c>
      <c r="K173" s="135">
        <v>1.6881720430107525</v>
      </c>
      <c r="L173" s="33" cm="1">
        <f t="array" aca="1" ref="L17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16939</v>
      </c>
      <c r="M173" s="156">
        <f>Guias!$B$4</f>
        <v>46297</v>
      </c>
      <c r="N173" s="234">
        <f>ROUNDUP((Main[[#This Row],[Cost]]*Main[[#This Row],[Import Duties]]),2)</f>
        <v>6.9999999999999993E-2</v>
      </c>
      <c r="O173">
        <v>0</v>
      </c>
      <c r="P173">
        <v>1</v>
      </c>
      <c r="Q173">
        <v>0</v>
      </c>
      <c r="R173" s="235">
        <f>ROUNDUP(Main[[#This Row],[Transport2]]/Main[[#This Row],[Cantidad_Min]],2)</f>
        <v>0.73</v>
      </c>
      <c r="S173">
        <f>_xlfn.XLOOKUP(Main[[#This Row],[Type of Box]], Cajas[Nombre], Cajas[Largo])</f>
        <v>105</v>
      </c>
      <c r="T173">
        <f>_xlfn.XLOOKUP(Main[[#This Row],[Type of Box]], Cajas[Nombre], Cajas[Ancho])</f>
        <v>17</v>
      </c>
      <c r="U173">
        <f>_xlfn.XLOOKUP(Main[[#This Row],[Type of Box]], Cajas[Nombre], Cajas[Alto])</f>
        <v>17</v>
      </c>
      <c r="V17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3">
        <f>ROUNDUP(((Main[[#This Row],[Volumen]]*5.25))*1.36,2)</f>
        <v>36.119999999999997</v>
      </c>
      <c r="X173" s="238">
        <v>0.15859999999999999</v>
      </c>
      <c r="Y173" s="260">
        <f>Main[[#This Row],[Cantidad_Min]]*Main[[#This Row],[Precio]]*Main[[#This Row],[Qty]]</f>
        <v>84.408602150537632</v>
      </c>
      <c r="Z173">
        <f>_xlfn.XLOOKUP(Main[[#This Row],[Finca]], Fincas[Nombre], Fincas[ID])</f>
        <v>51</v>
      </c>
      <c r="AA173" t="str" cm="1">
        <f t="array" ref="AA17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3" s="2" t="s">
        <v>36</v>
      </c>
      <c r="AC173" s="5"/>
      <c r="AD173" s="245"/>
    </row>
    <row r="174" spans="1:30" x14ac:dyDescent="0.25">
      <c r="A174" s="37" t="s">
        <v>125</v>
      </c>
      <c r="B174" s="157">
        <v>4</v>
      </c>
      <c r="C174" s="157" t="s">
        <v>131</v>
      </c>
      <c r="D174" s="37">
        <v>80</v>
      </c>
      <c r="E174">
        <v>80</v>
      </c>
      <c r="F174" t="s">
        <v>127</v>
      </c>
      <c r="G174" t="str">
        <f>"Assorted Colors " &amp; _xlfn.XLOOKUP(Main[[#This Row],[FechaEntrega]], Guias[Fecha], Guias[Llegada])</f>
        <v>Assorted Colors (W/T)</v>
      </c>
      <c r="H174" s="1" t="s">
        <v>977</v>
      </c>
      <c r="I174" s="259">
        <v>0.34</v>
      </c>
      <c r="J174" s="73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174" s="135">
        <v>1.24</v>
      </c>
      <c r="L174" s="33" t="str" cm="1">
        <f t="array" aca="1" ref="L17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74" s="156">
        <f>Guias!$B$4</f>
        <v>46297</v>
      </c>
      <c r="N174" s="234">
        <f>ROUNDUP((Main[[#This Row],[Cost]]*Main[[#This Row],[Import Duties]]),2)</f>
        <v>6.0000000000000005E-2</v>
      </c>
      <c r="O174">
        <v>0</v>
      </c>
      <c r="P174">
        <v>1</v>
      </c>
      <c r="Q174">
        <v>0</v>
      </c>
      <c r="R174" s="235">
        <f>ROUNDUP(Main[[#This Row],[Transport2]]/Main[[#This Row],[Cantidad_Min]],2)</f>
        <v>0.53</v>
      </c>
      <c r="S174">
        <f>_xlfn.XLOOKUP(Main[[#This Row],[Type of Box]], Cajas[Nombre], Cajas[Largo])</f>
        <v>39</v>
      </c>
      <c r="T174">
        <f>_xlfn.XLOOKUP(Main[[#This Row],[Type of Box]], Cajas[Nombre], Cajas[Ancho])</f>
        <v>30</v>
      </c>
      <c r="U174">
        <f>_xlfn.XLOOKUP(Main[[#This Row],[Type of Box]], Cajas[Nombre], Cajas[Alto])</f>
        <v>30</v>
      </c>
      <c r="V17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4">
        <f>ROUNDUP(((Main[[#This Row],[Volumen]]*5.25))*1.36,2)</f>
        <v>41.769999999999996</v>
      </c>
      <c r="X174" s="238">
        <v>0.15859999999999999</v>
      </c>
      <c r="Y174" s="260">
        <f>Main[[#This Row],[Cantidad_Min]]*Main[[#This Row],[Precio]]*Main[[#This Row],[Qty]]</f>
        <v>396.8</v>
      </c>
      <c r="Z174">
        <f>_xlfn.XLOOKUP(Main[[#This Row],[Finca]], Fincas[Nombre], Fincas[ID])</f>
        <v>8</v>
      </c>
      <c r="AA174" t="str" cm="1">
        <f t="array" ref="AA17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4" s="2" t="s">
        <v>36</v>
      </c>
      <c r="AC174" s="31"/>
      <c r="AD174" s="247"/>
    </row>
    <row r="175" spans="1:30" x14ac:dyDescent="0.25">
      <c r="A175" s="37" t="s">
        <v>209</v>
      </c>
      <c r="B175" s="157">
        <v>5</v>
      </c>
      <c r="C175" s="157" t="s">
        <v>126</v>
      </c>
      <c r="D175" s="37">
        <v>140</v>
      </c>
      <c r="E175">
        <v>140</v>
      </c>
      <c r="F175" t="s">
        <v>210</v>
      </c>
      <c r="G175" t="str">
        <f>"Assorted Colors " &amp; _xlfn.XLOOKUP(Main[[#This Row],[FechaEntrega]], Guias[Fecha], Guias[Llegada])</f>
        <v>Assorted Colors (W/T)</v>
      </c>
      <c r="H175" s="1" t="s">
        <v>978</v>
      </c>
      <c r="I175" s="259">
        <v>0.2</v>
      </c>
      <c r="J175" s="73">
        <f>_xlfn.LET(
  _xlpm.result, 1-((Main[[#This Row],[Cost]]+Main[[#This Row],[Duties]]+Main[[#This Row],[Transport]])/((Main[[#This Row],[Precio]]*0.96))),
  IF(_xlpm.result&lt;0, "BAJO", IF(_xlpm.result&gt;1, "ALTO", _xlpm.result))
)</f>
        <v>0.25595238095238093</v>
      </c>
      <c r="K175" s="135">
        <v>1.19</v>
      </c>
      <c r="L175" s="33" t="str" cm="1">
        <f t="array" aca="1" ref="L17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75" s="156">
        <f>Guias!$B$4</f>
        <v>46297</v>
      </c>
      <c r="N175" s="234">
        <f>ROUNDUP((Main[[#This Row],[Cost]]*Main[[#This Row],[Import Duties]]),2)</f>
        <v>0.04</v>
      </c>
      <c r="O175">
        <v>0</v>
      </c>
      <c r="P175">
        <v>1</v>
      </c>
      <c r="Q175">
        <v>0</v>
      </c>
      <c r="R175" s="235">
        <f>ROUNDUP(Main[[#This Row],[Transport2]]/Main[[#This Row],[Cantidad_Min]],2)</f>
        <v>0.61</v>
      </c>
      <c r="S175">
        <f>_xlfn.XLOOKUP(Main[[#This Row],[Type of Box]], Cajas[Nombre], Cajas[Largo])</f>
        <v>85</v>
      </c>
      <c r="T175">
        <f>_xlfn.XLOOKUP(Main[[#This Row],[Type of Box]], Cajas[Nombre], Cajas[Ancho])</f>
        <v>30</v>
      </c>
      <c r="U175">
        <f>_xlfn.XLOOKUP(Main[[#This Row],[Type of Box]], Cajas[Nombre], Cajas[Alto])</f>
        <v>28</v>
      </c>
      <c r="V17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175">
        <f>ROUNDUP(((Main[[#This Row],[Volumen]]*5.25))*1.36,2)</f>
        <v>84.97</v>
      </c>
      <c r="X175" s="238">
        <v>0.15859999999999999</v>
      </c>
      <c r="Y175" s="260">
        <f>Main[[#This Row],[Cantidad_Min]]*Main[[#This Row],[Precio]]*Main[[#This Row],[Qty]]</f>
        <v>833</v>
      </c>
      <c r="Z175">
        <f>_xlfn.XLOOKUP(Main[[#This Row],[Finca]], Fincas[Nombre], Fincas[ID])</f>
        <v>98</v>
      </c>
      <c r="AA175" t="str" cm="1">
        <f t="array" ref="AA17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5" s="2" t="s">
        <v>36</v>
      </c>
      <c r="AC175" s="278"/>
      <c r="AD175" s="245"/>
    </row>
    <row r="176" spans="1:30" x14ac:dyDescent="0.25">
      <c r="A176" s="37" t="s">
        <v>67</v>
      </c>
      <c r="B176" s="157">
        <v>5</v>
      </c>
      <c r="C176" s="157" t="s">
        <v>32</v>
      </c>
      <c r="D176" s="37">
        <v>50</v>
      </c>
      <c r="E176">
        <v>50</v>
      </c>
      <c r="F176" t="s">
        <v>211</v>
      </c>
      <c r="G176" t="str">
        <f>"Assorted Colors " &amp; _xlfn.XLOOKUP(Main[[#This Row],[FechaEntrega]], Guias[Fecha], Guias[Llegada])</f>
        <v>Assorted Colors (M/T)</v>
      </c>
      <c r="H176" s="1" t="s">
        <v>979</v>
      </c>
      <c r="I176" s="259">
        <v>0.36</v>
      </c>
      <c r="J176" s="73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76" s="135">
        <v>1.59</v>
      </c>
      <c r="L176" s="33" t="str" cm="1">
        <f t="array" aca="1" ref="L17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76" s="156">
        <f>Guias!$B$2</f>
        <v>46295</v>
      </c>
      <c r="N176" s="234">
        <f>ROUNDUP((Main[[#This Row],[Cost]]*Main[[#This Row],[Import Duties]]),2)</f>
        <v>6.0000000000000005E-2</v>
      </c>
      <c r="O176">
        <v>0</v>
      </c>
      <c r="P176">
        <v>1</v>
      </c>
      <c r="Q176">
        <v>0</v>
      </c>
      <c r="R176" s="235">
        <f>ROUNDUP(Main[[#This Row],[Transport2]]/Main[[#This Row],[Cantidad_Min]],2)</f>
        <v>0.73</v>
      </c>
      <c r="S176">
        <f>_xlfn.XLOOKUP(Main[[#This Row],[Type of Box]], Cajas[Nombre], Cajas[Largo])</f>
        <v>105</v>
      </c>
      <c r="T176">
        <f>_xlfn.XLOOKUP(Main[[#This Row],[Type of Box]], Cajas[Nombre], Cajas[Ancho])</f>
        <v>17</v>
      </c>
      <c r="U176">
        <f>_xlfn.XLOOKUP(Main[[#This Row],[Type of Box]], Cajas[Nombre], Cajas[Alto])</f>
        <v>17</v>
      </c>
      <c r="V17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6">
        <f>ROUNDUP(((Main[[#This Row],[Volumen]]*5.25))*1.36,2)</f>
        <v>36.119999999999997</v>
      </c>
      <c r="X176" s="238">
        <v>0.15859999999999999</v>
      </c>
      <c r="Y176" s="260">
        <f>Main[[#This Row],[Cantidad_Min]]*Main[[#This Row],[Precio]]*Main[[#This Row],[Qty]]</f>
        <v>397.5</v>
      </c>
      <c r="Z176">
        <f>_xlfn.XLOOKUP(Main[[#This Row],[Finca]], Fincas[Nombre], Fincas[ID])</f>
        <v>23</v>
      </c>
      <c r="AA176" t="str" cm="1">
        <f t="array" ref="AA17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76" s="2" t="s">
        <v>36</v>
      </c>
      <c r="AC176" s="276"/>
      <c r="AD176" s="245" t="s">
        <v>739</v>
      </c>
    </row>
    <row r="177" spans="1:30" x14ac:dyDescent="0.25">
      <c r="A177" s="37" t="s">
        <v>67</v>
      </c>
      <c r="B177" s="157">
        <v>5</v>
      </c>
      <c r="C177" s="157" t="s">
        <v>32</v>
      </c>
      <c r="D177" s="37">
        <v>50</v>
      </c>
      <c r="E177">
        <v>50</v>
      </c>
      <c r="F177" t="s">
        <v>211</v>
      </c>
      <c r="G177" t="str">
        <f>"Assorted Colors " &amp; _xlfn.XLOOKUP(Main[[#This Row],[FechaEntrega]], Guias[Fecha], Guias[Llegada])</f>
        <v>Assorted Colors (T/W)</v>
      </c>
      <c r="H177" s="1" t="s">
        <v>980</v>
      </c>
      <c r="I177" s="259">
        <v>0.36</v>
      </c>
      <c r="J177" s="73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77" s="135">
        <v>1.59</v>
      </c>
      <c r="L177" s="33" t="str" cm="1">
        <f t="array" aca="1" ref="L17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77" s="156">
        <f>Guias!$B$3</f>
        <v>46296</v>
      </c>
      <c r="N177" s="234">
        <f>ROUNDUP((Main[[#This Row],[Cost]]*Main[[#This Row],[Import Duties]]),2)</f>
        <v>6.0000000000000005E-2</v>
      </c>
      <c r="O177">
        <v>0</v>
      </c>
      <c r="P177">
        <v>1</v>
      </c>
      <c r="Q177">
        <v>0</v>
      </c>
      <c r="R177" s="235">
        <f>ROUNDUP(Main[[#This Row],[Transport2]]/Main[[#This Row],[Cantidad_Min]],2)</f>
        <v>0.73</v>
      </c>
      <c r="S177">
        <f>_xlfn.XLOOKUP(Main[[#This Row],[Type of Box]], Cajas[Nombre], Cajas[Largo])</f>
        <v>105</v>
      </c>
      <c r="T177">
        <f>_xlfn.XLOOKUP(Main[[#This Row],[Type of Box]], Cajas[Nombre], Cajas[Ancho])</f>
        <v>17</v>
      </c>
      <c r="U177">
        <f>_xlfn.XLOOKUP(Main[[#This Row],[Type of Box]], Cajas[Nombre], Cajas[Alto])</f>
        <v>17</v>
      </c>
      <c r="V17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7">
        <f>ROUNDUP(((Main[[#This Row],[Volumen]]*5.25))*1.36,2)</f>
        <v>36.119999999999997</v>
      </c>
      <c r="X177" s="238">
        <v>0.15859999999999999</v>
      </c>
      <c r="Y177" s="260">
        <f>Main[[#This Row],[Cantidad_Min]]*Main[[#This Row],[Precio]]*Main[[#This Row],[Qty]]</f>
        <v>397.5</v>
      </c>
      <c r="Z177">
        <f>_xlfn.XLOOKUP(Main[[#This Row],[Finca]], Fincas[Nombre], Fincas[ID])</f>
        <v>23</v>
      </c>
      <c r="AA177" t="str" cm="1">
        <f t="array" ref="AA17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7" s="2" t="s">
        <v>36</v>
      </c>
      <c r="AC177" s="5"/>
      <c r="AD177" s="244"/>
    </row>
    <row r="178" spans="1:30" x14ac:dyDescent="0.25">
      <c r="A178" s="37" t="s">
        <v>156</v>
      </c>
      <c r="B178" s="157">
        <v>3</v>
      </c>
      <c r="C178" s="157" t="s">
        <v>32</v>
      </c>
      <c r="D178" s="37">
        <v>60</v>
      </c>
      <c r="E178">
        <v>60</v>
      </c>
      <c r="F178" t="s">
        <v>157</v>
      </c>
      <c r="G178" t="s">
        <v>627</v>
      </c>
      <c r="H178" s="1" t="s">
        <v>981</v>
      </c>
      <c r="I178" s="259">
        <v>0.47</v>
      </c>
      <c r="J178" s="73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78" s="135">
        <v>1.59</v>
      </c>
      <c r="L178" s="33" t="str" cm="1">
        <f t="array" aca="1" ref="L17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ERROR V</v>
      </c>
      <c r="M178" s="156">
        <f>Guias!$B$2</f>
        <v>46295</v>
      </c>
      <c r="N178" s="234">
        <f>ROUNDUP((Main[[#This Row],[Cost]]*Main[[#This Row],[Import Duties]]),2)</f>
        <v>0.08</v>
      </c>
      <c r="O178">
        <v>0</v>
      </c>
      <c r="P178">
        <v>1</v>
      </c>
      <c r="Q178">
        <v>0</v>
      </c>
      <c r="R178" s="235">
        <f>ROUNDUP(Main[[#This Row],[Transport2]]/Main[[#This Row],[Cantidad_Min]],2)</f>
        <v>0.61</v>
      </c>
      <c r="S178">
        <f>_xlfn.XLOOKUP(Main[[#This Row],[Type of Box]], Cajas[Nombre], Cajas[Largo])</f>
        <v>105</v>
      </c>
      <c r="T178">
        <f>_xlfn.XLOOKUP(Main[[#This Row],[Type of Box]], Cajas[Nombre], Cajas[Ancho])</f>
        <v>17</v>
      </c>
      <c r="U178">
        <f>_xlfn.XLOOKUP(Main[[#This Row],[Type of Box]], Cajas[Nombre], Cajas[Alto])</f>
        <v>17</v>
      </c>
      <c r="V17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8">
        <f>ROUNDUP(((Main[[#This Row],[Volumen]]*5.25))*1.36,2)</f>
        <v>36.119999999999997</v>
      </c>
      <c r="X178" s="238">
        <v>0.15859999999999999</v>
      </c>
      <c r="Y178" s="260">
        <f>Main[[#This Row],[Cantidad_Min]]*Main[[#This Row],[Precio]]*Main[[#This Row],[Qty]]</f>
        <v>286.20000000000005</v>
      </c>
      <c r="Z178">
        <f>_xlfn.XLOOKUP(Main[[#This Row],[Finca]], Fincas[Nombre], Fincas[ID])</f>
        <v>61</v>
      </c>
      <c r="AA178" t="str" cm="1">
        <f t="array" ref="AA17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dvalencia,dvalencia,dvalencia,</v>
      </c>
      <c r="AB178" s="2" t="s">
        <v>36</v>
      </c>
      <c r="AC178" s="276"/>
      <c r="AD178" s="245" t="s">
        <v>804</v>
      </c>
    </row>
    <row r="179" spans="1:30" x14ac:dyDescent="0.25">
      <c r="A179" s="37" t="s">
        <v>34</v>
      </c>
      <c r="B179" s="157">
        <v>1</v>
      </c>
      <c r="C179" s="157" t="s">
        <v>33</v>
      </c>
      <c r="D179" s="37">
        <v>125</v>
      </c>
      <c r="E179">
        <v>125</v>
      </c>
      <c r="F179" t="s">
        <v>35</v>
      </c>
      <c r="G179" t="s">
        <v>217</v>
      </c>
      <c r="H179" s="1" t="s">
        <v>982</v>
      </c>
      <c r="I179" s="259">
        <v>0.36</v>
      </c>
      <c r="J179" s="73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179" s="135">
        <v>1.29</v>
      </c>
      <c r="L179" s="33" cm="1">
        <f t="array" aca="1" ref="L17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79" s="156">
        <f>Guias!$B$5</f>
        <v>46298</v>
      </c>
      <c r="N179" s="234">
        <f>ROUNDUP((Main[[#This Row],[Cost]]*Main[[#This Row],[Import Duties]]),2)</f>
        <v>6.0000000000000005E-2</v>
      </c>
      <c r="O179">
        <v>0</v>
      </c>
      <c r="P179">
        <v>1</v>
      </c>
      <c r="Q179">
        <v>0</v>
      </c>
      <c r="R179" s="235">
        <f>ROUNDUP(Main[[#This Row],[Transport2]]/Main[[#This Row],[Cantidad_Min]],2)</f>
        <v>0.53</v>
      </c>
      <c r="S179">
        <f>_xlfn.XLOOKUP(Main[[#This Row],[Type of Box]], Cajas[Nombre], Cajas[Largo])</f>
        <v>99</v>
      </c>
      <c r="T179">
        <f>_xlfn.XLOOKUP(Main[[#This Row],[Type of Box]], Cajas[Nombre], Cajas[Ancho])</f>
        <v>35</v>
      </c>
      <c r="U179">
        <f>_xlfn.XLOOKUP(Main[[#This Row],[Type of Box]], Cajas[Nombre], Cajas[Alto])</f>
        <v>16</v>
      </c>
      <c r="V17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9">
        <f>ROUNDUP(((Main[[#This Row],[Volumen]]*5.25))*1.36,2)</f>
        <v>65.98</v>
      </c>
      <c r="X179" s="238">
        <v>0.15859999999999999</v>
      </c>
      <c r="Y179" s="260">
        <f>Main[[#This Row],[Cantidad_Min]]*Main[[#This Row],[Precio]]*Main[[#This Row],[Qty]]</f>
        <v>161.25</v>
      </c>
      <c r="Z179">
        <f>_xlfn.XLOOKUP(Main[[#This Row],[Finca]], Fincas[Nombre], Fincas[ID])</f>
        <v>72</v>
      </c>
      <c r="AA179" t="str" cm="1">
        <f t="array" ref="AA17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9" s="2" t="s">
        <v>36</v>
      </c>
      <c r="AC179" s="5"/>
      <c r="AD179" s="244"/>
    </row>
    <row r="180" spans="1:30" x14ac:dyDescent="0.25">
      <c r="A180" s="37" t="s">
        <v>39</v>
      </c>
      <c r="B180" s="157">
        <v>1</v>
      </c>
      <c r="C180" s="157" t="s">
        <v>33</v>
      </c>
      <c r="D180" s="37">
        <v>125</v>
      </c>
      <c r="E180">
        <v>125</v>
      </c>
      <c r="F180" t="s">
        <v>35</v>
      </c>
      <c r="G180" t="s">
        <v>92</v>
      </c>
      <c r="H180" s="1" t="s">
        <v>983</v>
      </c>
      <c r="I180" s="259">
        <v>0.38</v>
      </c>
      <c r="J180" s="73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80" s="135">
        <v>1.34</v>
      </c>
      <c r="L180" s="33" cm="1">
        <f t="array" aca="1" ref="L18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80" s="156">
        <f>Guias!$B$5</f>
        <v>46298</v>
      </c>
      <c r="N180" s="234">
        <f>ROUNDUP((Main[[#This Row],[Cost]]*Main[[#This Row],[Import Duties]]),2)</f>
        <v>6.9999999999999993E-2</v>
      </c>
      <c r="O180">
        <v>0</v>
      </c>
      <c r="P180">
        <v>1</v>
      </c>
      <c r="Q180">
        <v>0</v>
      </c>
      <c r="R180" s="235">
        <f>ROUNDUP(Main[[#This Row],[Transport2]]/Main[[#This Row],[Cantidad_Min]],2)</f>
        <v>0.53</v>
      </c>
      <c r="S180">
        <f>_xlfn.XLOOKUP(Main[[#This Row],[Type of Box]], Cajas[Nombre], Cajas[Largo])</f>
        <v>99</v>
      </c>
      <c r="T180">
        <f>_xlfn.XLOOKUP(Main[[#This Row],[Type of Box]], Cajas[Nombre], Cajas[Ancho])</f>
        <v>35</v>
      </c>
      <c r="U180">
        <f>_xlfn.XLOOKUP(Main[[#This Row],[Type of Box]], Cajas[Nombre], Cajas[Alto])</f>
        <v>16</v>
      </c>
      <c r="V18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0">
        <f>ROUNDUP(((Main[[#This Row],[Volumen]]*5.25))*1.36,2)</f>
        <v>65.98</v>
      </c>
      <c r="X180" s="238">
        <v>0.15859999999999999</v>
      </c>
      <c r="Y180" s="260">
        <f>Main[[#This Row],[Cantidad_Min]]*Main[[#This Row],[Precio]]*Main[[#This Row],[Qty]]</f>
        <v>167.5</v>
      </c>
      <c r="Z180">
        <f>_xlfn.XLOOKUP(Main[[#This Row],[Finca]], Fincas[Nombre], Fincas[ID])</f>
        <v>76</v>
      </c>
      <c r="AA180" t="str" cm="1">
        <f t="array" ref="AA18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0" s="2" t="s">
        <v>36</v>
      </c>
      <c r="AC180" s="5"/>
      <c r="AD180" s="244"/>
    </row>
    <row r="181" spans="1:30" x14ac:dyDescent="0.25">
      <c r="A181" s="37" t="s">
        <v>39</v>
      </c>
      <c r="B181" s="157">
        <v>1</v>
      </c>
      <c r="C181" s="157" t="s">
        <v>33</v>
      </c>
      <c r="D181" s="37">
        <v>125</v>
      </c>
      <c r="E181">
        <v>125</v>
      </c>
      <c r="F181" t="s">
        <v>46</v>
      </c>
      <c r="G181" t="s">
        <v>92</v>
      </c>
      <c r="H181" s="1" t="s">
        <v>984</v>
      </c>
      <c r="I181" s="259">
        <v>0.38</v>
      </c>
      <c r="J181" s="73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81" s="135">
        <v>1.34</v>
      </c>
      <c r="L181" s="33" cm="1">
        <f t="array" aca="1" ref="L18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81" s="156">
        <f>Guias!$B$5</f>
        <v>46298</v>
      </c>
      <c r="N181" s="234">
        <f>ROUNDUP((Main[[#This Row],[Cost]]*Main[[#This Row],[Import Duties]]),2)</f>
        <v>6.9999999999999993E-2</v>
      </c>
      <c r="O181">
        <v>0</v>
      </c>
      <c r="P181">
        <v>1</v>
      </c>
      <c r="Q181">
        <v>0</v>
      </c>
      <c r="R181" s="235">
        <f>ROUNDUP(Main[[#This Row],[Transport2]]/Main[[#This Row],[Cantidad_Min]],2)</f>
        <v>0.53</v>
      </c>
      <c r="S181">
        <f>_xlfn.XLOOKUP(Main[[#This Row],[Type of Box]], Cajas[Nombre], Cajas[Largo])</f>
        <v>99</v>
      </c>
      <c r="T181">
        <f>_xlfn.XLOOKUP(Main[[#This Row],[Type of Box]], Cajas[Nombre], Cajas[Ancho])</f>
        <v>35</v>
      </c>
      <c r="U181">
        <f>_xlfn.XLOOKUP(Main[[#This Row],[Type of Box]], Cajas[Nombre], Cajas[Alto])</f>
        <v>16</v>
      </c>
      <c r="V18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1">
        <f>ROUNDUP(((Main[[#This Row],[Volumen]]*5.25))*1.36,2)</f>
        <v>65.98</v>
      </c>
      <c r="X181" s="238">
        <v>0.15859999999999999</v>
      </c>
      <c r="Y181" s="260">
        <f>Main[[#This Row],[Cantidad_Min]]*Main[[#This Row],[Precio]]*Main[[#This Row],[Qty]]</f>
        <v>167.5</v>
      </c>
      <c r="Z181">
        <f>_xlfn.XLOOKUP(Main[[#This Row],[Finca]], Fincas[Nombre], Fincas[ID])</f>
        <v>76</v>
      </c>
      <c r="AA181" t="str" cm="1">
        <f t="array" ref="AA18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1" s="2" t="s">
        <v>36</v>
      </c>
      <c r="AC181" s="5"/>
      <c r="AD181" s="244"/>
    </row>
    <row r="182" spans="1:30" x14ac:dyDescent="0.25">
      <c r="A182" s="37" t="s">
        <v>41</v>
      </c>
      <c r="B182" s="157">
        <v>1</v>
      </c>
      <c r="C182" s="157" t="s">
        <v>33</v>
      </c>
      <c r="D182" s="37">
        <v>125</v>
      </c>
      <c r="E182">
        <v>125</v>
      </c>
      <c r="F182" t="s">
        <v>46</v>
      </c>
      <c r="G182" t="s">
        <v>92</v>
      </c>
      <c r="H182" s="1" t="s">
        <v>985</v>
      </c>
      <c r="I182" s="259">
        <v>0.36399999999999999</v>
      </c>
      <c r="J182" s="73">
        <f>_xlfn.LET(
  _xlpm.result, 1-((Main[[#This Row],[Cost]]+Main[[#This Row],[Duties]]+Main[[#This Row],[Transport]])/((Main[[#This Row],[Precio]]*0.96))),
  IF(_xlpm.result&lt;0, "BAJO", IF(_xlpm.result&gt;1, "ALTO", _xlpm.result))
)</f>
        <v>0.25839552238805974</v>
      </c>
      <c r="K182" s="135">
        <v>1.34</v>
      </c>
      <c r="L182" s="33" cm="1">
        <f t="array" aca="1" ref="L18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82" s="156">
        <f>Guias!$B$5</f>
        <v>46298</v>
      </c>
      <c r="N182" s="234">
        <f>ROUNDUP((Main[[#This Row],[Cost]]*Main[[#This Row],[Import Duties]]),2)</f>
        <v>6.0000000000000005E-2</v>
      </c>
      <c r="O182">
        <v>0</v>
      </c>
      <c r="P182">
        <v>1</v>
      </c>
      <c r="Q182">
        <v>0</v>
      </c>
      <c r="R182" s="235">
        <f>ROUNDUP(Main[[#This Row],[Transport2]]/Main[[#This Row],[Cantidad_Min]],2)</f>
        <v>0.53</v>
      </c>
      <c r="S182">
        <f>_xlfn.XLOOKUP(Main[[#This Row],[Type of Box]], Cajas[Nombre], Cajas[Largo])</f>
        <v>99</v>
      </c>
      <c r="T182">
        <f>_xlfn.XLOOKUP(Main[[#This Row],[Type of Box]], Cajas[Nombre], Cajas[Ancho])</f>
        <v>35</v>
      </c>
      <c r="U182">
        <f>_xlfn.XLOOKUP(Main[[#This Row],[Type of Box]], Cajas[Nombre], Cajas[Alto])</f>
        <v>16</v>
      </c>
      <c r="V18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2">
        <f>ROUNDUP(((Main[[#This Row],[Volumen]]*5.25))*1.36,2)</f>
        <v>65.98</v>
      </c>
      <c r="X182" s="238">
        <v>0.15859999999999999</v>
      </c>
      <c r="Y182" s="260">
        <f>Main[[#This Row],[Cantidad_Min]]*Main[[#This Row],[Precio]]*Main[[#This Row],[Qty]]</f>
        <v>167.5</v>
      </c>
      <c r="Z182">
        <f>_xlfn.XLOOKUP(Main[[#This Row],[Finca]], Fincas[Nombre], Fincas[ID])</f>
        <v>38</v>
      </c>
      <c r="AA182" t="str" cm="1">
        <f t="array" ref="AA18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2" s="2" t="s">
        <v>36</v>
      </c>
      <c r="AC182" s="5"/>
      <c r="AD182" s="244"/>
    </row>
    <row r="183" spans="1:30" x14ac:dyDescent="0.25">
      <c r="A183" s="37" t="s">
        <v>41</v>
      </c>
      <c r="B183" s="157">
        <v>1</v>
      </c>
      <c r="C183" s="157" t="s">
        <v>33</v>
      </c>
      <c r="D183" s="37">
        <v>125</v>
      </c>
      <c r="E183">
        <v>125</v>
      </c>
      <c r="F183" t="s">
        <v>35</v>
      </c>
      <c r="G183" t="s">
        <v>218</v>
      </c>
      <c r="H183" s="1" t="s">
        <v>986</v>
      </c>
      <c r="I183" s="259">
        <v>0.36399999999999999</v>
      </c>
      <c r="J183" s="73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183" s="135">
        <v>1.29</v>
      </c>
      <c r="L183" s="33" cm="1">
        <f t="array" aca="1" ref="L18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83" s="156">
        <f>Guias!$B$5</f>
        <v>46298</v>
      </c>
      <c r="N183" s="234">
        <f>ROUNDUP((Main[[#This Row],[Cost]]*Main[[#This Row],[Import Duties]]),2)</f>
        <v>6.0000000000000005E-2</v>
      </c>
      <c r="O183">
        <v>0</v>
      </c>
      <c r="P183">
        <v>1</v>
      </c>
      <c r="Q183">
        <v>0</v>
      </c>
      <c r="R183" s="235">
        <f>ROUNDUP(Main[[#This Row],[Transport2]]/Main[[#This Row],[Cantidad_Min]],2)</f>
        <v>0.53</v>
      </c>
      <c r="S183">
        <f>_xlfn.XLOOKUP(Main[[#This Row],[Type of Box]], Cajas[Nombre], Cajas[Largo])</f>
        <v>99</v>
      </c>
      <c r="T183">
        <f>_xlfn.XLOOKUP(Main[[#This Row],[Type of Box]], Cajas[Nombre], Cajas[Ancho])</f>
        <v>35</v>
      </c>
      <c r="U183">
        <f>_xlfn.XLOOKUP(Main[[#This Row],[Type of Box]], Cajas[Nombre], Cajas[Alto])</f>
        <v>16</v>
      </c>
      <c r="V18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3">
        <f>ROUNDUP(((Main[[#This Row],[Volumen]]*5.25))*1.36,2)</f>
        <v>65.98</v>
      </c>
      <c r="X183" s="238">
        <v>0.15859999999999999</v>
      </c>
      <c r="Y183" s="260">
        <f>Main[[#This Row],[Cantidad_Min]]*Main[[#This Row],[Precio]]*Main[[#This Row],[Qty]]</f>
        <v>161.25</v>
      </c>
      <c r="Z183">
        <f>_xlfn.XLOOKUP(Main[[#This Row],[Finca]], Fincas[Nombre], Fincas[ID])</f>
        <v>38</v>
      </c>
      <c r="AA183" t="str" cm="1">
        <f t="array" ref="AA18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3" s="2" t="s">
        <v>36</v>
      </c>
      <c r="AC183" s="5"/>
      <c r="AD183" s="244"/>
    </row>
    <row r="184" spans="1:30" x14ac:dyDescent="0.25">
      <c r="A184" s="37" t="s">
        <v>41</v>
      </c>
      <c r="B184" s="157">
        <v>1</v>
      </c>
      <c r="C184" s="157" t="s">
        <v>33</v>
      </c>
      <c r="D184" s="37">
        <v>125</v>
      </c>
      <c r="E184">
        <v>125</v>
      </c>
      <c r="F184" t="s">
        <v>35</v>
      </c>
      <c r="G184" t="s">
        <v>219</v>
      </c>
      <c r="H184" s="1" t="s">
        <v>987</v>
      </c>
      <c r="I184" s="259">
        <v>0.36399999999999999</v>
      </c>
      <c r="J184" s="73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184" s="135">
        <v>1.29</v>
      </c>
      <c r="L184" s="33" cm="1">
        <f t="array" aca="1" ref="L18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84" s="156">
        <f>Guias!$B$5</f>
        <v>46298</v>
      </c>
      <c r="N184" s="234">
        <f>ROUNDUP((Main[[#This Row],[Cost]]*Main[[#This Row],[Import Duties]]),2)</f>
        <v>6.0000000000000005E-2</v>
      </c>
      <c r="O184">
        <v>0</v>
      </c>
      <c r="P184">
        <v>1</v>
      </c>
      <c r="Q184">
        <v>0</v>
      </c>
      <c r="R184" s="235">
        <f>ROUNDUP(Main[[#This Row],[Transport2]]/Main[[#This Row],[Cantidad_Min]],2)</f>
        <v>0.53</v>
      </c>
      <c r="S184">
        <f>_xlfn.XLOOKUP(Main[[#This Row],[Type of Box]], Cajas[Nombre], Cajas[Largo])</f>
        <v>99</v>
      </c>
      <c r="T184">
        <f>_xlfn.XLOOKUP(Main[[#This Row],[Type of Box]], Cajas[Nombre], Cajas[Ancho])</f>
        <v>35</v>
      </c>
      <c r="U184">
        <f>_xlfn.XLOOKUP(Main[[#This Row],[Type of Box]], Cajas[Nombre], Cajas[Alto])</f>
        <v>16</v>
      </c>
      <c r="V18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4">
        <f>ROUNDUP(((Main[[#This Row],[Volumen]]*5.25))*1.36,2)</f>
        <v>65.98</v>
      </c>
      <c r="X184" s="238">
        <v>0.15859999999999999</v>
      </c>
      <c r="Y184" s="260">
        <f>Main[[#This Row],[Cantidad_Min]]*Main[[#This Row],[Precio]]*Main[[#This Row],[Qty]]</f>
        <v>161.25</v>
      </c>
      <c r="Z184">
        <f>_xlfn.XLOOKUP(Main[[#This Row],[Finca]], Fincas[Nombre], Fincas[ID])</f>
        <v>38</v>
      </c>
      <c r="AA184" t="str" cm="1">
        <f t="array" ref="AA18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4" s="2" t="s">
        <v>36</v>
      </c>
      <c r="AC184" s="5"/>
      <c r="AD184" s="244"/>
    </row>
    <row r="185" spans="1:30" x14ac:dyDescent="0.25">
      <c r="A185" s="37" t="s">
        <v>34</v>
      </c>
      <c r="B185" s="157">
        <v>1</v>
      </c>
      <c r="C185" s="157" t="s">
        <v>33</v>
      </c>
      <c r="D185" s="37">
        <v>125</v>
      </c>
      <c r="E185">
        <v>125</v>
      </c>
      <c r="F185" t="s">
        <v>46</v>
      </c>
      <c r="G185" t="s">
        <v>218</v>
      </c>
      <c r="H185" s="1" t="s">
        <v>988</v>
      </c>
      <c r="I185" s="259">
        <v>0.38</v>
      </c>
      <c r="J185" s="73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85" s="135">
        <v>1.34</v>
      </c>
      <c r="L185" s="33" cm="1">
        <f t="array" aca="1" ref="L18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85" s="156">
        <f>Guias!$B$5</f>
        <v>46298</v>
      </c>
      <c r="N185" s="234">
        <f>ROUNDUP((Main[[#This Row],[Cost]]*Main[[#This Row],[Import Duties]]),2)</f>
        <v>6.9999999999999993E-2</v>
      </c>
      <c r="O185">
        <v>0</v>
      </c>
      <c r="P185">
        <v>1</v>
      </c>
      <c r="Q185">
        <v>0</v>
      </c>
      <c r="R185" s="235">
        <f>ROUNDUP(Main[[#This Row],[Transport2]]/Main[[#This Row],[Cantidad_Min]],2)</f>
        <v>0.53</v>
      </c>
      <c r="S185">
        <f>_xlfn.XLOOKUP(Main[[#This Row],[Type of Box]], Cajas[Nombre], Cajas[Largo])</f>
        <v>99</v>
      </c>
      <c r="T185">
        <f>_xlfn.XLOOKUP(Main[[#This Row],[Type of Box]], Cajas[Nombre], Cajas[Ancho])</f>
        <v>35</v>
      </c>
      <c r="U185">
        <f>_xlfn.XLOOKUP(Main[[#This Row],[Type of Box]], Cajas[Nombre], Cajas[Alto])</f>
        <v>16</v>
      </c>
      <c r="V18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5">
        <f>ROUNDUP(((Main[[#This Row],[Volumen]]*5.25))*1.36,2)</f>
        <v>65.98</v>
      </c>
      <c r="X185" s="238">
        <v>0.15859999999999999</v>
      </c>
      <c r="Y185" s="260">
        <f>Main[[#This Row],[Cantidad_Min]]*Main[[#This Row],[Precio]]*Main[[#This Row],[Qty]]</f>
        <v>167.5</v>
      </c>
      <c r="Z185">
        <f>_xlfn.XLOOKUP(Main[[#This Row],[Finca]], Fincas[Nombre], Fincas[ID])</f>
        <v>72</v>
      </c>
      <c r="AA185" t="str" cm="1">
        <f t="array" ref="AA18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5" s="2" t="s">
        <v>36</v>
      </c>
      <c r="AC185" s="5"/>
      <c r="AD185" s="244"/>
    </row>
    <row r="186" spans="1:30" x14ac:dyDescent="0.25">
      <c r="A186" s="161" t="s">
        <v>34</v>
      </c>
      <c r="B186" s="162">
        <v>1</v>
      </c>
      <c r="C186" s="162" t="s">
        <v>33</v>
      </c>
      <c r="D186" s="161">
        <f>15*15</f>
        <v>225</v>
      </c>
      <c r="E186" s="261">
        <f>15*15</f>
        <v>225</v>
      </c>
      <c r="F186" s="261" t="s">
        <v>76</v>
      </c>
      <c r="G186" t="s">
        <v>220</v>
      </c>
      <c r="H186" s="1" t="s">
        <v>989</v>
      </c>
      <c r="I186" s="259">
        <v>0.2</v>
      </c>
      <c r="J186" s="73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186" s="135">
        <v>0.72</v>
      </c>
      <c r="L186" s="33" cm="1">
        <f t="array" aca="1" ref="L18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86" s="156">
        <f>Guias!$B$6</f>
        <v>46300</v>
      </c>
      <c r="N186" s="234">
        <f>ROUNDUP((Main[[#This Row],[Cost]]*Main[[#This Row],[Import Duties]]),2)</f>
        <v>0.04</v>
      </c>
      <c r="O186">
        <v>0</v>
      </c>
      <c r="P186">
        <v>1</v>
      </c>
      <c r="Q186">
        <v>0</v>
      </c>
      <c r="R186" s="235">
        <f>ROUNDUP(Main[[#This Row],[Transport2]]/Main[[#This Row],[Cantidad_Min]],2)</f>
        <v>0.3</v>
      </c>
      <c r="S186">
        <f>_xlfn.XLOOKUP(Main[[#This Row],[Type of Box]], Cajas[Nombre], Cajas[Largo])</f>
        <v>99</v>
      </c>
      <c r="T186">
        <f>_xlfn.XLOOKUP(Main[[#This Row],[Type of Box]], Cajas[Nombre], Cajas[Ancho])</f>
        <v>35</v>
      </c>
      <c r="U186">
        <f>_xlfn.XLOOKUP(Main[[#This Row],[Type of Box]], Cajas[Nombre], Cajas[Alto])</f>
        <v>16</v>
      </c>
      <c r="V18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6">
        <f>ROUNDUP(((Main[[#This Row],[Volumen]]*5.25))*1.36,2)</f>
        <v>65.98</v>
      </c>
      <c r="X186" s="238">
        <v>0.15859999999999999</v>
      </c>
      <c r="Y186" s="260">
        <f>Main[[#This Row],[Cantidad_Min]]*Main[[#This Row],[Precio]]*Main[[#This Row],[Qty]]</f>
        <v>162</v>
      </c>
      <c r="Z186">
        <f>_xlfn.XLOOKUP(Main[[#This Row],[Finca]], Fincas[Nombre], Fincas[ID])</f>
        <v>72</v>
      </c>
      <c r="AA186" t="str" cm="1">
        <f t="array" ref="AA18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86" s="2" t="s">
        <v>36</v>
      </c>
      <c r="AC186" s="5" t="s">
        <v>77</v>
      </c>
      <c r="AD186" s="244" t="s">
        <v>78</v>
      </c>
    </row>
    <row r="187" spans="1:30" x14ac:dyDescent="0.25">
      <c r="A187" s="37" t="s">
        <v>34</v>
      </c>
      <c r="B187" s="157">
        <v>4</v>
      </c>
      <c r="C187" s="157" t="s">
        <v>32</v>
      </c>
      <c r="D187" s="37">
        <v>48</v>
      </c>
      <c r="E187">
        <v>48</v>
      </c>
      <c r="F187" t="s">
        <v>664</v>
      </c>
      <c r="G187" t="s">
        <v>221</v>
      </c>
      <c r="H187" s="1" t="s">
        <v>990</v>
      </c>
      <c r="I187" s="259">
        <v>0.51</v>
      </c>
      <c r="J187" s="73">
        <f>_xlfn.LET(
  _xlpm.result, 1-((Main[[#This Row],[Cost]]+Main[[#This Row],[Duties]]+Main[[#This Row],[Transport]])/((Main[[#This Row],[Precio]]*0.96))),
  IF(_xlpm.result&lt;0, "BAJO", IF(_xlpm.result&gt;1, "ALTO", _xlpm.result))
)</f>
        <v>0.20856610800744879</v>
      </c>
      <c r="K187" s="135">
        <v>1.79</v>
      </c>
      <c r="L187" s="33" cm="1">
        <f t="array" aca="1" ref="L18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87" s="156">
        <f>Guias!$B$5</f>
        <v>46298</v>
      </c>
      <c r="N187" s="234">
        <f>ROUNDUP((Main[[#This Row],[Cost]]*Main[[#This Row],[Import Duties]]),2)</f>
        <v>0.09</v>
      </c>
      <c r="O187">
        <v>0</v>
      </c>
      <c r="P187">
        <v>1</v>
      </c>
      <c r="Q187">
        <v>0</v>
      </c>
      <c r="R187" s="235">
        <f>ROUNDUP(Main[[#This Row],[Transport2]]/Main[[#This Row],[Cantidad_Min]],2)</f>
        <v>0.76</v>
      </c>
      <c r="S187">
        <f>_xlfn.XLOOKUP(Main[[#This Row],[Type of Box]], Cajas[Nombre], Cajas[Largo])</f>
        <v>105</v>
      </c>
      <c r="T187">
        <f>_xlfn.XLOOKUP(Main[[#This Row],[Type of Box]], Cajas[Nombre], Cajas[Ancho])</f>
        <v>17</v>
      </c>
      <c r="U187">
        <f>_xlfn.XLOOKUP(Main[[#This Row],[Type of Box]], Cajas[Nombre], Cajas[Alto])</f>
        <v>17</v>
      </c>
      <c r="V18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87">
        <f>ROUNDUP(((Main[[#This Row],[Volumen]]*5.25))*1.36,2)</f>
        <v>36.119999999999997</v>
      </c>
      <c r="X187" s="238">
        <v>0.15859999999999999</v>
      </c>
      <c r="Y187" s="260">
        <f>Main[[#This Row],[Cantidad_Min]]*Main[[#This Row],[Precio]]*Main[[#This Row],[Qty]]</f>
        <v>343.68</v>
      </c>
      <c r="Z187">
        <f>_xlfn.XLOOKUP(Main[[#This Row],[Finca]], Fincas[Nombre], Fincas[ID])</f>
        <v>72</v>
      </c>
      <c r="AA187" t="str" cm="1">
        <f t="array" ref="AA18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7" s="2" t="s">
        <v>36</v>
      </c>
      <c r="AC187" s="5"/>
      <c r="AD187" s="244"/>
    </row>
    <row r="188" spans="1:30" x14ac:dyDescent="0.25">
      <c r="A188" s="37" t="s">
        <v>41</v>
      </c>
      <c r="B188" s="157">
        <v>2</v>
      </c>
      <c r="C188" s="157" t="s">
        <v>32</v>
      </c>
      <c r="D188" s="37">
        <v>48</v>
      </c>
      <c r="E188">
        <v>48</v>
      </c>
      <c r="F188" t="s">
        <v>56</v>
      </c>
      <c r="G188" t="s">
        <v>222</v>
      </c>
      <c r="H188" s="1" t="s">
        <v>991</v>
      </c>
      <c r="I188" s="259">
        <v>0.56399999999999995</v>
      </c>
      <c r="J188" s="73">
        <f>_xlfn.LET(
  _xlpm.result, 1-((Main[[#This Row],[Cost]]+Main[[#This Row],[Duties]]+Main[[#This Row],[Transport]])/((Main[[#This Row],[Precio]]*0.96))),
  IF(_xlpm.result&lt;0, "BAJO", IF(_xlpm.result&gt;1, "ALTO", _xlpm.result))
)</f>
        <v>0.22067901234567899</v>
      </c>
      <c r="K188" s="135">
        <v>1.89</v>
      </c>
      <c r="L188" s="33" cm="1">
        <f t="array" aca="1" ref="L18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88" s="156">
        <f>Guias!$B$5</f>
        <v>46298</v>
      </c>
      <c r="N188" s="234">
        <f>ROUNDUP((Main[[#This Row],[Cost]]*Main[[#This Row],[Import Duties]]),2)</f>
        <v>0.09</v>
      </c>
      <c r="O188">
        <v>0</v>
      </c>
      <c r="P188">
        <v>1</v>
      </c>
      <c r="Q188">
        <v>0</v>
      </c>
      <c r="R188" s="235">
        <f>ROUNDUP(Main[[#This Row],[Transport2]]/Main[[#This Row],[Cantidad_Min]],2)</f>
        <v>0.76</v>
      </c>
      <c r="S188">
        <f>_xlfn.XLOOKUP(Main[[#This Row],[Type of Box]], Cajas[Nombre], Cajas[Largo])</f>
        <v>105</v>
      </c>
      <c r="T188">
        <f>_xlfn.XLOOKUP(Main[[#This Row],[Type of Box]], Cajas[Nombre], Cajas[Ancho])</f>
        <v>17</v>
      </c>
      <c r="U188">
        <f>_xlfn.XLOOKUP(Main[[#This Row],[Type of Box]], Cajas[Nombre], Cajas[Alto])</f>
        <v>17</v>
      </c>
      <c r="V18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88">
        <f>ROUNDUP(((Main[[#This Row],[Volumen]]*5.25))*1.36,2)</f>
        <v>36.119999999999997</v>
      </c>
      <c r="X188" s="238">
        <v>0.15859999999999999</v>
      </c>
      <c r="Y188" s="260">
        <f>Main[[#This Row],[Cantidad_Min]]*Main[[#This Row],[Precio]]*Main[[#This Row],[Qty]]</f>
        <v>181.44</v>
      </c>
      <c r="Z188">
        <f>_xlfn.XLOOKUP(Main[[#This Row],[Finca]], Fincas[Nombre], Fincas[ID])</f>
        <v>38</v>
      </c>
      <c r="AA188" t="str" cm="1">
        <f t="array" ref="AA18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8" s="2" t="s">
        <v>36</v>
      </c>
      <c r="AC188" s="5"/>
      <c r="AD188" s="244"/>
    </row>
    <row r="189" spans="1:30" ht="15.75" thickBot="1" x14ac:dyDescent="0.3">
      <c r="A189" s="37" t="s">
        <v>39</v>
      </c>
      <c r="B189" s="157">
        <v>1</v>
      </c>
      <c r="C189" s="157" t="s">
        <v>33</v>
      </c>
      <c r="D189" s="37">
        <v>125</v>
      </c>
      <c r="E189">
        <v>125</v>
      </c>
      <c r="F189" t="s">
        <v>35</v>
      </c>
      <c r="G189" t="s">
        <v>223</v>
      </c>
      <c r="H189" s="1" t="s">
        <v>992</v>
      </c>
      <c r="I189" s="259">
        <v>0.37</v>
      </c>
      <c r="J189" s="73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89" s="135">
        <v>1.29</v>
      </c>
      <c r="L189" s="33" cm="1">
        <f t="array" aca="1" ref="L18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89" s="156">
        <f>Guias!$B$5</f>
        <v>46298</v>
      </c>
      <c r="N189" s="234">
        <f>ROUNDUP((Main[[#This Row],[Cost]]*Main[[#This Row],[Import Duties]]),2)</f>
        <v>6.0000000000000005E-2</v>
      </c>
      <c r="O189">
        <v>0</v>
      </c>
      <c r="P189">
        <v>1</v>
      </c>
      <c r="Q189">
        <v>0</v>
      </c>
      <c r="R189" s="235">
        <f>ROUNDUP(Main[[#This Row],[Transport2]]/Main[[#This Row],[Cantidad_Min]],2)</f>
        <v>0.53</v>
      </c>
      <c r="S189">
        <f>_xlfn.XLOOKUP(Main[[#This Row],[Type of Box]], Cajas[Nombre], Cajas[Largo])</f>
        <v>99</v>
      </c>
      <c r="T189">
        <f>_xlfn.XLOOKUP(Main[[#This Row],[Type of Box]], Cajas[Nombre], Cajas[Ancho])</f>
        <v>35</v>
      </c>
      <c r="U189">
        <f>_xlfn.XLOOKUP(Main[[#This Row],[Type of Box]], Cajas[Nombre], Cajas[Alto])</f>
        <v>16</v>
      </c>
      <c r="V18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9">
        <f>ROUNDUP(((Main[[#This Row],[Volumen]]*5.25))*1.36,2)</f>
        <v>65.98</v>
      </c>
      <c r="X189" s="238">
        <v>0.15859999999999999</v>
      </c>
      <c r="Y189" s="260">
        <f>Main[[#This Row],[Cantidad_Min]]*Main[[#This Row],[Precio]]*Main[[#This Row],[Qty]]</f>
        <v>161.25</v>
      </c>
      <c r="Z189">
        <f>_xlfn.XLOOKUP(Main[[#This Row],[Finca]], Fincas[Nombre], Fincas[ID])</f>
        <v>76</v>
      </c>
      <c r="AA189" t="str" cm="1">
        <f t="array" ref="AA18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9" s="2" t="s">
        <v>36</v>
      </c>
      <c r="AC189" s="31"/>
      <c r="AD189" s="244"/>
    </row>
    <row r="190" spans="1:30" ht="15.75" thickBot="1" x14ac:dyDescent="0.3">
      <c r="A190" s="166" t="s">
        <v>41</v>
      </c>
      <c r="B190" s="168">
        <f>IF(Main[[#This Row],[SendEmail]]="Y", 1, 0)</f>
        <v>1</v>
      </c>
      <c r="C190" s="167" t="s">
        <v>33</v>
      </c>
      <c r="D190" s="166">
        <v>125</v>
      </c>
      <c r="E190" s="263">
        <v>125</v>
      </c>
      <c r="F190" s="263" t="s">
        <v>35</v>
      </c>
      <c r="G190" t="s">
        <v>224</v>
      </c>
      <c r="H190" s="1" t="s">
        <v>993</v>
      </c>
      <c r="I190" s="259">
        <v>0.36399999999999999</v>
      </c>
      <c r="J190" s="73">
        <f>_xlfn.LET(
  _xlpm.result, 1-((Main[[#This Row],[Cost]]+Main[[#This Row],[Duties]]+Main[[#This Row],[Transport]])/((Main[[#This Row],[Precio]]*0.96))),
  IF(_xlpm.result&lt;0, "BAJO", IF(_xlpm.result&gt;1, "ALTO", _xlpm.result))
)</f>
        <v>0.33305369127516782</v>
      </c>
      <c r="K190" s="135">
        <v>1.49</v>
      </c>
      <c r="L190" s="33" cm="1">
        <f t="array" aca="1" ref="L19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90" s="156">
        <f>Guias!$B$5</f>
        <v>46298</v>
      </c>
      <c r="N190" s="234">
        <f>ROUNDUP((Main[[#This Row],[Cost]]*Main[[#This Row],[Import Duties]]),2)</f>
        <v>6.0000000000000005E-2</v>
      </c>
      <c r="O190">
        <v>0</v>
      </c>
      <c r="P190">
        <v>1</v>
      </c>
      <c r="Q190">
        <v>0</v>
      </c>
      <c r="R190" s="235">
        <f>ROUNDUP(Main[[#This Row],[Transport2]]/Main[[#This Row],[Cantidad_Min]],2)</f>
        <v>0.53</v>
      </c>
      <c r="S190">
        <f>_xlfn.XLOOKUP(Main[[#This Row],[Type of Box]], Cajas[Nombre], Cajas[Largo])</f>
        <v>99</v>
      </c>
      <c r="T190">
        <f>_xlfn.XLOOKUP(Main[[#This Row],[Type of Box]], Cajas[Nombre], Cajas[Ancho])</f>
        <v>35</v>
      </c>
      <c r="U190">
        <f>_xlfn.XLOOKUP(Main[[#This Row],[Type of Box]], Cajas[Nombre], Cajas[Alto])</f>
        <v>16</v>
      </c>
      <c r="V19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0">
        <f>ROUNDUP(((Main[[#This Row],[Volumen]]*5.25))*1.36,2)</f>
        <v>65.98</v>
      </c>
      <c r="X190" s="238">
        <v>0.15859999999999999</v>
      </c>
      <c r="Y190" s="260">
        <f>Main[[#This Row],[Cantidad_Min]]*Main[[#This Row],[Precio]]*Main[[#This Row],[Qty]]</f>
        <v>186.25</v>
      </c>
      <c r="Z190">
        <f>_xlfn.XLOOKUP(Main[[#This Row],[Finca]], Fincas[Nombre], Fincas[ID])</f>
        <v>38</v>
      </c>
      <c r="AA190" t="str" cm="1">
        <f t="array" ref="AA19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0" s="266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90" s="5"/>
      <c r="AD190" s="244" t="s">
        <v>225</v>
      </c>
    </row>
    <row r="191" spans="1:30" x14ac:dyDescent="0.25">
      <c r="A191" s="37" t="s">
        <v>39</v>
      </c>
      <c r="B191" s="157">
        <v>1</v>
      </c>
      <c r="C191" s="157" t="s">
        <v>33</v>
      </c>
      <c r="D191" s="37">
        <v>125</v>
      </c>
      <c r="E191">
        <v>125</v>
      </c>
      <c r="F191" t="s">
        <v>35</v>
      </c>
      <c r="G191" t="s">
        <v>226</v>
      </c>
      <c r="H191" s="1" t="s">
        <v>994</v>
      </c>
      <c r="I191" s="259">
        <v>0.37</v>
      </c>
      <c r="J191" s="73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191" s="135">
        <v>1.39</v>
      </c>
      <c r="L191" s="33" cm="1">
        <f t="array" aca="1" ref="L19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91" s="156">
        <f>Guias!$B$5</f>
        <v>46298</v>
      </c>
      <c r="N191" s="234">
        <f>ROUNDUP((Main[[#This Row],[Cost]]*Main[[#This Row],[Import Duties]]),2)</f>
        <v>6.0000000000000005E-2</v>
      </c>
      <c r="O191">
        <v>0</v>
      </c>
      <c r="P191">
        <v>1</v>
      </c>
      <c r="Q191">
        <v>0</v>
      </c>
      <c r="R191" s="235">
        <f>ROUNDUP(Main[[#This Row],[Transport2]]/Main[[#This Row],[Cantidad_Min]],2)</f>
        <v>0.53</v>
      </c>
      <c r="S191">
        <f>_xlfn.XLOOKUP(Main[[#This Row],[Type of Box]], Cajas[Nombre], Cajas[Largo])</f>
        <v>99</v>
      </c>
      <c r="T191">
        <f>_xlfn.XLOOKUP(Main[[#This Row],[Type of Box]], Cajas[Nombre], Cajas[Ancho])</f>
        <v>35</v>
      </c>
      <c r="U191">
        <f>_xlfn.XLOOKUP(Main[[#This Row],[Type of Box]], Cajas[Nombre], Cajas[Alto])</f>
        <v>16</v>
      </c>
      <c r="V19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1">
        <f>ROUNDUP(((Main[[#This Row],[Volumen]]*5.25))*1.36,2)</f>
        <v>65.98</v>
      </c>
      <c r="X191" s="238">
        <v>0.15859999999999999</v>
      </c>
      <c r="Y191" s="260">
        <f>Main[[#This Row],[Cantidad_Min]]*Main[[#This Row],[Precio]]*Main[[#This Row],[Qty]]</f>
        <v>173.75</v>
      </c>
      <c r="Z191">
        <f>_xlfn.XLOOKUP(Main[[#This Row],[Finca]], Fincas[Nombre], Fincas[ID])</f>
        <v>76</v>
      </c>
      <c r="AA191" t="str" cm="1">
        <f t="array" ref="AA19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1" s="2" t="s">
        <v>36</v>
      </c>
      <c r="AC191" s="5"/>
      <c r="AD191" s="244"/>
    </row>
    <row r="192" spans="1:30" x14ac:dyDescent="0.25">
      <c r="A192" s="37" t="s">
        <v>41</v>
      </c>
      <c r="B192" s="157">
        <v>1</v>
      </c>
      <c r="C192" s="157" t="s">
        <v>33</v>
      </c>
      <c r="D192" s="37">
        <v>125</v>
      </c>
      <c r="E192">
        <v>125</v>
      </c>
      <c r="F192" t="s">
        <v>96</v>
      </c>
      <c r="G192" t="s">
        <v>227</v>
      </c>
      <c r="H192" s="1" t="s">
        <v>995</v>
      </c>
      <c r="I192" s="259">
        <v>0.55400000000000005</v>
      </c>
      <c r="J192" s="73">
        <f>_xlfn.LET(
  _xlpm.result, 1-((Main[[#This Row],[Cost]]+Main[[#This Row],[Duties]]+Main[[#This Row],[Transport]])/((Main[[#This Row],[Precio]]*0.96))),
  IF(_xlpm.result&lt;0, "BAJO", IF(_xlpm.result&gt;1, "ALTO", _xlpm.result))
)</f>
        <v>0.27638067061143978</v>
      </c>
      <c r="K192" s="135">
        <v>1.69</v>
      </c>
      <c r="L192" s="33" cm="1">
        <f t="array" aca="1" ref="L19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92" s="156">
        <f>Guias!$B$5</f>
        <v>46298</v>
      </c>
      <c r="N192" s="234">
        <f>ROUNDUP((Main[[#This Row],[Cost]]*Main[[#This Row],[Import Duties]]),2)</f>
        <v>0.09</v>
      </c>
      <c r="O192">
        <v>0</v>
      </c>
      <c r="P192">
        <v>1</v>
      </c>
      <c r="Q192">
        <v>0</v>
      </c>
      <c r="R192" s="235">
        <f>ROUNDUP(Main[[#This Row],[Transport2]]/Main[[#This Row],[Cantidad_Min]],2)</f>
        <v>0.53</v>
      </c>
      <c r="S192">
        <f>_xlfn.XLOOKUP(Main[[#This Row],[Type of Box]], Cajas[Nombre], Cajas[Largo])</f>
        <v>99</v>
      </c>
      <c r="T192">
        <f>_xlfn.XLOOKUP(Main[[#This Row],[Type of Box]], Cajas[Nombre], Cajas[Ancho])</f>
        <v>35</v>
      </c>
      <c r="U192">
        <f>_xlfn.XLOOKUP(Main[[#This Row],[Type of Box]], Cajas[Nombre], Cajas[Alto])</f>
        <v>16</v>
      </c>
      <c r="V19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2">
        <f>ROUNDUP(((Main[[#This Row],[Volumen]]*5.25))*1.36,2)</f>
        <v>65.98</v>
      </c>
      <c r="X192" s="238">
        <v>0.15859999999999999</v>
      </c>
      <c r="Y192" s="260">
        <f>Main[[#This Row],[Cantidad_Min]]*Main[[#This Row],[Precio]]*Main[[#This Row],[Qty]]</f>
        <v>211.25</v>
      </c>
      <c r="Z192">
        <f>_xlfn.XLOOKUP(Main[[#This Row],[Finca]], Fincas[Nombre], Fincas[ID])</f>
        <v>38</v>
      </c>
      <c r="AA192" t="str" cm="1">
        <f t="array" ref="AA19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2" s="2" t="s">
        <v>36</v>
      </c>
      <c r="AC192" s="5"/>
      <c r="AD192" s="246"/>
    </row>
    <row r="193" spans="1:30" x14ac:dyDescent="0.25">
      <c r="A193" s="37" t="s">
        <v>41</v>
      </c>
      <c r="B193" s="157">
        <v>1</v>
      </c>
      <c r="C193" s="157" t="s">
        <v>33</v>
      </c>
      <c r="D193" s="37">
        <v>125</v>
      </c>
      <c r="E193">
        <v>125</v>
      </c>
      <c r="F193" t="s">
        <v>96</v>
      </c>
      <c r="G193" t="s">
        <v>227</v>
      </c>
      <c r="H193" s="1" t="s">
        <v>996</v>
      </c>
      <c r="I193" s="259">
        <v>0.55400000000000005</v>
      </c>
      <c r="J193" s="73">
        <f>_xlfn.LET(
  _xlpm.result, 1-((Main[[#This Row],[Cost]]+Main[[#This Row],[Duties]]+Main[[#This Row],[Transport]])/((Main[[#This Row],[Precio]]*0.96))),
  IF(_xlpm.result&lt;0, "BAJO", IF(_xlpm.result&gt;1, "ALTO", _xlpm.result))
)</f>
        <v>0.27638067061143978</v>
      </c>
      <c r="K193" s="135">
        <v>1.69</v>
      </c>
      <c r="L193" s="33" cm="1">
        <f t="array" aca="1" ref="L19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93" s="156">
        <f>Guias!$B$5</f>
        <v>46298</v>
      </c>
      <c r="N193" s="234">
        <f>ROUNDUP((Main[[#This Row],[Cost]]*Main[[#This Row],[Import Duties]]),2)</f>
        <v>0.09</v>
      </c>
      <c r="O193">
        <v>0</v>
      </c>
      <c r="P193">
        <v>1</v>
      </c>
      <c r="Q193">
        <v>0</v>
      </c>
      <c r="R193" s="235">
        <f>ROUNDUP(Main[[#This Row],[Transport2]]/Main[[#This Row],[Cantidad_Min]],2)</f>
        <v>0.53</v>
      </c>
      <c r="S193">
        <f>_xlfn.XLOOKUP(Main[[#This Row],[Type of Box]], Cajas[Nombre], Cajas[Largo])</f>
        <v>99</v>
      </c>
      <c r="T193">
        <f>_xlfn.XLOOKUP(Main[[#This Row],[Type of Box]], Cajas[Nombre], Cajas[Ancho])</f>
        <v>35</v>
      </c>
      <c r="U193">
        <f>_xlfn.XLOOKUP(Main[[#This Row],[Type of Box]], Cajas[Nombre], Cajas[Alto])</f>
        <v>16</v>
      </c>
      <c r="V19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3">
        <f>ROUNDUP(((Main[[#This Row],[Volumen]]*5.25))*1.36,2)</f>
        <v>65.98</v>
      </c>
      <c r="X193" s="238">
        <v>0.15859999999999999</v>
      </c>
      <c r="Y193" s="260">
        <f>Main[[#This Row],[Cantidad_Min]]*Main[[#This Row],[Precio]]*Main[[#This Row],[Qty]]</f>
        <v>211.25</v>
      </c>
      <c r="Z193">
        <f>_xlfn.XLOOKUP(Main[[#This Row],[Finca]], Fincas[Nombre], Fincas[ID])</f>
        <v>38</v>
      </c>
      <c r="AA193" t="str" cm="1">
        <f t="array" ref="AA19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3" s="2" t="s">
        <v>36</v>
      </c>
      <c r="AC193" s="5"/>
      <c r="AD193" s="244"/>
    </row>
    <row r="194" spans="1:30" x14ac:dyDescent="0.25">
      <c r="A194" s="161" t="s">
        <v>144</v>
      </c>
      <c r="B194" s="162">
        <v>1</v>
      </c>
      <c r="C194" s="162" t="s">
        <v>32</v>
      </c>
      <c r="D194" s="161">
        <v>70</v>
      </c>
      <c r="E194" s="261">
        <v>70</v>
      </c>
      <c r="F194" s="261" t="s">
        <v>228</v>
      </c>
      <c r="G194" t="s">
        <v>229</v>
      </c>
      <c r="H194" s="1" t="s">
        <v>997</v>
      </c>
      <c r="I194" s="259">
        <v>0.5</v>
      </c>
      <c r="J194" s="73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194" s="135">
        <v>1.49</v>
      </c>
      <c r="L194" s="33" cm="1">
        <f t="array" aca="1" ref="L19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94" s="156">
        <f>Guias!$B$6</f>
        <v>46300</v>
      </c>
      <c r="N194" s="234">
        <f>ROUNDUP((Main[[#This Row],[Cost]]*Main[[#This Row],[Import Duties]]),2)</f>
        <v>0.08</v>
      </c>
      <c r="O194">
        <v>0</v>
      </c>
      <c r="P194">
        <v>1</v>
      </c>
      <c r="Q194">
        <v>0</v>
      </c>
      <c r="R194" s="235">
        <f>ROUNDUP(Main[[#This Row],[Transport2]]/Main[[#This Row],[Cantidad_Min]],2)</f>
        <v>0.52</v>
      </c>
      <c r="S194">
        <f>_xlfn.XLOOKUP(Main[[#This Row],[Type of Box]], Cajas[Nombre], Cajas[Largo])</f>
        <v>105</v>
      </c>
      <c r="T194">
        <f>_xlfn.XLOOKUP(Main[[#This Row],[Type of Box]], Cajas[Nombre], Cajas[Ancho])</f>
        <v>17</v>
      </c>
      <c r="U194">
        <f>_xlfn.XLOOKUP(Main[[#This Row],[Type of Box]], Cajas[Nombre], Cajas[Alto])</f>
        <v>17</v>
      </c>
      <c r="V19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4">
        <f>ROUNDUP(((Main[[#This Row],[Volumen]]*5.25))*1.36,2)</f>
        <v>36.119999999999997</v>
      </c>
      <c r="X194" s="238">
        <v>0.15859999999999999</v>
      </c>
      <c r="Y194" s="260">
        <f>Main[[#This Row],[Cantidad_Min]]*Main[[#This Row],[Precio]]*Main[[#This Row],[Qty]]</f>
        <v>104.3</v>
      </c>
      <c r="Z194">
        <f>_xlfn.XLOOKUP(Main[[#This Row],[Finca]], Fincas[Nombre], Fincas[ID])</f>
        <v>82</v>
      </c>
      <c r="AA194" t="str" cm="1">
        <f t="array" ref="AA19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4" s="2" t="s">
        <v>36</v>
      </c>
      <c r="AC194" s="31"/>
      <c r="AD194" t="s">
        <v>230</v>
      </c>
    </row>
    <row r="195" spans="1:30" x14ac:dyDescent="0.25">
      <c r="A195" s="161" t="s">
        <v>156</v>
      </c>
      <c r="B195" s="162">
        <v>1</v>
      </c>
      <c r="C195" s="162" t="s">
        <v>32</v>
      </c>
      <c r="D195" s="161">
        <v>60</v>
      </c>
      <c r="E195" s="261">
        <v>60</v>
      </c>
      <c r="F195" s="261" t="s">
        <v>157</v>
      </c>
      <c r="G195" t="s">
        <v>231</v>
      </c>
      <c r="H195" s="1" t="s">
        <v>998</v>
      </c>
      <c r="I195" s="259">
        <v>0.47</v>
      </c>
      <c r="J195" s="73">
        <f>_xlfn.LET(
  _xlpm.result, 1-((Main[[#This Row],[Cost]]+Main[[#This Row],[Duties]]+Main[[#This Row],[Transport]])/((Main[[#This Row],[Precio]]*0.96))),
  IF(_xlpm.result&lt;0, "BAJO", IF(_xlpm.result&gt;1, "ALTO", _xlpm.result))
)</f>
        <v>0.18903803131991048</v>
      </c>
      <c r="K195" s="135">
        <v>1.49</v>
      </c>
      <c r="L195" s="33" cm="1">
        <f t="array" aca="1" ref="L19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95" s="156">
        <f>Guias!$B$6</f>
        <v>46300</v>
      </c>
      <c r="N195" s="234">
        <f>ROUNDUP((Main[[#This Row],[Cost]]*Main[[#This Row],[Import Duties]]),2)</f>
        <v>0.08</v>
      </c>
      <c r="O195">
        <v>0</v>
      </c>
      <c r="P195">
        <v>1</v>
      </c>
      <c r="Q195">
        <v>0</v>
      </c>
      <c r="R195" s="235">
        <f>ROUNDUP(Main[[#This Row],[Transport2]]/Main[[#This Row],[Cantidad_Min]],2)</f>
        <v>0.61</v>
      </c>
      <c r="S195">
        <f>_xlfn.XLOOKUP(Main[[#This Row],[Type of Box]], Cajas[Nombre], Cajas[Largo])</f>
        <v>105</v>
      </c>
      <c r="T195">
        <f>_xlfn.XLOOKUP(Main[[#This Row],[Type of Box]], Cajas[Nombre], Cajas[Ancho])</f>
        <v>17</v>
      </c>
      <c r="U195">
        <f>_xlfn.XLOOKUP(Main[[#This Row],[Type of Box]], Cajas[Nombre], Cajas[Alto])</f>
        <v>17</v>
      </c>
      <c r="V19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5">
        <f>ROUNDUP(((Main[[#This Row],[Volumen]]*5.25))*1.36,2)</f>
        <v>36.119999999999997</v>
      </c>
      <c r="X195" s="238">
        <v>0.15859999999999999</v>
      </c>
      <c r="Y195" s="260">
        <f>Main[[#This Row],[Cantidad_Min]]*Main[[#This Row],[Precio]]*Main[[#This Row],[Qty]]</f>
        <v>89.4</v>
      </c>
      <c r="Z195">
        <f>_xlfn.XLOOKUP(Main[[#This Row],[Finca]], Fincas[Nombre], Fincas[ID])</f>
        <v>61</v>
      </c>
      <c r="AA195" t="str" cm="1">
        <f t="array" ref="AA19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95" s="2" t="s">
        <v>36</v>
      </c>
      <c r="AC195" s="31"/>
      <c r="AD195" t="s">
        <v>136</v>
      </c>
    </row>
    <row r="196" spans="1:30" x14ac:dyDescent="0.25">
      <c r="A196" s="161" t="s">
        <v>134</v>
      </c>
      <c r="B196" s="162">
        <v>2</v>
      </c>
      <c r="C196" s="162" t="s">
        <v>32</v>
      </c>
      <c r="D196" s="161">
        <v>8</v>
      </c>
      <c r="E196" s="261">
        <v>8</v>
      </c>
      <c r="F196" s="261" t="s">
        <v>197</v>
      </c>
      <c r="G196" t="s">
        <v>232</v>
      </c>
      <c r="H196" s="1" t="s">
        <v>999</v>
      </c>
      <c r="I196" s="259">
        <v>2.2999999999999998</v>
      </c>
      <c r="J196" s="73">
        <f>_xlfn.LET(
  _xlpm.result, 1-((Main[[#This Row],[Cost]]+Main[[#This Row],[Duties]]+Main[[#This Row],[Transport]])/((Main[[#This Row],[Precio]]*0.96))),
  IF(_xlpm.result&lt;0, "BAJO", IF(_xlpm.result&gt;1, "ALTO", _xlpm.result))
)</f>
        <v>0.2023872914447995</v>
      </c>
      <c r="K196" s="135">
        <v>9.39</v>
      </c>
      <c r="L196" s="33" cm="1">
        <f t="array" aca="1" ref="L19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96" s="156">
        <f>Guias!$B$6</f>
        <v>46300</v>
      </c>
      <c r="N196" s="234">
        <f>ROUNDUP((Main[[#This Row],[Cost]]*Main[[#This Row],[Import Duties]]),2)</f>
        <v>0.37</v>
      </c>
      <c r="O196">
        <v>0</v>
      </c>
      <c r="P196">
        <v>1</v>
      </c>
      <c r="Q196">
        <v>0</v>
      </c>
      <c r="R196" s="235">
        <f>ROUNDUP(Main[[#This Row],[Transport2]]/Main[[#This Row],[Cantidad_Min]],2)</f>
        <v>4.5199999999999996</v>
      </c>
      <c r="S196">
        <f>_xlfn.XLOOKUP(Main[[#This Row],[Type of Box]], Cajas[Nombre], Cajas[Largo])</f>
        <v>105</v>
      </c>
      <c r="T196">
        <f>_xlfn.XLOOKUP(Main[[#This Row],[Type of Box]], Cajas[Nombre], Cajas[Ancho])</f>
        <v>17</v>
      </c>
      <c r="U196">
        <f>_xlfn.XLOOKUP(Main[[#This Row],[Type of Box]], Cajas[Nombre], Cajas[Alto])</f>
        <v>17</v>
      </c>
      <c r="V19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6">
        <f>ROUNDUP(((Main[[#This Row],[Volumen]]*5.25))*1.36,2)</f>
        <v>36.119999999999997</v>
      </c>
      <c r="X196" s="238">
        <v>0.15859999999999999</v>
      </c>
      <c r="Y196" s="260">
        <f>Main[[#This Row],[Cantidad_Min]]*Main[[#This Row],[Precio]]*Main[[#This Row],[Qty]]</f>
        <v>150.24</v>
      </c>
      <c r="Z196">
        <f>_xlfn.XLOOKUP(Main[[#This Row],[Finca]], Fincas[Nombre], Fincas[ID])</f>
        <v>74</v>
      </c>
      <c r="AA196" t="str" cm="1">
        <f t="array" ref="AA19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6" s="2" t="s">
        <v>36</v>
      </c>
      <c r="AC196" s="31"/>
      <c r="AD196" t="s">
        <v>665</v>
      </c>
    </row>
    <row r="197" spans="1:30" x14ac:dyDescent="0.25">
      <c r="A197" s="37" t="s">
        <v>134</v>
      </c>
      <c r="B197" s="157">
        <v>3</v>
      </c>
      <c r="C197" s="157" t="s">
        <v>32</v>
      </c>
      <c r="D197" s="37">
        <v>8</v>
      </c>
      <c r="E197">
        <v>8</v>
      </c>
      <c r="F197" t="s">
        <v>197</v>
      </c>
      <c r="G197" t="s">
        <v>232</v>
      </c>
      <c r="H197" s="1" t="s">
        <v>1000</v>
      </c>
      <c r="I197" s="259">
        <v>2.2999999999999998</v>
      </c>
      <c r="J197" s="73">
        <f>_xlfn.LET(
  _xlpm.result, 1-((Main[[#This Row],[Cost]]+Main[[#This Row],[Duties]]+Main[[#This Row],[Transport]])/((Main[[#This Row],[Precio]]*0.96))),
  IF(_xlpm.result&lt;0, "BAJO", IF(_xlpm.result&gt;1, "ALTO", _xlpm.result))
)</f>
        <v>0.2023872914447995</v>
      </c>
      <c r="K197" s="135">
        <v>9.39</v>
      </c>
      <c r="L197" s="33" cm="1">
        <f t="array" aca="1" ref="L19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97" s="156">
        <f>Guias!$B$6</f>
        <v>46300</v>
      </c>
      <c r="N197" s="234">
        <f>ROUNDUP((Main[[#This Row],[Cost]]*Main[[#This Row],[Import Duties]]),2)</f>
        <v>0.37</v>
      </c>
      <c r="O197">
        <v>0</v>
      </c>
      <c r="P197">
        <v>1</v>
      </c>
      <c r="Q197">
        <v>0</v>
      </c>
      <c r="R197" s="235">
        <f>ROUNDUP(Main[[#This Row],[Transport2]]/Main[[#This Row],[Cantidad_Min]],2)</f>
        <v>4.5199999999999996</v>
      </c>
      <c r="S197">
        <f>_xlfn.XLOOKUP(Main[[#This Row],[Type of Box]], Cajas[Nombre], Cajas[Largo])</f>
        <v>105</v>
      </c>
      <c r="T197">
        <f>_xlfn.XLOOKUP(Main[[#This Row],[Type of Box]], Cajas[Nombre], Cajas[Ancho])</f>
        <v>17</v>
      </c>
      <c r="U197">
        <f>_xlfn.XLOOKUP(Main[[#This Row],[Type of Box]], Cajas[Nombre], Cajas[Alto])</f>
        <v>17</v>
      </c>
      <c r="V19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7">
        <f>ROUNDUP(((Main[[#This Row],[Volumen]]*5.25))*1.36,2)</f>
        <v>36.119999999999997</v>
      </c>
      <c r="X197" s="238">
        <v>0.15859999999999999</v>
      </c>
      <c r="Y197" s="260">
        <f>Main[[#This Row],[Cantidad_Min]]*Main[[#This Row],[Precio]]*Main[[#This Row],[Qty]]</f>
        <v>225.36</v>
      </c>
      <c r="Z197">
        <f>_xlfn.XLOOKUP(Main[[#This Row],[Finca]], Fincas[Nombre], Fincas[ID])</f>
        <v>74</v>
      </c>
      <c r="AA197" t="str" cm="1">
        <f t="array" ref="AA19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7" s="2" t="s">
        <v>36</v>
      </c>
      <c r="AC197" s="31"/>
      <c r="AD197" s="72"/>
    </row>
    <row r="198" spans="1:30" x14ac:dyDescent="0.25">
      <c r="A198" s="161" t="s">
        <v>134</v>
      </c>
      <c r="B198" s="162">
        <v>1</v>
      </c>
      <c r="C198" s="162" t="s">
        <v>32</v>
      </c>
      <c r="D198" s="161">
        <v>70</v>
      </c>
      <c r="E198" s="261">
        <v>70</v>
      </c>
      <c r="F198" s="261" t="s">
        <v>145</v>
      </c>
      <c r="G198" t="s">
        <v>233</v>
      </c>
      <c r="H198" s="1" t="s">
        <v>1001</v>
      </c>
      <c r="I198" s="259">
        <v>0.41</v>
      </c>
      <c r="J198" s="73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198" s="135">
        <v>1.49</v>
      </c>
      <c r="L198" s="33" cm="1">
        <f t="array" aca="1" ref="L19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98" s="156">
        <f>Guias!$B$6</f>
        <v>46300</v>
      </c>
      <c r="N198" s="234">
        <f>ROUNDUP((Main[[#This Row],[Cost]]*Main[[#This Row],[Import Duties]]),2)</f>
        <v>6.9999999999999993E-2</v>
      </c>
      <c r="O198">
        <v>0</v>
      </c>
      <c r="P198">
        <v>1</v>
      </c>
      <c r="Q198">
        <v>0</v>
      </c>
      <c r="R198" s="235">
        <f>ROUNDUP(Main[[#This Row],[Transport2]]/Main[[#This Row],[Cantidad_Min]],2)</f>
        <v>0.52</v>
      </c>
      <c r="S198">
        <f>_xlfn.XLOOKUP(Main[[#This Row],[Type of Box]], Cajas[Nombre], Cajas[Largo])</f>
        <v>105</v>
      </c>
      <c r="T198">
        <f>_xlfn.XLOOKUP(Main[[#This Row],[Type of Box]], Cajas[Nombre], Cajas[Ancho])</f>
        <v>17</v>
      </c>
      <c r="U198">
        <f>_xlfn.XLOOKUP(Main[[#This Row],[Type of Box]], Cajas[Nombre], Cajas[Alto])</f>
        <v>17</v>
      </c>
      <c r="V19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8">
        <f>ROUNDUP(((Main[[#This Row],[Volumen]]*5.25))*1.36,2)</f>
        <v>36.119999999999997</v>
      </c>
      <c r="X198" s="238">
        <v>0.15859999999999999</v>
      </c>
      <c r="Y198" s="260">
        <f>Main[[#This Row],[Cantidad_Min]]*Main[[#This Row],[Precio]]*Main[[#This Row],[Qty]]</f>
        <v>104.3</v>
      </c>
      <c r="Z198">
        <f>_xlfn.XLOOKUP(Main[[#This Row],[Finca]], Fincas[Nombre], Fincas[ID])</f>
        <v>74</v>
      </c>
      <c r="AA198" t="str" cm="1">
        <f t="array" ref="AA19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98" s="2" t="s">
        <v>36</v>
      </c>
      <c r="AC198" s="31"/>
      <c r="AD198" t="s">
        <v>147</v>
      </c>
    </row>
    <row r="199" spans="1:30" x14ac:dyDescent="0.25">
      <c r="A199" s="161" t="s">
        <v>134</v>
      </c>
      <c r="B199" s="162">
        <v>1</v>
      </c>
      <c r="C199" s="162" t="s">
        <v>32</v>
      </c>
      <c r="D199" s="161">
        <v>70</v>
      </c>
      <c r="E199" s="261">
        <v>70</v>
      </c>
      <c r="F199" s="261" t="s">
        <v>145</v>
      </c>
      <c r="G199" t="s">
        <v>229</v>
      </c>
      <c r="H199" s="1" t="s">
        <v>1002</v>
      </c>
      <c r="I199" s="259">
        <v>0.41</v>
      </c>
      <c r="J199" s="73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199" s="135">
        <v>1.49</v>
      </c>
      <c r="L199" s="33" cm="1">
        <f t="array" aca="1" ref="L19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199" s="156">
        <f>Guias!$B$6</f>
        <v>46300</v>
      </c>
      <c r="N199" s="234">
        <f>ROUNDUP((Main[[#This Row],[Cost]]*Main[[#This Row],[Import Duties]]),2)</f>
        <v>6.9999999999999993E-2</v>
      </c>
      <c r="O199">
        <v>0</v>
      </c>
      <c r="P199">
        <v>1</v>
      </c>
      <c r="Q199">
        <v>0</v>
      </c>
      <c r="R199" s="235">
        <f>ROUNDUP(Main[[#This Row],[Transport2]]/Main[[#This Row],[Cantidad_Min]],2)</f>
        <v>0.52</v>
      </c>
      <c r="S199">
        <f>_xlfn.XLOOKUP(Main[[#This Row],[Type of Box]], Cajas[Nombre], Cajas[Largo])</f>
        <v>105</v>
      </c>
      <c r="T199">
        <f>_xlfn.XLOOKUP(Main[[#This Row],[Type of Box]], Cajas[Nombre], Cajas[Ancho])</f>
        <v>17</v>
      </c>
      <c r="U199">
        <f>_xlfn.XLOOKUP(Main[[#This Row],[Type of Box]], Cajas[Nombre], Cajas[Alto])</f>
        <v>17</v>
      </c>
      <c r="V19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9">
        <f>ROUNDUP(((Main[[#This Row],[Volumen]]*5.25))*1.36,2)</f>
        <v>36.119999999999997</v>
      </c>
      <c r="X199" s="238">
        <v>0.15859999999999999</v>
      </c>
      <c r="Y199" s="260">
        <f>Main[[#This Row],[Cantidad_Min]]*Main[[#This Row],[Precio]]*Main[[#This Row],[Qty]]</f>
        <v>104.3</v>
      </c>
      <c r="Z199">
        <f>_xlfn.XLOOKUP(Main[[#This Row],[Finca]], Fincas[Nombre], Fincas[ID])</f>
        <v>74</v>
      </c>
      <c r="AA199" t="str" cm="1">
        <f t="array" ref="AA19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99" s="2" t="s">
        <v>36</v>
      </c>
      <c r="AC199" s="31"/>
      <c r="AD199" t="s">
        <v>75</v>
      </c>
    </row>
    <row r="200" spans="1:30" x14ac:dyDescent="0.25">
      <c r="A200" s="161" t="s">
        <v>134</v>
      </c>
      <c r="B200" s="162">
        <v>1</v>
      </c>
      <c r="C200" s="162" t="s">
        <v>32</v>
      </c>
      <c r="D200" s="161">
        <v>70</v>
      </c>
      <c r="E200" s="261">
        <v>70</v>
      </c>
      <c r="F200" s="261" t="s">
        <v>145</v>
      </c>
      <c r="G200" t="s">
        <v>229</v>
      </c>
      <c r="H200" s="1" t="s">
        <v>1003</v>
      </c>
      <c r="I200" s="259">
        <v>0.41</v>
      </c>
      <c r="J200" s="73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200" s="135">
        <v>1.49</v>
      </c>
      <c r="L200" s="33" cm="1">
        <f t="array" aca="1" ref="L20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200" s="156">
        <f>Guias!$B$6</f>
        <v>46300</v>
      </c>
      <c r="N200" s="234">
        <f>ROUNDUP((Main[[#This Row],[Cost]]*Main[[#This Row],[Import Duties]]),2)</f>
        <v>6.9999999999999993E-2</v>
      </c>
      <c r="O200">
        <v>0</v>
      </c>
      <c r="P200">
        <v>1</v>
      </c>
      <c r="Q200">
        <v>0</v>
      </c>
      <c r="R200" s="235">
        <f>ROUNDUP(Main[[#This Row],[Transport2]]/Main[[#This Row],[Cantidad_Min]],2)</f>
        <v>0.52</v>
      </c>
      <c r="S200">
        <f>_xlfn.XLOOKUP(Main[[#This Row],[Type of Box]], Cajas[Nombre], Cajas[Largo])</f>
        <v>105</v>
      </c>
      <c r="T200">
        <f>_xlfn.XLOOKUP(Main[[#This Row],[Type of Box]], Cajas[Nombre], Cajas[Ancho])</f>
        <v>17</v>
      </c>
      <c r="U200">
        <f>_xlfn.XLOOKUP(Main[[#This Row],[Type of Box]], Cajas[Nombre], Cajas[Alto])</f>
        <v>17</v>
      </c>
      <c r="V20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0">
        <f>ROUNDUP(((Main[[#This Row],[Volumen]]*5.25))*1.36,2)</f>
        <v>36.119999999999997</v>
      </c>
      <c r="X200" s="238">
        <v>0.15859999999999999</v>
      </c>
      <c r="Y200" s="260">
        <f>Main[[#This Row],[Cantidad_Min]]*Main[[#This Row],[Precio]]*Main[[#This Row],[Qty]]</f>
        <v>104.3</v>
      </c>
      <c r="Z200">
        <f>_xlfn.XLOOKUP(Main[[#This Row],[Finca]], Fincas[Nombre], Fincas[ID])</f>
        <v>74</v>
      </c>
      <c r="AA200" t="str" cm="1">
        <f t="array" ref="AA20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200" s="2" t="s">
        <v>36</v>
      </c>
      <c r="AC200" s="31"/>
      <c r="AD200" t="s">
        <v>75</v>
      </c>
    </row>
    <row r="201" spans="1:30" x14ac:dyDescent="0.25">
      <c r="A201" s="37" t="s">
        <v>178</v>
      </c>
      <c r="B201" s="157">
        <v>5</v>
      </c>
      <c r="C201" s="157" t="s">
        <v>32</v>
      </c>
      <c r="D201" s="37">
        <v>40</v>
      </c>
      <c r="E201">
        <v>40</v>
      </c>
      <c r="F201" t="s">
        <v>165</v>
      </c>
      <c r="G201" t="s">
        <v>651</v>
      </c>
      <c r="H201" s="1" t="s">
        <v>1004</v>
      </c>
      <c r="I201" s="259">
        <v>0.27</v>
      </c>
      <c r="J201" s="73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201" s="135">
        <v>1.69</v>
      </c>
      <c r="L201" s="33" cm="1">
        <f t="array" aca="1" ref="L20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201" s="156">
        <f>Guias!$B$6</f>
        <v>46300</v>
      </c>
      <c r="N201" s="234">
        <f>ROUNDUP((Main[[#This Row],[Cost]]*Main[[#This Row],[Import Duties]]),2)</f>
        <v>0.05</v>
      </c>
      <c r="O201">
        <v>0</v>
      </c>
      <c r="P201">
        <v>1</v>
      </c>
      <c r="Q201">
        <v>0</v>
      </c>
      <c r="R201" s="235">
        <f>ROUNDUP(Main[[#This Row],[Transport2]]/Main[[#This Row],[Cantidad_Min]],2)</f>
        <v>0.91</v>
      </c>
      <c r="S201">
        <f>_xlfn.XLOOKUP(Main[[#This Row],[Type of Box]], Cajas[Nombre], Cajas[Largo])</f>
        <v>105</v>
      </c>
      <c r="T201">
        <f>_xlfn.XLOOKUP(Main[[#This Row],[Type of Box]], Cajas[Nombre], Cajas[Ancho])</f>
        <v>17</v>
      </c>
      <c r="U201">
        <f>_xlfn.XLOOKUP(Main[[#This Row],[Type of Box]], Cajas[Nombre], Cajas[Alto])</f>
        <v>17</v>
      </c>
      <c r="V20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1">
        <f>ROUNDUP(((Main[[#This Row],[Volumen]]*5.25))*1.36,2)</f>
        <v>36.119999999999997</v>
      </c>
      <c r="X201" s="238">
        <v>0.15859999999999999</v>
      </c>
      <c r="Y201" s="260">
        <f>Main[[#This Row],[Cantidad_Min]]*Main[[#This Row],[Precio]]*Main[[#This Row],[Qty]]</f>
        <v>338</v>
      </c>
      <c r="Z201">
        <f>_xlfn.XLOOKUP(Main[[#This Row],[Finca]], Fincas[Nombre], Fincas[ID])</f>
        <v>75</v>
      </c>
      <c r="AA201" t="str" cm="1">
        <f t="array" ref="AA20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1" s="2" t="s">
        <v>36</v>
      </c>
      <c r="AC201" s="31"/>
      <c r="AD201" s="72"/>
    </row>
    <row r="202" spans="1:30" x14ac:dyDescent="0.25">
      <c r="A202" s="37" t="s">
        <v>60</v>
      </c>
      <c r="B202" s="157">
        <v>4</v>
      </c>
      <c r="C202" s="157" t="s">
        <v>32</v>
      </c>
      <c r="D202" s="37">
        <v>1</v>
      </c>
      <c r="E202">
        <v>1</v>
      </c>
      <c r="F202" t="s">
        <v>139</v>
      </c>
      <c r="G202" t="s">
        <v>652</v>
      </c>
      <c r="H202" s="1" t="s">
        <v>1005</v>
      </c>
      <c r="I202" s="259">
        <f>1.5*18</f>
        <v>27</v>
      </c>
      <c r="J202" s="73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202" s="135">
        <v>89.99</v>
      </c>
      <c r="L202" s="33" cm="1">
        <f t="array" aca="1" ref="L20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202" s="156">
        <f>Guias!$B$6</f>
        <v>46300</v>
      </c>
      <c r="N202" s="234">
        <f>ROUNDUP((Main[[#This Row],[Cost]]*Main[[#This Row],[Import Duties]]),2)</f>
        <v>4.29</v>
      </c>
      <c r="O202">
        <v>0</v>
      </c>
      <c r="P202">
        <v>1</v>
      </c>
      <c r="Q202">
        <v>0</v>
      </c>
      <c r="R202" s="235">
        <f>ROUNDUP(Main[[#This Row],[Transport2]]/Main[[#This Row],[Cantidad_Min]],2)</f>
        <v>36.119999999999997</v>
      </c>
      <c r="S202">
        <f>_xlfn.XLOOKUP(Main[[#This Row],[Type of Box]], Cajas[Nombre], Cajas[Largo])</f>
        <v>105</v>
      </c>
      <c r="T202">
        <f>_xlfn.XLOOKUP(Main[[#This Row],[Type of Box]], Cajas[Nombre], Cajas[Ancho])</f>
        <v>17</v>
      </c>
      <c r="U202">
        <f>_xlfn.XLOOKUP(Main[[#This Row],[Type of Box]], Cajas[Nombre], Cajas[Alto])</f>
        <v>17</v>
      </c>
      <c r="V20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2">
        <f>ROUNDUP(((Main[[#This Row],[Volumen]]*5.25))*1.36,2)</f>
        <v>36.119999999999997</v>
      </c>
      <c r="X202" s="238">
        <v>0.15859999999999999</v>
      </c>
      <c r="Y202" s="260">
        <f>Main[[#This Row],[Cantidad_Min]]*Main[[#This Row],[Precio]]*Main[[#This Row],[Qty]]</f>
        <v>359.96</v>
      </c>
      <c r="Z202">
        <f>_xlfn.XLOOKUP(Main[[#This Row],[Finca]], Fincas[Nombre], Fincas[ID])</f>
        <v>40</v>
      </c>
      <c r="AA202" t="str" cm="1">
        <f t="array" ref="AA20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2" s="2" t="s">
        <v>36</v>
      </c>
      <c r="AC202" s="31"/>
    </row>
    <row r="203" spans="1:30" x14ac:dyDescent="0.25">
      <c r="A203" s="257" t="s">
        <v>67</v>
      </c>
      <c r="B203" s="258">
        <v>5</v>
      </c>
      <c r="C203" s="258" t="s">
        <v>32</v>
      </c>
      <c r="D203" s="257">
        <v>50</v>
      </c>
      <c r="E203" s="237">
        <v>50</v>
      </c>
      <c r="F203" s="237" t="s">
        <v>211</v>
      </c>
      <c r="G203" t="s">
        <v>234</v>
      </c>
      <c r="H203" s="1" t="s">
        <v>1006</v>
      </c>
      <c r="I203" s="259">
        <v>0.36</v>
      </c>
      <c r="J203" s="73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203" s="135">
        <v>1.59</v>
      </c>
      <c r="L203" s="33" cm="1">
        <f t="array" aca="1" ref="L20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16941</v>
      </c>
      <c r="M203" s="156">
        <f>Guias!$B$5</f>
        <v>46298</v>
      </c>
      <c r="N203" s="234">
        <f>ROUNDUP((Main[[#This Row],[Cost]]*Main[[#This Row],[Import Duties]]),2)</f>
        <v>6.0000000000000005E-2</v>
      </c>
      <c r="O203">
        <v>0</v>
      </c>
      <c r="P203">
        <v>1</v>
      </c>
      <c r="Q203">
        <v>0</v>
      </c>
      <c r="R203" s="235">
        <f>ROUNDUP(Main[[#This Row],[Transport2]]/Main[[#This Row],[Cantidad_Min]],2)</f>
        <v>0.73</v>
      </c>
      <c r="S203">
        <f>_xlfn.XLOOKUP(Main[[#This Row],[Type of Box]], Cajas[Nombre], Cajas[Largo])</f>
        <v>105</v>
      </c>
      <c r="T203">
        <f>_xlfn.XLOOKUP(Main[[#This Row],[Type of Box]], Cajas[Nombre], Cajas[Ancho])</f>
        <v>17</v>
      </c>
      <c r="U203">
        <f>_xlfn.XLOOKUP(Main[[#This Row],[Type of Box]], Cajas[Nombre], Cajas[Alto])</f>
        <v>17</v>
      </c>
      <c r="V20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3">
        <f>ROUNDUP(((Main[[#This Row],[Volumen]]*5.25))*1.36,2)</f>
        <v>36.119999999999997</v>
      </c>
      <c r="X203" s="238">
        <v>0.15859999999999999</v>
      </c>
      <c r="Y203" s="260">
        <f>Main[[#This Row],[Cantidad_Min]]*Main[[#This Row],[Precio]]*Main[[#This Row],[Qty]]</f>
        <v>397.5</v>
      </c>
      <c r="Z203">
        <f>_xlfn.XLOOKUP(Main[[#This Row],[Finca]], Fincas[Nombre], Fincas[ID])</f>
        <v>23</v>
      </c>
      <c r="AA203" t="str" cm="1">
        <f t="array" ref="AA20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3" s="2" t="s">
        <v>36</v>
      </c>
      <c r="AC203" s="31"/>
    </row>
  </sheetData>
  <phoneticPr fontId="20" type="noConversion"/>
  <conditionalFormatting sqref="B1:B1048576">
    <cfRule type="expression" dxfId="21" priority="2">
      <formula>AND(B1=0, B1&lt;&gt;"")</formula>
    </cfRule>
  </conditionalFormatting>
  <conditionalFormatting sqref="J1:J1048576">
    <cfRule type="expression" dxfId="20" priority="1">
      <formula>AND(ISNUMBER(J1), J1&lt;20%)</formula>
    </cfRule>
  </conditionalFormatting>
  <conditionalFormatting sqref="L1:L203">
    <cfRule type="cellIs" dxfId="19" priority="6" operator="equal">
      <formula>"ERROR P"</formula>
    </cfRule>
    <cfRule type="cellIs" dxfId="18" priority="9" operator="equal">
      <formula>"ERROR F"</formula>
    </cfRule>
  </conditionalFormatting>
  <conditionalFormatting sqref="L1:L1048576">
    <cfRule type="cellIs" dxfId="17" priority="3" operator="equal">
      <formula>"ERROR S"</formula>
    </cfRule>
    <cfRule type="cellIs" dxfId="16" priority="5" operator="equal">
      <formula>"ERROR V"</formula>
    </cfRule>
  </conditionalFormatting>
  <conditionalFormatting sqref="AB1:AB1048576">
    <cfRule type="cellIs" dxfId="15" priority="4" operator="equal">
      <formula>"N"</formula>
    </cfRule>
  </conditionalFormatting>
  <dataValidations count="2">
    <dataValidation type="list" allowBlank="1" showInputMessage="1" showErrorMessage="1" sqref="C2:C203" xr:uid="{4F3C206C-3B87-4155-9201-C7B4F0A4EC13}">
      <formula1>INDIRECT("Cajas[Nombre]")</formula1>
    </dataValidation>
    <dataValidation type="list" allowBlank="1" showInputMessage="1" showErrorMessage="1" sqref="A2:A203" xr:uid="{446AF015-CD9F-40B6-A7B4-BA2FAF9BA4E0}">
      <formula1>INDIRECT("Fincas[Nombre]")</formula1>
    </dataValidation>
  </dataValidations>
  <pageMargins left="0.7" right="0.7" top="0.75" bottom="0.75" header="0.3" footer="0.3"/>
  <pageSetup paperSize="9" scale="2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FF00"/>
  </sheetPr>
  <dimension ref="B1:U177"/>
  <sheetViews>
    <sheetView workbookViewId="0">
      <pane ySplit="7" topLeftCell="A11" activePane="bottomLeft" state="frozen"/>
      <selection pane="bottomLeft" activeCell="U2" sqref="U2:U3"/>
    </sheetView>
  </sheetViews>
  <sheetFormatPr defaultColWidth="9.140625" defaultRowHeight="15" x14ac:dyDescent="0.25"/>
  <cols>
    <col min="1" max="1" width="3.85546875" customWidth="1"/>
    <col min="2" max="2" width="26.140625" bestFit="1" customWidth="1"/>
    <col min="3" max="3" width="10.28515625" bestFit="1" customWidth="1"/>
    <col min="4" max="4" width="11.140625" bestFit="1" customWidth="1"/>
    <col min="5" max="5" width="9.28515625" bestFit="1" customWidth="1"/>
    <col min="6" max="6" width="10.140625" customWidth="1"/>
    <col min="7" max="7" width="3.28515625" customWidth="1"/>
    <col min="8" max="8" width="12.85546875" customWidth="1"/>
    <col min="9" max="9" width="13.85546875" customWidth="1"/>
    <col min="10" max="10" width="13.140625" customWidth="1"/>
    <col min="11" max="11" width="7.7109375" customWidth="1"/>
    <col min="12" max="12" width="7.42578125" customWidth="1"/>
    <col min="20" max="20" width="3.28515625" customWidth="1"/>
  </cols>
  <sheetData>
    <row r="1" spans="2:21" ht="15.75" thickBot="1" x14ac:dyDescent="0.3">
      <c r="B1" s="1" t="s">
        <v>6</v>
      </c>
      <c r="C1" s="154" t="s">
        <v>235</v>
      </c>
      <c r="D1" s="154" t="s">
        <v>19</v>
      </c>
      <c r="E1" s="154" t="s">
        <v>20</v>
      </c>
      <c r="F1" s="155" t="s">
        <v>236</v>
      </c>
      <c r="G1" s="274" t="s">
        <v>237</v>
      </c>
      <c r="H1" s="152" t="s">
        <v>18</v>
      </c>
      <c r="I1" s="153" t="s">
        <v>238</v>
      </c>
      <c r="J1" s="153" t="s">
        <v>239</v>
      </c>
      <c r="K1" s="275" t="s">
        <v>240</v>
      </c>
      <c r="L1" s="182" t="s">
        <v>241</v>
      </c>
      <c r="M1" s="1" t="s">
        <v>242</v>
      </c>
      <c r="N1" s="1" t="s">
        <v>243</v>
      </c>
      <c r="O1" s="1" t="s">
        <v>244</v>
      </c>
      <c r="P1" s="1" t="s">
        <v>245</v>
      </c>
      <c r="Q1" s="1" t="s">
        <v>246</v>
      </c>
      <c r="R1" s="1" t="s">
        <v>247</v>
      </c>
      <c r="S1" s="1"/>
      <c r="U1" s="8" t="s">
        <v>248</v>
      </c>
    </row>
    <row r="2" spans="2:21" x14ac:dyDescent="0.25">
      <c r="B2" s="293" t="s">
        <v>249</v>
      </c>
      <c r="C2" s="2">
        <v>90</v>
      </c>
      <c r="D2" s="2">
        <v>15</v>
      </c>
      <c r="E2" s="2">
        <v>10</v>
      </c>
      <c r="F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2.25</v>
      </c>
      <c r="G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" s="143">
        <f>ROUNDUP(Cajas[[#This Row],[Largo]]/2.54,2)</f>
        <v>35.44</v>
      </c>
      <c r="I2" s="2">
        <f>ROUNDUP(Cajas[[#This Row],[Ancho]]/2.54,2)</f>
        <v>5.91</v>
      </c>
      <c r="J2" s="146">
        <f>ROUNDUP(Cajas[[#This Row],[Alto]]/2.54,2)</f>
        <v>3.94</v>
      </c>
      <c r="K2" s="146"/>
      <c r="L2" s="2"/>
      <c r="M2" s="2"/>
      <c r="N2" s="2"/>
      <c r="O2" s="2"/>
      <c r="P2" s="2"/>
      <c r="Q2" s="2"/>
      <c r="R2" s="2"/>
      <c r="S2" s="2"/>
      <c r="U2" s="345">
        <v>2</v>
      </c>
    </row>
    <row r="3" spans="2:21" ht="15.75" thickBot="1" x14ac:dyDescent="0.3">
      <c r="B3" s="293" t="s">
        <v>32</v>
      </c>
      <c r="C3" s="2">
        <v>105</v>
      </c>
      <c r="D3" s="2">
        <v>17</v>
      </c>
      <c r="E3" s="2">
        <v>17</v>
      </c>
      <c r="F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5.0575000000000001</v>
      </c>
      <c r="G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" s="143">
        <f>ROUNDUP(Cajas[[#This Row],[Largo]]/2.54,2)</f>
        <v>41.339999999999996</v>
      </c>
      <c r="I3" s="2">
        <f>ROUNDUP(Cajas[[#This Row],[Ancho]]/2.54,2)</f>
        <v>6.7</v>
      </c>
      <c r="J3" s="146">
        <f>ROUNDUP(Cajas[[#This Row],[Alto]]/2.54,2)</f>
        <v>6.7</v>
      </c>
      <c r="K3" s="146"/>
      <c r="L3" s="2"/>
      <c r="M3" s="2"/>
      <c r="N3" s="2"/>
      <c r="O3" s="2"/>
      <c r="P3" s="2"/>
      <c r="Q3" s="2"/>
      <c r="R3" s="2"/>
      <c r="S3" s="2"/>
      <c r="U3" s="346"/>
    </row>
    <row r="4" spans="2:21" x14ac:dyDescent="0.25">
      <c r="B4" s="293" t="s">
        <v>33</v>
      </c>
      <c r="C4" s="2">
        <v>99</v>
      </c>
      <c r="D4" s="2">
        <v>35</v>
      </c>
      <c r="E4" s="2">
        <v>16</v>
      </c>
      <c r="F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9.24</v>
      </c>
      <c r="G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" s="143">
        <f>ROUNDUP(Cajas[[#This Row],[Largo]]/2.54,2)</f>
        <v>38.979999999999997</v>
      </c>
      <c r="I4" s="2">
        <f>ROUNDUP(Cajas[[#This Row],[Ancho]]/2.54,2)</f>
        <v>13.78</v>
      </c>
      <c r="J4" s="146">
        <f>ROUNDUP(Cajas[[#This Row],[Alto]]/2.54,2)</f>
        <v>6.3</v>
      </c>
      <c r="K4" s="146"/>
      <c r="L4" s="2"/>
      <c r="M4" s="2"/>
      <c r="N4" s="2"/>
      <c r="O4" s="2"/>
      <c r="P4" s="2"/>
      <c r="Q4" s="2"/>
      <c r="R4" s="2"/>
      <c r="S4" s="2"/>
    </row>
    <row r="5" spans="2:21" x14ac:dyDescent="0.25">
      <c r="B5" s="293" t="s">
        <v>43</v>
      </c>
      <c r="C5" s="2">
        <v>105</v>
      </c>
      <c r="D5" s="2">
        <v>35</v>
      </c>
      <c r="E5" s="2">
        <v>33</v>
      </c>
      <c r="F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20.212499999999999</v>
      </c>
      <c r="G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" s="143">
        <f>ROUNDUP(Cajas[[#This Row],[Largo]]/2.54,2)</f>
        <v>41.339999999999996</v>
      </c>
      <c r="I5" s="2">
        <f>ROUNDUP(Cajas[[#This Row],[Ancho]]/2.54,2)</f>
        <v>13.78</v>
      </c>
      <c r="J5" s="146">
        <f>ROUNDUP(Cajas[[#This Row],[Alto]]/2.54,2)</f>
        <v>13</v>
      </c>
      <c r="K5" s="146"/>
      <c r="L5" s="2"/>
      <c r="M5" s="2"/>
      <c r="N5" s="2"/>
      <c r="O5" s="2"/>
      <c r="P5" s="2"/>
      <c r="Q5" s="2"/>
      <c r="R5" s="2"/>
      <c r="S5" s="2"/>
    </row>
    <row r="6" spans="2:21" x14ac:dyDescent="0.25">
      <c r="B6" s="293" t="s">
        <v>131</v>
      </c>
      <c r="C6" s="2">
        <v>39</v>
      </c>
      <c r="D6" s="2">
        <v>30</v>
      </c>
      <c r="E6" s="2">
        <v>30</v>
      </c>
      <c r="F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5.85</v>
      </c>
      <c r="G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" s="143">
        <f>ROUNDUP(Cajas[[#This Row],[Largo]]/2.54,2)</f>
        <v>15.36</v>
      </c>
      <c r="I6" s="2">
        <f>ROUNDUP(Cajas[[#This Row],[Ancho]]/2.54,2)</f>
        <v>11.82</v>
      </c>
      <c r="J6" s="146">
        <f>ROUNDUP(Cajas[[#This Row],[Alto]]/2.54,2)</f>
        <v>11.82</v>
      </c>
      <c r="K6" s="146"/>
      <c r="L6" s="2"/>
      <c r="M6" s="2"/>
      <c r="N6" s="2"/>
      <c r="O6" s="2"/>
      <c r="P6" s="2"/>
      <c r="Q6" s="2"/>
      <c r="R6" s="2"/>
      <c r="S6" s="2"/>
    </row>
    <row r="7" spans="2:21" x14ac:dyDescent="0.25">
      <c r="B7" s="293" t="s">
        <v>126</v>
      </c>
      <c r="C7" s="2">
        <v>85</v>
      </c>
      <c r="D7" s="2">
        <v>30</v>
      </c>
      <c r="E7" s="2">
        <v>28</v>
      </c>
      <c r="F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11.9</v>
      </c>
      <c r="G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" s="143">
        <f>ROUNDUP(Cajas[[#This Row],[Largo]]/2.54,2)</f>
        <v>33.47</v>
      </c>
      <c r="I7" s="2">
        <f>ROUNDUP(Cajas[[#This Row],[Ancho]]/2.54,2)</f>
        <v>11.82</v>
      </c>
      <c r="J7" s="146">
        <f>ROUNDUP(Cajas[[#This Row],[Alto]]/2.54,2)</f>
        <v>11.03</v>
      </c>
      <c r="K7" s="146"/>
      <c r="L7" s="2"/>
      <c r="M7" s="2"/>
      <c r="N7" s="2"/>
      <c r="O7" s="2"/>
      <c r="P7" s="2"/>
      <c r="Q7" s="2"/>
      <c r="R7" s="2"/>
      <c r="S7" s="2"/>
    </row>
    <row r="8" spans="2:21" x14ac:dyDescent="0.25">
      <c r="B8" s="302" t="s">
        <v>724</v>
      </c>
      <c r="C8" s="2">
        <v>90</v>
      </c>
      <c r="D8" s="2">
        <v>15</v>
      </c>
      <c r="E8" s="2">
        <v>10</v>
      </c>
      <c r="F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3.1280000000000001</v>
      </c>
      <c r="G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" s="143">
        <f>ROUNDUP(Cajas[[#This Row],[Largo]]/2.54,2)</f>
        <v>35.44</v>
      </c>
      <c r="I8" s="2">
        <f>ROUNDUP(Cajas[[#This Row],[Ancho]]/2.54,2)</f>
        <v>5.91</v>
      </c>
      <c r="J8" s="146">
        <f>ROUNDUP(Cajas[[#This Row],[Alto]]/2.54,2)</f>
        <v>3.94</v>
      </c>
      <c r="K8" s="146"/>
      <c r="L8" s="143"/>
      <c r="M8" s="2"/>
      <c r="N8" s="2"/>
      <c r="O8" s="2"/>
      <c r="P8" s="2"/>
      <c r="Q8" s="2"/>
      <c r="R8" s="2"/>
      <c r="S8" s="2"/>
    </row>
    <row r="9" spans="2:21" x14ac:dyDescent="0.25">
      <c r="B9" s="302" t="s">
        <v>725</v>
      </c>
      <c r="C9" s="2">
        <v>105</v>
      </c>
      <c r="D9" s="2">
        <v>17</v>
      </c>
      <c r="E9" s="2">
        <v>16</v>
      </c>
      <c r="F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6.0990000000000002</v>
      </c>
      <c r="G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" s="143">
        <f>ROUNDUP(Cajas[[#This Row],[Largo]]/2.54,2)</f>
        <v>41.339999999999996</v>
      </c>
      <c r="I9" s="2">
        <f>ROUNDUP(Cajas[[#This Row],[Ancho]]/2.54,2)</f>
        <v>6.7</v>
      </c>
      <c r="J9" s="146">
        <f>ROUNDUP(Cajas[[#This Row],[Alto]]/2.54,2)</f>
        <v>6.3</v>
      </c>
      <c r="K9" s="146"/>
      <c r="L9" s="143"/>
      <c r="M9" s="2"/>
      <c r="N9" s="2"/>
      <c r="O9" s="2"/>
      <c r="P9" s="2"/>
      <c r="Q9" s="2"/>
      <c r="R9" s="2"/>
      <c r="S9" s="2"/>
    </row>
    <row r="10" spans="2:21" x14ac:dyDescent="0.25">
      <c r="B10" s="302" t="s">
        <v>726</v>
      </c>
      <c r="C10" s="2">
        <v>105</v>
      </c>
      <c r="D10" s="2">
        <v>32</v>
      </c>
      <c r="E10" s="2">
        <v>18</v>
      </c>
      <c r="F1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12.126666666666667</v>
      </c>
      <c r="G1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" s="143">
        <f>ROUNDUP(Cajas[[#This Row],[Largo]]/2.54,2)</f>
        <v>41.339999999999996</v>
      </c>
      <c r="I10" s="2">
        <f>ROUNDUP(Cajas[[#This Row],[Ancho]]/2.54,2)</f>
        <v>12.6</v>
      </c>
      <c r="J10" s="146">
        <f>ROUNDUP(Cajas[[#This Row],[Alto]]/2.54,2)</f>
        <v>7.09</v>
      </c>
      <c r="K10" s="146"/>
      <c r="L10" s="143"/>
      <c r="M10" s="2"/>
      <c r="N10" s="2"/>
      <c r="O10" s="2"/>
      <c r="P10" s="2"/>
      <c r="Q10" s="2"/>
      <c r="R10" s="2"/>
      <c r="S10" s="2"/>
    </row>
    <row r="11" spans="2:21" x14ac:dyDescent="0.25">
      <c r="B11" s="302" t="s">
        <v>727</v>
      </c>
      <c r="C11" s="2">
        <v>105</v>
      </c>
      <c r="D11" s="2">
        <v>35</v>
      </c>
      <c r="E11" s="2">
        <v>33</v>
      </c>
      <c r="F1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23.094166666666666</v>
      </c>
      <c r="G1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" s="143">
        <f>ROUNDUP(Cajas[[#This Row],[Largo]]/2.54,2)</f>
        <v>41.339999999999996</v>
      </c>
      <c r="I11" s="2">
        <f>ROUNDUP(Cajas[[#This Row],[Ancho]]/2.54,2)</f>
        <v>13.78</v>
      </c>
      <c r="J11" s="146">
        <f>ROUNDUP(Cajas[[#This Row],[Alto]]/2.54,2)</f>
        <v>13</v>
      </c>
      <c r="K11" s="146"/>
      <c r="L11" s="143"/>
      <c r="M11" s="2"/>
      <c r="N11" s="2"/>
      <c r="O11" s="2"/>
      <c r="P11" s="2"/>
      <c r="Q11" s="2"/>
      <c r="R11" s="2"/>
      <c r="S11" s="2"/>
    </row>
    <row r="12" spans="2:21" x14ac:dyDescent="0.25">
      <c r="B12" s="302" t="s">
        <v>728</v>
      </c>
      <c r="C12" s="2">
        <v>55</v>
      </c>
      <c r="D12" s="2">
        <v>30</v>
      </c>
      <c r="E12" s="2">
        <v>30</v>
      </c>
      <c r="F1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9.7279999999999998</v>
      </c>
      <c r="G1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" s="143">
        <f>ROUNDUP(Cajas[[#This Row],[Largo]]/2.54,2)</f>
        <v>21.66</v>
      </c>
      <c r="I12" s="2">
        <f>ROUNDUP(Cajas[[#This Row],[Ancho]]/2.54,2)</f>
        <v>11.82</v>
      </c>
      <c r="J12" s="146">
        <f>ROUNDUP(Cajas[[#This Row],[Alto]]/2.54,2)</f>
        <v>11.82</v>
      </c>
      <c r="K12" s="146"/>
      <c r="L12" s="143"/>
      <c r="M12" s="2"/>
      <c r="N12" s="2"/>
      <c r="O12" s="2"/>
      <c r="P12" s="2"/>
      <c r="Q12" s="2"/>
      <c r="R12" s="2"/>
      <c r="S12" s="2"/>
    </row>
    <row r="13" spans="2:21" ht="15.75" thickBot="1" x14ac:dyDescent="0.3">
      <c r="B13" s="302" t="s">
        <v>729</v>
      </c>
      <c r="C13" s="2">
        <v>110</v>
      </c>
      <c r="D13" s="2">
        <v>30</v>
      </c>
      <c r="E13" s="2">
        <v>28</v>
      </c>
      <c r="F1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17.920000000000002</v>
      </c>
      <c r="G1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" s="143">
        <f>ROUNDUP(Cajas[[#This Row],[Largo]]/2.54,2)</f>
        <v>43.309999999999995</v>
      </c>
      <c r="I13" s="2">
        <f>ROUNDUP(Cajas[[#This Row],[Ancho]]/2.54,2)</f>
        <v>11.82</v>
      </c>
      <c r="J13" s="146">
        <f>ROUNDUP(Cajas[[#This Row],[Alto]]/2.54,2)</f>
        <v>11.03</v>
      </c>
      <c r="K13" s="146"/>
      <c r="L13" s="143"/>
      <c r="M13" s="2"/>
      <c r="N13" s="2"/>
      <c r="O13" s="2"/>
      <c r="P13" s="2"/>
      <c r="Q13" s="2"/>
      <c r="R13" s="2"/>
      <c r="S13" s="2"/>
    </row>
    <row r="14" spans="2:21" x14ac:dyDescent="0.25">
      <c r="B14" s="17" t="s">
        <v>250</v>
      </c>
      <c r="C14" s="18">
        <v>71</v>
      </c>
      <c r="D14" s="18">
        <v>35</v>
      </c>
      <c r="E14" s="18">
        <v>17</v>
      </c>
      <c r="F14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8.5531666666666659</v>
      </c>
      <c r="G14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" s="144">
        <f>ROUNDUP(Cajas[[#This Row],[Largo]]/2.54,2)</f>
        <v>27.96</v>
      </c>
      <c r="I14" s="18">
        <f>ROUNDUP(Cajas[[#This Row],[Ancho]]/2.54,2)</f>
        <v>13.78</v>
      </c>
      <c r="J14" s="147">
        <f>ROUNDUP(Cajas[[#This Row],[Alto]]/2.54,2)</f>
        <v>6.7</v>
      </c>
      <c r="K14" s="147"/>
      <c r="L14" s="2">
        <v>5</v>
      </c>
      <c r="M14" s="2">
        <v>4</v>
      </c>
      <c r="N14" s="2"/>
      <c r="O14" s="2"/>
      <c r="P14" s="2"/>
      <c r="Q14" s="2"/>
      <c r="R14" s="2"/>
      <c r="S14" s="2"/>
    </row>
    <row r="15" spans="2:21" ht="15.75" thickBot="1" x14ac:dyDescent="0.3">
      <c r="B15" s="5" t="s">
        <v>251</v>
      </c>
      <c r="C15" s="2">
        <v>80</v>
      </c>
      <c r="D15" s="2">
        <v>35</v>
      </c>
      <c r="E15" s="2">
        <v>15</v>
      </c>
      <c r="F1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8.5963333333333338</v>
      </c>
      <c r="G15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" s="143">
        <f>ROUNDUP(Cajas[[#This Row],[Largo]]/2.54,2)</f>
        <v>31.5</v>
      </c>
      <c r="I15" s="2">
        <f>ROUNDUP(Cajas[[#This Row],[Ancho]]/2.54,2)</f>
        <v>13.78</v>
      </c>
      <c r="J15" s="146">
        <f>ROUNDUP(Cajas[[#This Row],[Alto]]/2.54,2)</f>
        <v>5.91</v>
      </c>
      <c r="K15" s="146"/>
      <c r="L15" s="2"/>
      <c r="M15" s="2"/>
      <c r="N15" s="2"/>
      <c r="O15" s="2"/>
      <c r="P15" s="2"/>
      <c r="Q15" s="2"/>
      <c r="R15" s="2"/>
      <c r="S15" s="2"/>
    </row>
    <row r="16" spans="2:21" x14ac:dyDescent="0.25">
      <c r="B16" s="17" t="s">
        <v>252</v>
      </c>
      <c r="C16" s="18">
        <v>90</v>
      </c>
      <c r="D16" s="18">
        <v>26</v>
      </c>
      <c r="E16" s="18">
        <v>12.5</v>
      </c>
      <c r="F16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6.2253333333333334</v>
      </c>
      <c r="G16" s="14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" s="144">
        <f>ROUNDUP(Cajas[[#This Row],[Largo]]/2.54,2)</f>
        <v>35.44</v>
      </c>
      <c r="I16" s="18">
        <f>ROUNDUP(Cajas[[#This Row],[Ancho]]/2.54,2)</f>
        <v>10.24</v>
      </c>
      <c r="J16" s="147">
        <f>ROUNDUP(Cajas[[#This Row],[Alto]]/2.54,2)</f>
        <v>4.93</v>
      </c>
      <c r="K16" s="227"/>
      <c r="L16" s="143"/>
      <c r="M16" s="2"/>
      <c r="N16" s="2"/>
      <c r="O16" s="2"/>
      <c r="P16" s="2"/>
      <c r="Q16" s="2"/>
      <c r="R16" s="2"/>
      <c r="S16" s="2"/>
    </row>
    <row r="17" spans="2:19" x14ac:dyDescent="0.25">
      <c r="B17" s="5" t="s">
        <v>253</v>
      </c>
      <c r="C17" s="2">
        <v>90</v>
      </c>
      <c r="D17" s="2">
        <v>26</v>
      </c>
      <c r="E17" s="2">
        <v>15</v>
      </c>
      <c r="F1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7.2986666666666666</v>
      </c>
      <c r="G1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" s="143">
        <f>ROUNDUP(Cajas[[#This Row],[Largo]]/2.54,2)</f>
        <v>35.44</v>
      </c>
      <c r="I17" s="2">
        <f>ROUNDUP(Cajas[[#This Row],[Ancho]]/2.54,2)</f>
        <v>10.24</v>
      </c>
      <c r="J17" s="146">
        <f>ROUNDUP(Cajas[[#This Row],[Alto]]/2.54,2)</f>
        <v>5.91</v>
      </c>
      <c r="K17" s="228"/>
      <c r="L17" s="143"/>
      <c r="M17" s="2"/>
      <c r="N17" s="2"/>
      <c r="O17" s="2"/>
      <c r="P17" s="2"/>
      <c r="Q17" s="2"/>
      <c r="R17" s="2"/>
      <c r="S17" s="2"/>
    </row>
    <row r="18" spans="2:19" x14ac:dyDescent="0.25">
      <c r="B18" s="5" t="s">
        <v>254</v>
      </c>
      <c r="C18" s="2">
        <v>104.4</v>
      </c>
      <c r="D18" s="2">
        <v>25</v>
      </c>
      <c r="E18" s="2">
        <v>15</v>
      </c>
      <c r="F1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8.1396000000000015</v>
      </c>
      <c r="G1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" s="143">
        <f>ROUNDUP(Cajas[[#This Row],[Largo]]/2.54,2)</f>
        <v>41.11</v>
      </c>
      <c r="I18" s="2">
        <f>ROUNDUP(Cajas[[#This Row],[Ancho]]/2.54,2)</f>
        <v>9.85</v>
      </c>
      <c r="J18" s="146">
        <f>ROUNDUP(Cajas[[#This Row],[Alto]]/2.54,2)</f>
        <v>5.91</v>
      </c>
      <c r="K18" s="228"/>
      <c r="L18" s="143"/>
      <c r="M18" s="2"/>
      <c r="N18" s="2"/>
      <c r="O18" s="2"/>
      <c r="P18" s="2"/>
      <c r="Q18" s="2"/>
      <c r="R18" s="2"/>
      <c r="S18" s="2"/>
    </row>
    <row r="19" spans="2:19" x14ac:dyDescent="0.25">
      <c r="B19" s="5" t="s">
        <v>255</v>
      </c>
      <c r="C19" s="2">
        <v>103</v>
      </c>
      <c r="D19" s="2">
        <v>30</v>
      </c>
      <c r="E19" s="2">
        <v>20</v>
      </c>
      <c r="F1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12.32</v>
      </c>
      <c r="G1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9" s="143">
        <f>ROUNDUP(Cajas[[#This Row],[Largo]]/2.54,2)</f>
        <v>40.559999999999995</v>
      </c>
      <c r="I19" s="2">
        <f>ROUNDUP(Cajas[[#This Row],[Ancho]]/2.54,2)</f>
        <v>11.82</v>
      </c>
      <c r="J19" s="146">
        <f>ROUNDUP(Cajas[[#This Row],[Alto]]/2.54,2)</f>
        <v>7.88</v>
      </c>
      <c r="K19" s="228"/>
      <c r="L19" s="143"/>
      <c r="M19" s="2"/>
      <c r="N19" s="2"/>
      <c r="O19" s="2"/>
      <c r="P19" s="2"/>
      <c r="Q19" s="2"/>
      <c r="R19" s="2"/>
      <c r="S19" s="2"/>
    </row>
    <row r="20" spans="2:19" ht="15.75" thickBot="1" x14ac:dyDescent="0.3">
      <c r="B20" s="76" t="s">
        <v>256</v>
      </c>
      <c r="C20" s="77">
        <v>103.6</v>
      </c>
      <c r="D20" s="77">
        <v>35</v>
      </c>
      <c r="E20" s="77">
        <v>25</v>
      </c>
      <c r="F2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17.5824</v>
      </c>
      <c r="G2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0" s="145">
        <f>ROUNDUP(Cajas[[#This Row],[Largo]]/2.54,2)</f>
        <v>40.79</v>
      </c>
      <c r="I20" s="77">
        <f>ROUNDUP(Cajas[[#This Row],[Ancho]]/2.54,2)</f>
        <v>13.78</v>
      </c>
      <c r="J20" s="148">
        <f>ROUNDUP(Cajas[[#This Row],[Alto]]/2.54,2)</f>
        <v>9.85</v>
      </c>
      <c r="K20" s="229"/>
      <c r="L20" s="143"/>
      <c r="M20" s="2"/>
      <c r="N20" s="2"/>
      <c r="O20" s="2"/>
      <c r="P20" s="2"/>
      <c r="Q20" s="2"/>
      <c r="R20" s="2"/>
      <c r="S20" s="2"/>
    </row>
    <row r="21" spans="2:19" x14ac:dyDescent="0.25">
      <c r="B21" s="5" t="s">
        <v>257</v>
      </c>
      <c r="C21" s="2">
        <v>120</v>
      </c>
      <c r="D21" s="2">
        <v>35</v>
      </c>
      <c r="E21" s="2">
        <v>35</v>
      </c>
      <c r="F21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21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1" s="143">
        <f>ROUNDUP(Cajas[[#This Row],[Largo]]/2.54,2)</f>
        <v>47.25</v>
      </c>
      <c r="I21" s="2">
        <f>ROUNDUP(Cajas[[#This Row],[Ancho]]/2.54,2)</f>
        <v>13.78</v>
      </c>
      <c r="J21" s="146">
        <f>ROUNDUP(Cajas[[#This Row],[Alto]]/2.54,2)</f>
        <v>13.78</v>
      </c>
      <c r="K21" s="146"/>
      <c r="L21" s="2" t="s">
        <v>258</v>
      </c>
      <c r="M21" s="2" t="s">
        <v>259</v>
      </c>
      <c r="N21" s="2" t="s">
        <v>260</v>
      </c>
      <c r="O21" s="2" t="s">
        <v>261</v>
      </c>
      <c r="P21" s="2" t="s">
        <v>262</v>
      </c>
      <c r="Q21" s="2"/>
      <c r="R21" s="2"/>
      <c r="S21" s="2"/>
    </row>
    <row r="22" spans="2:19" x14ac:dyDescent="0.25">
      <c r="B22" s="5" t="s">
        <v>263</v>
      </c>
      <c r="C22" s="2">
        <v>105</v>
      </c>
      <c r="D22" s="2">
        <v>35</v>
      </c>
      <c r="E22" s="2">
        <v>35</v>
      </c>
      <c r="F2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22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2" s="143">
        <f>ROUNDUP(Cajas[[#This Row],[Largo]]/2.54,2)</f>
        <v>41.339999999999996</v>
      </c>
      <c r="I22" s="2">
        <f>ROUNDUP(Cajas[[#This Row],[Ancho]]/2.54,2)</f>
        <v>13.78</v>
      </c>
      <c r="J22" s="146">
        <f>ROUNDUP(Cajas[[#This Row],[Alto]]/2.54,2)</f>
        <v>13.78</v>
      </c>
      <c r="K22" s="146"/>
      <c r="L22" s="2" t="s">
        <v>260</v>
      </c>
      <c r="M22" s="2" t="s">
        <v>261</v>
      </c>
      <c r="N22" s="2" t="s">
        <v>261</v>
      </c>
      <c r="O22" s="2" t="s">
        <v>264</v>
      </c>
      <c r="P22" s="2" t="s">
        <v>265</v>
      </c>
      <c r="Q22" s="2"/>
      <c r="R22" s="2"/>
      <c r="S22" s="2"/>
    </row>
    <row r="23" spans="2:19" x14ac:dyDescent="0.25">
      <c r="B23" s="5" t="s">
        <v>266</v>
      </c>
      <c r="C23" s="2">
        <v>105</v>
      </c>
      <c r="D23" s="2">
        <v>30</v>
      </c>
      <c r="E23" s="2">
        <v>30</v>
      </c>
      <c r="F2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23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3" s="143">
        <f>ROUNDUP(Cajas[[#This Row],[Largo]]/2.54,2)</f>
        <v>41.339999999999996</v>
      </c>
      <c r="I23" s="2">
        <f>ROUNDUP(Cajas[[#This Row],[Ancho]]/2.54,2)</f>
        <v>11.82</v>
      </c>
      <c r="J23" s="146">
        <f>ROUNDUP(Cajas[[#This Row],[Alto]]/2.54,2)</f>
        <v>11.82</v>
      </c>
      <c r="K23" s="146"/>
      <c r="L23" s="2" t="s">
        <v>267</v>
      </c>
      <c r="M23" s="2" t="s">
        <v>264</v>
      </c>
      <c r="N23" s="2" t="s">
        <v>268</v>
      </c>
      <c r="O23" s="2" t="s">
        <v>269</v>
      </c>
      <c r="P23" s="2" t="s">
        <v>270</v>
      </c>
      <c r="Q23" s="2"/>
      <c r="R23" s="2"/>
      <c r="S23" s="2"/>
    </row>
    <row r="24" spans="2:19" x14ac:dyDescent="0.25">
      <c r="B24" s="5" t="s">
        <v>271</v>
      </c>
      <c r="C24" s="2">
        <v>106</v>
      </c>
      <c r="D24" s="2">
        <v>31</v>
      </c>
      <c r="E24" s="2">
        <v>15</v>
      </c>
      <c r="F2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10.098000000000001</v>
      </c>
      <c r="G24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4" s="143">
        <f>ROUNDUP(Cajas[[#This Row],[Largo]]/2.54,2)</f>
        <v>41.739999999999995</v>
      </c>
      <c r="I24" s="2">
        <f>ROUNDUP(Cajas[[#This Row],[Ancho]]/2.54,2)</f>
        <v>12.209999999999999</v>
      </c>
      <c r="J24" s="146">
        <f>ROUNDUP(Cajas[[#This Row],[Alto]]/2.54,2)</f>
        <v>5.91</v>
      </c>
      <c r="K24" s="146"/>
      <c r="L24" s="2" t="s">
        <v>272</v>
      </c>
      <c r="M24" s="2" t="s">
        <v>272</v>
      </c>
      <c r="N24" s="2" t="s">
        <v>273</v>
      </c>
      <c r="O24" s="2" t="s">
        <v>274</v>
      </c>
      <c r="P24" s="2"/>
      <c r="Q24" s="2"/>
      <c r="R24" s="2"/>
      <c r="S24" s="2"/>
    </row>
    <row r="25" spans="2:19" x14ac:dyDescent="0.25">
      <c r="B25" s="5" t="s">
        <v>275</v>
      </c>
      <c r="C25" s="2">
        <v>70</v>
      </c>
      <c r="D25" s="2">
        <v>31</v>
      </c>
      <c r="E25" s="2">
        <v>16</v>
      </c>
      <c r="F2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7.1280000000000001</v>
      </c>
      <c r="G25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5" s="143">
        <f>ROUNDUP(Cajas[[#This Row],[Largo]]/2.54,2)</f>
        <v>27.560000000000002</v>
      </c>
      <c r="I25" s="2">
        <f>ROUNDUP(Cajas[[#This Row],[Ancho]]/2.54,2)</f>
        <v>12.209999999999999</v>
      </c>
      <c r="J25" s="146">
        <f>ROUNDUP(Cajas[[#This Row],[Alto]]/2.54,2)</f>
        <v>6.3</v>
      </c>
      <c r="K25" s="146"/>
      <c r="L25" s="2" t="s">
        <v>276</v>
      </c>
      <c r="M25" s="2" t="s">
        <v>276</v>
      </c>
      <c r="N25" s="2"/>
      <c r="O25" s="2"/>
      <c r="P25" s="2"/>
      <c r="Q25" s="2"/>
      <c r="R25" s="2"/>
      <c r="S25" s="2"/>
    </row>
    <row r="26" spans="2:19" x14ac:dyDescent="0.25">
      <c r="B26" s="5" t="s">
        <v>277</v>
      </c>
      <c r="C26" s="2">
        <v>105</v>
      </c>
      <c r="D26" s="2">
        <v>34</v>
      </c>
      <c r="E26" s="2">
        <v>16</v>
      </c>
      <c r="F2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11.555999999999999</v>
      </c>
      <c r="G26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6" s="143">
        <f>ROUNDUP(Cajas[[#This Row],[Largo]]/2.54,2)</f>
        <v>41.339999999999996</v>
      </c>
      <c r="I26" s="2">
        <f>ROUNDUP(Cajas[[#This Row],[Ancho]]/2.54,2)</f>
        <v>13.39</v>
      </c>
      <c r="J26" s="146">
        <f>ROUNDUP(Cajas[[#This Row],[Alto]]/2.54,2)</f>
        <v>6.3</v>
      </c>
      <c r="K26" s="146"/>
      <c r="L26" s="2" t="s">
        <v>270</v>
      </c>
      <c r="M26" s="2" t="s">
        <v>270</v>
      </c>
      <c r="N26" s="2" t="s">
        <v>273</v>
      </c>
      <c r="O26" s="2" t="s">
        <v>276</v>
      </c>
      <c r="P26" s="2" t="s">
        <v>274</v>
      </c>
      <c r="Q26" s="2"/>
      <c r="R26" s="2"/>
      <c r="S26" s="2"/>
    </row>
    <row r="27" spans="2:19" ht="15.75" thickBot="1" x14ac:dyDescent="0.3">
      <c r="B27" s="5" t="s">
        <v>278</v>
      </c>
      <c r="C27" s="2">
        <v>140</v>
      </c>
      <c r="D27" s="2">
        <v>35</v>
      </c>
      <c r="E27" s="2">
        <v>35</v>
      </c>
      <c r="F27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32.399666666666668</v>
      </c>
      <c r="G27" s="229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7" s="143">
        <f>ROUNDUP(Cajas[[#This Row],[Largo]]/2.54,2)</f>
        <v>55.12</v>
      </c>
      <c r="I27" s="2">
        <f>ROUNDUP(Cajas[[#This Row],[Ancho]]/2.54,2)</f>
        <v>13.78</v>
      </c>
      <c r="J27" s="146">
        <f>ROUNDUP(Cajas[[#This Row],[Alto]]/2.54,2)</f>
        <v>13.78</v>
      </c>
      <c r="K27" s="146"/>
      <c r="L27" s="2" t="s">
        <v>279</v>
      </c>
      <c r="M27" s="2" t="s">
        <v>258</v>
      </c>
      <c r="N27" s="2" t="s">
        <v>258</v>
      </c>
      <c r="O27" s="2" t="s">
        <v>260</v>
      </c>
      <c r="P27" s="2" t="s">
        <v>261</v>
      </c>
      <c r="Q27" s="2"/>
      <c r="R27" s="2"/>
      <c r="S27" s="2"/>
    </row>
    <row r="28" spans="2:19" x14ac:dyDescent="0.25">
      <c r="B28" s="17" t="s">
        <v>280</v>
      </c>
      <c r="C28" s="18">
        <v>58</v>
      </c>
      <c r="D28" s="18">
        <v>17.5</v>
      </c>
      <c r="E28" s="18">
        <v>13</v>
      </c>
      <c r="F2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2.9249999999999998</v>
      </c>
      <c r="G2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8" s="144">
        <f>ROUNDUP(Cajas[[#This Row],[Largo]]/2.54,2)</f>
        <v>22.84</v>
      </c>
      <c r="I28" s="18">
        <f>ROUNDUP(Cajas[[#This Row],[Ancho]]/2.54,2)</f>
        <v>6.89</v>
      </c>
      <c r="J28" s="147">
        <f>ROUNDUP(Cajas[[#This Row],[Alto]]/2.54,2)</f>
        <v>5.12</v>
      </c>
      <c r="K28" s="227"/>
      <c r="L28" s="2"/>
      <c r="M28" s="2"/>
      <c r="N28" s="2"/>
      <c r="O28" s="2"/>
      <c r="P28" s="2"/>
      <c r="Q28" s="2"/>
      <c r="R28" s="2"/>
      <c r="S28" s="2"/>
    </row>
    <row r="29" spans="2:19" x14ac:dyDescent="0.25">
      <c r="B29" s="5" t="s">
        <v>281</v>
      </c>
      <c r="C29" s="2">
        <v>64.5</v>
      </c>
      <c r="D29" s="2">
        <v>26.5</v>
      </c>
      <c r="E29" s="2">
        <v>16.5</v>
      </c>
      <c r="F2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5.8436874999999997</v>
      </c>
      <c r="G2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9" s="143">
        <f>ROUNDUP(Cajas[[#This Row],[Largo]]/2.54,2)</f>
        <v>25.400000000000002</v>
      </c>
      <c r="I29" s="2">
        <f>ROUNDUP(Cajas[[#This Row],[Ancho]]/2.54,2)</f>
        <v>10.44</v>
      </c>
      <c r="J29" s="146">
        <f>ROUNDUP(Cajas[[#This Row],[Alto]]/2.54,2)</f>
        <v>6.5</v>
      </c>
      <c r="K29" s="146"/>
      <c r="L29" s="143"/>
      <c r="M29" s="2"/>
      <c r="N29" s="2"/>
      <c r="O29" s="2"/>
      <c r="P29" s="2"/>
      <c r="Q29" s="2"/>
      <c r="R29" s="2"/>
      <c r="S29" s="2"/>
    </row>
    <row r="30" spans="2:19" x14ac:dyDescent="0.25">
      <c r="B30" s="5" t="s">
        <v>282</v>
      </c>
      <c r="C30" s="2">
        <v>73</v>
      </c>
      <c r="D30" s="2">
        <v>13</v>
      </c>
      <c r="E30" s="2">
        <v>23</v>
      </c>
      <c r="F3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4.6875</v>
      </c>
      <c r="G3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0" s="143">
        <f>ROUNDUP(Cajas[[#This Row],[Largo]]/2.54,2)</f>
        <v>28.75</v>
      </c>
      <c r="I30" s="2">
        <f>ROUNDUP(Cajas[[#This Row],[Ancho]]/2.54,2)</f>
        <v>5.12</v>
      </c>
      <c r="J30" s="146">
        <f>ROUNDUP(Cajas[[#This Row],[Alto]]/2.54,2)</f>
        <v>9.06</v>
      </c>
      <c r="K30" s="228"/>
      <c r="L30" s="2"/>
      <c r="M30" s="2"/>
      <c r="N30" s="2"/>
      <c r="O30" s="2"/>
      <c r="P30" s="2"/>
      <c r="Q30" s="2"/>
      <c r="R30" s="2"/>
      <c r="S30" s="2"/>
    </row>
    <row r="31" spans="2:19" x14ac:dyDescent="0.25">
      <c r="B31" s="5" t="s">
        <v>283</v>
      </c>
      <c r="C31" s="2">
        <v>75</v>
      </c>
      <c r="D31" s="2">
        <v>28</v>
      </c>
      <c r="E31" s="2">
        <v>19</v>
      </c>
      <c r="F3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8.0850000000000009</v>
      </c>
      <c r="G3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1" s="143">
        <f>ROUNDUP(Cajas[[#This Row],[Largo]]/2.54,2)</f>
        <v>29.53</v>
      </c>
      <c r="I31" s="2">
        <f>ROUNDUP(Cajas[[#This Row],[Ancho]]/2.54,2)</f>
        <v>11.03</v>
      </c>
      <c r="J31" s="146">
        <f>ROUNDUP(Cajas[[#This Row],[Alto]]/2.54,2)</f>
        <v>7.49</v>
      </c>
      <c r="K31" s="228"/>
      <c r="L31" s="2"/>
      <c r="M31" s="2"/>
      <c r="N31" s="2"/>
      <c r="O31" s="2"/>
      <c r="P31" s="2"/>
      <c r="Q31" s="2"/>
      <c r="R31" s="2"/>
      <c r="S31" s="2"/>
    </row>
    <row r="32" spans="2:19" x14ac:dyDescent="0.25">
      <c r="B32" s="5" t="s">
        <v>284</v>
      </c>
      <c r="C32" s="2">
        <v>75</v>
      </c>
      <c r="D32" s="2">
        <v>34</v>
      </c>
      <c r="E32" s="2">
        <v>16</v>
      </c>
      <c r="F3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8.3160000000000007</v>
      </c>
      <c r="G3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2" s="143">
        <f>ROUNDUP(Cajas[[#This Row],[Largo]]/2.54,2)</f>
        <v>29.53</v>
      </c>
      <c r="I32" s="2">
        <f>ROUNDUP(Cajas[[#This Row],[Ancho]]/2.54,2)</f>
        <v>13.39</v>
      </c>
      <c r="J32" s="146">
        <f>ROUNDUP(Cajas[[#This Row],[Alto]]/2.54,2)</f>
        <v>6.3</v>
      </c>
      <c r="K32" s="146"/>
      <c r="L32" s="143"/>
      <c r="M32" s="2"/>
      <c r="N32" s="2"/>
      <c r="O32" s="2"/>
      <c r="P32" s="2"/>
      <c r="Q32" s="2"/>
      <c r="R32" s="2"/>
      <c r="S32" s="2"/>
    </row>
    <row r="33" spans="2:19" x14ac:dyDescent="0.25">
      <c r="B33" s="5" t="s">
        <v>285</v>
      </c>
      <c r="C33" s="2">
        <v>104</v>
      </c>
      <c r="D33" s="2">
        <v>30</v>
      </c>
      <c r="E33" s="2">
        <v>18</v>
      </c>
      <c r="F3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11.306666666666667</v>
      </c>
      <c r="G3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3" s="143">
        <f>ROUNDUP(Cajas[[#This Row],[Largo]]/2.54,2)</f>
        <v>40.949999999999996</v>
      </c>
      <c r="I33" s="2">
        <f>ROUNDUP(Cajas[[#This Row],[Ancho]]/2.54,2)</f>
        <v>11.82</v>
      </c>
      <c r="J33" s="146">
        <f>ROUNDUP(Cajas[[#This Row],[Alto]]/2.54,2)</f>
        <v>7.09</v>
      </c>
      <c r="K33" s="146"/>
      <c r="L33" s="143"/>
      <c r="M33" s="2"/>
      <c r="N33" s="2"/>
      <c r="O33" s="2"/>
      <c r="P33" s="2"/>
      <c r="Q33" s="2"/>
      <c r="R33" s="2"/>
      <c r="S33" s="2"/>
    </row>
    <row r="34" spans="2:19" x14ac:dyDescent="0.25">
      <c r="B34" s="5" t="s">
        <v>286</v>
      </c>
      <c r="C34" s="2">
        <v>85</v>
      </c>
      <c r="D34" s="2">
        <v>30</v>
      </c>
      <c r="E34" s="2">
        <v>30</v>
      </c>
      <c r="F3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14.848000000000001</v>
      </c>
      <c r="G3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4" s="143">
        <f>ROUNDUP(Cajas[[#This Row],[Largo]]/2.54,2)</f>
        <v>33.47</v>
      </c>
      <c r="I34" s="2">
        <f>ROUNDUP(Cajas[[#This Row],[Ancho]]/2.54,2)</f>
        <v>11.82</v>
      </c>
      <c r="J34" s="146">
        <f>ROUNDUP(Cajas[[#This Row],[Alto]]/2.54,2)</f>
        <v>11.82</v>
      </c>
      <c r="K34" s="146"/>
      <c r="L34" s="143"/>
      <c r="M34" s="2"/>
      <c r="N34" s="2"/>
      <c r="O34" s="2"/>
      <c r="P34" s="2"/>
      <c r="Q34" s="2"/>
      <c r="R34" s="2"/>
      <c r="S34" s="2"/>
    </row>
    <row r="35" spans="2:19" ht="15.75" thickBot="1" x14ac:dyDescent="0.3">
      <c r="B35" s="5" t="s">
        <v>287</v>
      </c>
      <c r="C35" s="2">
        <v>104</v>
      </c>
      <c r="D35" s="2">
        <v>30</v>
      </c>
      <c r="E35" s="2">
        <v>30</v>
      </c>
      <c r="F3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3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5" s="143">
        <f>ROUNDUP(Cajas[[#This Row],[Largo]]/2.54,2)</f>
        <v>40.949999999999996</v>
      </c>
      <c r="I35" s="2">
        <f>ROUNDUP(Cajas[[#This Row],[Ancho]]/2.54,2)</f>
        <v>11.82</v>
      </c>
      <c r="J35" s="146">
        <f>ROUNDUP(Cajas[[#This Row],[Alto]]/2.54,2)</f>
        <v>11.82</v>
      </c>
      <c r="K35" s="146"/>
      <c r="L35" s="143"/>
      <c r="M35" s="2"/>
      <c r="N35" s="2"/>
      <c r="O35" s="2"/>
      <c r="P35" s="2"/>
      <c r="Q35" s="2"/>
      <c r="R35" s="2"/>
      <c r="S35" s="2"/>
    </row>
    <row r="36" spans="2:19" x14ac:dyDescent="0.25">
      <c r="B36" s="17" t="s">
        <v>288</v>
      </c>
      <c r="C36" s="18">
        <v>103</v>
      </c>
      <c r="D36" s="18">
        <v>18.600000000000001</v>
      </c>
      <c r="E36" s="18">
        <v>14.1</v>
      </c>
      <c r="F36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5.8040500000000002</v>
      </c>
      <c r="G3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6" s="144">
        <f>ROUNDUP(Cajas[[#This Row],[Largo]]/2.54,2)</f>
        <v>40.559999999999995</v>
      </c>
      <c r="I36" s="18">
        <f>ROUNDUP(Cajas[[#This Row],[Ancho]]/2.54,2)</f>
        <v>7.33</v>
      </c>
      <c r="J36" s="147">
        <f>ROUNDUP(Cajas[[#This Row],[Alto]]/2.54,2)</f>
        <v>5.56</v>
      </c>
      <c r="K36" s="147"/>
      <c r="L36" s="143"/>
      <c r="M36" s="2"/>
      <c r="N36" s="2"/>
      <c r="O36" s="2"/>
      <c r="P36" s="2"/>
      <c r="Q36" s="2"/>
      <c r="R36" s="2"/>
      <c r="S36" s="2"/>
    </row>
    <row r="37" spans="2:19" x14ac:dyDescent="0.25">
      <c r="B37" s="5" t="s">
        <v>289</v>
      </c>
      <c r="C37" s="2">
        <v>104.4</v>
      </c>
      <c r="D37" s="2">
        <v>25.2</v>
      </c>
      <c r="E37" s="2">
        <v>12.1</v>
      </c>
      <c r="F3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6.801088</v>
      </c>
      <c r="G3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7" s="143">
        <f>ROUNDUP(Cajas[[#This Row],[Largo]]/2.54,2)</f>
        <v>41.11</v>
      </c>
      <c r="I37" s="2">
        <f>ROUNDUP(Cajas[[#This Row],[Ancho]]/2.54,2)</f>
        <v>9.93</v>
      </c>
      <c r="J37" s="146">
        <f>ROUNDUP(Cajas[[#This Row],[Alto]]/2.54,2)</f>
        <v>4.7699999999999996</v>
      </c>
      <c r="K37" s="146"/>
      <c r="L37" s="143"/>
      <c r="M37" s="2"/>
      <c r="N37" s="2"/>
      <c r="O37" s="2"/>
      <c r="P37" s="2"/>
      <c r="Q37" s="2"/>
      <c r="R37" s="2"/>
      <c r="S37" s="2"/>
    </row>
    <row r="38" spans="2:19" x14ac:dyDescent="0.25">
      <c r="B38" s="5" t="s">
        <v>290</v>
      </c>
      <c r="C38" s="279">
        <v>99.4</v>
      </c>
      <c r="D38" s="279">
        <v>26</v>
      </c>
      <c r="E38" s="279">
        <v>15.7</v>
      </c>
      <c r="F3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8.3756400000000006</v>
      </c>
      <c r="G3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8" s="143">
        <f>ROUNDUP(Cajas[[#This Row],[Largo]]/2.54,2)</f>
        <v>39.14</v>
      </c>
      <c r="I38" s="2">
        <f>ROUNDUP(Cajas[[#This Row],[Ancho]]/2.54,2)</f>
        <v>10.24</v>
      </c>
      <c r="J38" s="146">
        <f>ROUNDUP(Cajas[[#This Row],[Alto]]/2.54,2)</f>
        <v>6.1899999999999995</v>
      </c>
      <c r="K38" s="146"/>
      <c r="L38" s="143"/>
      <c r="M38" s="2"/>
      <c r="N38" s="2"/>
      <c r="O38" s="2"/>
      <c r="P38" s="2"/>
      <c r="Q38" s="2"/>
      <c r="R38" s="2"/>
      <c r="S38" s="2"/>
    </row>
    <row r="39" spans="2:19" x14ac:dyDescent="0.25">
      <c r="B39" s="5" t="s">
        <v>291</v>
      </c>
      <c r="C39" s="280">
        <v>104.4</v>
      </c>
      <c r="D39" s="280">
        <v>25.2</v>
      </c>
      <c r="E39" s="280">
        <v>20.6</v>
      </c>
      <c r="F3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10.901034666666668</v>
      </c>
      <c r="G3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9" s="143">
        <f>ROUNDUP(Cajas[[#This Row],[Largo]]/2.54,2)</f>
        <v>41.11</v>
      </c>
      <c r="I39" s="2">
        <f>ROUNDUP(Cajas[[#This Row],[Ancho]]/2.54,2)</f>
        <v>9.93</v>
      </c>
      <c r="J39" s="146">
        <f>ROUNDUP(Cajas[[#This Row],[Alto]]/2.54,2)</f>
        <v>8.1199999999999992</v>
      </c>
      <c r="K39" s="146"/>
      <c r="L39" s="143"/>
      <c r="M39" s="2"/>
      <c r="N39" s="2"/>
      <c r="O39" s="2"/>
      <c r="P39" s="2"/>
      <c r="Q39" s="2"/>
      <c r="R39" s="2"/>
      <c r="S39" s="2"/>
    </row>
    <row r="40" spans="2:19" ht="15.75" thickBot="1" x14ac:dyDescent="0.3">
      <c r="B40" s="5" t="s">
        <v>292</v>
      </c>
      <c r="C40" s="2">
        <v>120</v>
      </c>
      <c r="D40" s="2">
        <v>30</v>
      </c>
      <c r="E40" s="2">
        <v>30</v>
      </c>
      <c r="F4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4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0" s="143">
        <f>ROUNDUP(Cajas[[#This Row],[Largo]]/2.54,2)</f>
        <v>47.25</v>
      </c>
      <c r="I40" s="2">
        <f>ROUNDUP(Cajas[[#This Row],[Ancho]]/2.54,2)</f>
        <v>11.82</v>
      </c>
      <c r="J40" s="146">
        <f>ROUNDUP(Cajas[[#This Row],[Alto]]/2.54,2)</f>
        <v>11.82</v>
      </c>
      <c r="K40" s="146"/>
      <c r="L40" s="143"/>
      <c r="M40" s="2"/>
      <c r="N40" s="2"/>
      <c r="O40" s="2"/>
      <c r="P40" s="2"/>
      <c r="Q40" s="2"/>
      <c r="R40" s="2"/>
      <c r="S40" s="2"/>
    </row>
    <row r="41" spans="2:19" x14ac:dyDescent="0.25">
      <c r="B41" s="17" t="s">
        <v>293</v>
      </c>
      <c r="C41" s="18">
        <v>39</v>
      </c>
      <c r="D41" s="18">
        <v>59</v>
      </c>
      <c r="E41" s="18">
        <v>31</v>
      </c>
      <c r="F41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13.7555</v>
      </c>
      <c r="G41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1" s="144">
        <f>ROUNDUP(Cajas[[#This Row],[Largo]]/2.54,2)</f>
        <v>15.36</v>
      </c>
      <c r="I41" s="18">
        <f>ROUNDUP(Cajas[[#This Row],[Ancho]]/2.54,2)</f>
        <v>23.23</v>
      </c>
      <c r="J41" s="147">
        <f>ROUNDUP(Cajas[[#This Row],[Alto]]/2.54,2)</f>
        <v>12.209999999999999</v>
      </c>
      <c r="K41" s="147"/>
      <c r="L41" s="143"/>
      <c r="M41" s="2" t="s">
        <v>294</v>
      </c>
      <c r="N41" s="2"/>
      <c r="O41" s="2"/>
      <c r="P41" s="2"/>
      <c r="Q41" s="2"/>
      <c r="R41" s="2"/>
      <c r="S41" s="2"/>
    </row>
    <row r="42" spans="2:19" ht="15.75" thickBot="1" x14ac:dyDescent="0.3">
      <c r="B42" s="5" t="s">
        <v>295</v>
      </c>
      <c r="C42" s="2">
        <v>120</v>
      </c>
      <c r="D42" s="2">
        <v>30</v>
      </c>
      <c r="E42" s="2">
        <v>30</v>
      </c>
      <c r="F4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42" s="229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2" s="143">
        <f>ROUNDUP(Cajas[[#This Row],[Largo]]/2.54,2)</f>
        <v>47.25</v>
      </c>
      <c r="I42" s="2">
        <f>ROUNDUP(Cajas[[#This Row],[Ancho]]/2.54,2)</f>
        <v>11.82</v>
      </c>
      <c r="J42" s="146">
        <f>ROUNDUP(Cajas[[#This Row],[Alto]]/2.54,2)</f>
        <v>11.82</v>
      </c>
      <c r="K42" s="146"/>
      <c r="L42" s="143"/>
      <c r="M42" s="2"/>
      <c r="N42" s="2"/>
      <c r="O42" s="2"/>
      <c r="P42" s="2"/>
      <c r="Q42" s="2"/>
      <c r="R42" s="2"/>
      <c r="S42" s="2"/>
    </row>
    <row r="43" spans="2:19" x14ac:dyDescent="0.25">
      <c r="B43" s="17" t="s">
        <v>296</v>
      </c>
      <c r="C43" s="18">
        <v>104</v>
      </c>
      <c r="D43" s="18">
        <v>14</v>
      </c>
      <c r="E43" s="18">
        <v>25</v>
      </c>
      <c r="F43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7.6319999999999997</v>
      </c>
      <c r="G4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3" s="144">
        <f>ROUNDUP(Cajas[[#This Row],[Largo]]/2.54,2)</f>
        <v>40.949999999999996</v>
      </c>
      <c r="I43" s="18">
        <f>ROUNDUP(Cajas[[#This Row],[Ancho]]/2.54,2)</f>
        <v>5.52</v>
      </c>
      <c r="J43" s="147">
        <f>ROUNDUP(Cajas[[#This Row],[Alto]]/2.54,2)</f>
        <v>9.85</v>
      </c>
      <c r="K43" s="147"/>
      <c r="L43" s="143"/>
      <c r="M43" s="2"/>
      <c r="N43" s="2"/>
      <c r="O43" s="2"/>
      <c r="P43" s="2"/>
      <c r="Q43" s="2"/>
      <c r="R43" s="2"/>
      <c r="S43" s="2"/>
    </row>
    <row r="44" spans="2:19" ht="15.75" thickBot="1" x14ac:dyDescent="0.3">
      <c r="B44" s="76" t="s">
        <v>297</v>
      </c>
      <c r="C44" s="77">
        <v>104</v>
      </c>
      <c r="D44" s="77">
        <v>18</v>
      </c>
      <c r="E44" s="77">
        <v>25</v>
      </c>
      <c r="F44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9.5399999999999991</v>
      </c>
      <c r="G4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4" s="145">
        <f>ROUNDUP(Cajas[[#This Row],[Largo]]/2.54,2)</f>
        <v>40.949999999999996</v>
      </c>
      <c r="I44" s="77">
        <f>ROUNDUP(Cajas[[#This Row],[Ancho]]/2.54,2)</f>
        <v>7.09</v>
      </c>
      <c r="J44" s="148">
        <f>ROUNDUP(Cajas[[#This Row],[Alto]]/2.54,2)</f>
        <v>9.85</v>
      </c>
      <c r="K44" s="148"/>
      <c r="L44" s="143"/>
      <c r="M44" s="2"/>
      <c r="N44" s="2"/>
      <c r="O44" s="2"/>
      <c r="P44" s="2"/>
      <c r="Q44" s="2"/>
      <c r="R44" s="2"/>
      <c r="S44" s="2"/>
    </row>
    <row r="45" spans="2:19" x14ac:dyDescent="0.25">
      <c r="B45" s="5" t="s">
        <v>298</v>
      </c>
      <c r="C45" s="2">
        <v>104</v>
      </c>
      <c r="D45" s="2">
        <v>12.5</v>
      </c>
      <c r="E45" s="2">
        <v>12</v>
      </c>
      <c r="F4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3.5863333333333332</v>
      </c>
      <c r="G45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5" s="143">
        <f>ROUNDUP(Cajas[[#This Row],[Largo]]/2.54,2)</f>
        <v>40.949999999999996</v>
      </c>
      <c r="I45" s="2">
        <f>ROUNDUP(Cajas[[#This Row],[Ancho]]/2.54,2)</f>
        <v>4.93</v>
      </c>
      <c r="J45" s="146">
        <f>ROUNDUP(Cajas[[#This Row],[Alto]]/2.54,2)</f>
        <v>4.7299999999999995</v>
      </c>
      <c r="K45" s="146"/>
      <c r="L45" s="2"/>
      <c r="M45" s="2"/>
      <c r="N45" s="2"/>
      <c r="O45" s="2"/>
      <c r="P45" s="2"/>
      <c r="Q45" s="2"/>
      <c r="R45" s="2"/>
      <c r="S45" s="2"/>
    </row>
    <row r="46" spans="2:19" x14ac:dyDescent="0.25">
      <c r="B46" s="5" t="s">
        <v>299</v>
      </c>
      <c r="C46" s="2">
        <v>104</v>
      </c>
      <c r="D46" s="2">
        <v>25</v>
      </c>
      <c r="E46" s="2">
        <v>15</v>
      </c>
      <c r="F4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46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6" s="143">
        <f>ROUNDUP(Cajas[[#This Row],[Largo]]/2.54,2)</f>
        <v>40.949999999999996</v>
      </c>
      <c r="I46" s="2">
        <f>ROUNDUP(Cajas[[#This Row],[Ancho]]/2.54,2)</f>
        <v>9.85</v>
      </c>
      <c r="J46" s="146">
        <f>ROUNDUP(Cajas[[#This Row],[Alto]]/2.54,2)</f>
        <v>5.91</v>
      </c>
      <c r="K46" s="146"/>
      <c r="L46" s="2"/>
      <c r="M46" s="2"/>
      <c r="N46" s="2"/>
      <c r="O46" s="2"/>
      <c r="P46" s="2"/>
      <c r="Q46" s="2"/>
      <c r="R46" s="2"/>
      <c r="S46" s="2"/>
    </row>
    <row r="47" spans="2:19" x14ac:dyDescent="0.25">
      <c r="B47" s="5" t="s">
        <v>300</v>
      </c>
      <c r="C47" s="2">
        <v>104</v>
      </c>
      <c r="D47" s="2">
        <v>35</v>
      </c>
      <c r="E47" s="2">
        <v>35</v>
      </c>
      <c r="F4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24.185666666666666</v>
      </c>
      <c r="G47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7" s="143">
        <f>ROUNDUP(Cajas[[#This Row],[Largo]]/2.54,2)</f>
        <v>40.949999999999996</v>
      </c>
      <c r="I47" s="2">
        <f>ROUNDUP(Cajas[[#This Row],[Ancho]]/2.54,2)</f>
        <v>13.78</v>
      </c>
      <c r="J47" s="146">
        <f>ROUNDUP(Cajas[[#This Row],[Alto]]/2.54,2)</f>
        <v>13.78</v>
      </c>
      <c r="K47" s="146"/>
      <c r="L47" s="2"/>
      <c r="M47" s="2"/>
      <c r="N47" s="2"/>
      <c r="O47" s="2"/>
      <c r="P47" s="2"/>
      <c r="Q47" s="2"/>
      <c r="R47" s="2"/>
      <c r="S47" s="2"/>
    </row>
    <row r="48" spans="2:19" ht="15.75" thickBot="1" x14ac:dyDescent="0.3">
      <c r="B48" s="5" t="s">
        <v>301</v>
      </c>
      <c r="C48" s="2">
        <v>120</v>
      </c>
      <c r="D48" s="2">
        <v>35</v>
      </c>
      <c r="E48" s="2">
        <v>35</v>
      </c>
      <c r="F4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48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8" s="143">
        <f>ROUNDUP(Cajas[[#This Row],[Largo]]/2.54,2)</f>
        <v>47.25</v>
      </c>
      <c r="I48" s="2">
        <f>ROUNDUP(Cajas[[#This Row],[Ancho]]/2.54,2)</f>
        <v>13.78</v>
      </c>
      <c r="J48" s="146">
        <f>ROUNDUP(Cajas[[#This Row],[Alto]]/2.54,2)</f>
        <v>13.78</v>
      </c>
      <c r="K48" s="146"/>
      <c r="L48" s="2"/>
      <c r="M48" s="2"/>
      <c r="N48" s="2"/>
      <c r="O48" s="2"/>
      <c r="P48" s="2"/>
      <c r="Q48" s="2"/>
      <c r="R48" s="2"/>
      <c r="S48" s="2"/>
    </row>
    <row r="49" spans="2:19" x14ac:dyDescent="0.25">
      <c r="B49" s="17" t="s">
        <v>302</v>
      </c>
      <c r="C49" s="18">
        <v>104</v>
      </c>
      <c r="D49" s="18">
        <v>13</v>
      </c>
      <c r="E49" s="18">
        <v>12</v>
      </c>
      <c r="F49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3.71</v>
      </c>
      <c r="G49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9" s="144">
        <f>ROUNDUP(Cajas[[#This Row],[Largo]]/2.54,2)</f>
        <v>40.949999999999996</v>
      </c>
      <c r="I49" s="18">
        <f>ROUNDUP(Cajas[[#This Row],[Ancho]]/2.54,2)</f>
        <v>5.12</v>
      </c>
      <c r="J49" s="147">
        <f>ROUNDUP(Cajas[[#This Row],[Alto]]/2.54,2)</f>
        <v>4.7299999999999995</v>
      </c>
      <c r="K49" s="147"/>
      <c r="L49" s="143"/>
      <c r="M49" s="2"/>
      <c r="N49" s="2"/>
      <c r="O49" s="2"/>
      <c r="P49" s="2"/>
      <c r="Q49" s="2"/>
      <c r="R49" s="2"/>
      <c r="S49" s="2"/>
    </row>
    <row r="50" spans="2:19" ht="15.75" thickBot="1" x14ac:dyDescent="0.3">
      <c r="B50" s="76" t="s">
        <v>303</v>
      </c>
      <c r="C50" s="77">
        <v>104</v>
      </c>
      <c r="D50" s="77">
        <v>25</v>
      </c>
      <c r="E50" s="77">
        <v>12</v>
      </c>
      <c r="F50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50" s="7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0" s="145">
        <f>ROUNDUP(Cajas[[#This Row],[Largo]]/2.54,2)</f>
        <v>40.949999999999996</v>
      </c>
      <c r="I50" s="77">
        <f>ROUNDUP(Cajas[[#This Row],[Ancho]]/2.54,2)</f>
        <v>9.85</v>
      </c>
      <c r="J50" s="148">
        <f>ROUNDUP(Cajas[[#This Row],[Alto]]/2.54,2)</f>
        <v>4.7299999999999995</v>
      </c>
      <c r="K50" s="148"/>
      <c r="L50" s="143"/>
      <c r="M50" s="2"/>
      <c r="N50" s="2"/>
      <c r="O50" s="2"/>
      <c r="P50" s="2"/>
      <c r="Q50" s="2"/>
      <c r="R50" s="2"/>
      <c r="S50" s="2"/>
    </row>
    <row r="51" spans="2:19" x14ac:dyDescent="0.25">
      <c r="B51" s="5" t="s">
        <v>304</v>
      </c>
      <c r="C51" s="2">
        <v>102</v>
      </c>
      <c r="D51" s="2">
        <v>16</v>
      </c>
      <c r="E51" s="2">
        <v>30</v>
      </c>
      <c r="F5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9.984</v>
      </c>
      <c r="G5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1" s="143">
        <f>ROUNDUP(Cajas[[#This Row],[Largo]]/2.54,2)</f>
        <v>40.159999999999997</v>
      </c>
      <c r="I51" s="2">
        <f>ROUNDUP(Cajas[[#This Row],[Ancho]]/2.54,2)</f>
        <v>6.3</v>
      </c>
      <c r="J51" s="146">
        <f>ROUNDUP(Cajas[[#This Row],[Alto]]/2.54,2)</f>
        <v>11.82</v>
      </c>
      <c r="K51" s="228"/>
      <c r="L51" s="2"/>
      <c r="M51" s="2"/>
      <c r="N51" s="2"/>
      <c r="O51" s="2"/>
      <c r="P51" s="2"/>
      <c r="Q51" s="2"/>
      <c r="R51" s="2"/>
      <c r="S51" s="2"/>
    </row>
    <row r="52" spans="2:19" x14ac:dyDescent="0.25">
      <c r="B52" s="5" t="s">
        <v>305</v>
      </c>
      <c r="C52" s="2">
        <v>105</v>
      </c>
      <c r="D52" s="2">
        <v>30</v>
      </c>
      <c r="E52" s="2">
        <v>30</v>
      </c>
      <c r="F5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5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2" s="143">
        <f>ROUNDUP(Cajas[[#This Row],[Largo]]/2.54,2)</f>
        <v>41.339999999999996</v>
      </c>
      <c r="I52" s="2">
        <f>ROUNDUP(Cajas[[#This Row],[Ancho]]/2.54,2)</f>
        <v>11.82</v>
      </c>
      <c r="J52" s="146">
        <f>ROUNDUP(Cajas[[#This Row],[Alto]]/2.54,2)</f>
        <v>11.82</v>
      </c>
      <c r="K52" s="228"/>
      <c r="L52" s="2"/>
      <c r="M52" s="2"/>
      <c r="N52" s="2"/>
      <c r="O52" s="2"/>
      <c r="P52" s="2"/>
      <c r="Q52" s="2"/>
      <c r="R52" s="2"/>
      <c r="S52" s="2"/>
    </row>
    <row r="53" spans="2:19" ht="15.75" thickBot="1" x14ac:dyDescent="0.3">
      <c r="B53" s="5" t="s">
        <v>306</v>
      </c>
      <c r="C53" s="2">
        <v>118</v>
      </c>
      <c r="D53" s="2">
        <v>30</v>
      </c>
      <c r="E53" s="2">
        <v>30</v>
      </c>
      <c r="F5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20.48</v>
      </c>
      <c r="G5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3" s="143">
        <f>ROUNDUP(Cajas[[#This Row],[Largo]]/2.54,2)</f>
        <v>46.46</v>
      </c>
      <c r="I53" s="2">
        <f>ROUNDUP(Cajas[[#This Row],[Ancho]]/2.54,2)</f>
        <v>11.82</v>
      </c>
      <c r="J53" s="146">
        <f>ROUNDUP(Cajas[[#This Row],[Alto]]/2.54,2)</f>
        <v>11.82</v>
      </c>
      <c r="K53" s="228"/>
      <c r="L53" s="2"/>
      <c r="M53" s="2"/>
      <c r="N53" s="2"/>
      <c r="O53" s="2"/>
      <c r="P53" s="2"/>
      <c r="Q53" s="2"/>
      <c r="R53" s="2"/>
      <c r="S53" s="2"/>
    </row>
    <row r="54" spans="2:19" x14ac:dyDescent="0.25">
      <c r="B54" s="17" t="s">
        <v>307</v>
      </c>
      <c r="C54" s="18">
        <v>75</v>
      </c>
      <c r="D54" s="18">
        <v>18</v>
      </c>
      <c r="E54" s="18">
        <v>15</v>
      </c>
      <c r="F54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4.3633333333333333</v>
      </c>
      <c r="G54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4" s="144">
        <f>ROUNDUP(Cajas[[#This Row],[Largo]]/2.54,2)</f>
        <v>29.53</v>
      </c>
      <c r="I54" s="18">
        <f>ROUNDUP(Cajas[[#This Row],[Ancho]]/2.54,2)</f>
        <v>7.09</v>
      </c>
      <c r="J54" s="147">
        <f>ROUNDUP(Cajas[[#This Row],[Alto]]/2.54,2)</f>
        <v>5.91</v>
      </c>
      <c r="K54" s="227"/>
      <c r="L54" s="143" t="s">
        <v>308</v>
      </c>
      <c r="M54" s="2" t="s">
        <v>308</v>
      </c>
      <c r="N54" s="2" t="s">
        <v>308</v>
      </c>
      <c r="O54" s="2"/>
      <c r="P54" s="2"/>
      <c r="Q54" s="2"/>
      <c r="R54" s="2"/>
      <c r="S54" s="2"/>
    </row>
    <row r="55" spans="2:19" x14ac:dyDescent="0.25">
      <c r="B55" s="5" t="s">
        <v>309</v>
      </c>
      <c r="C55" s="2">
        <v>82.5</v>
      </c>
      <c r="D55" s="2">
        <v>32.5</v>
      </c>
      <c r="E55" s="2">
        <v>18</v>
      </c>
      <c r="F5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9.7174999999999994</v>
      </c>
      <c r="G55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5" s="143">
        <f>ROUNDUP(Cajas[[#This Row],[Largo]]/2.54,2)</f>
        <v>32.489999999999995</v>
      </c>
      <c r="I55" s="2">
        <f>ROUNDUP(Cajas[[#This Row],[Ancho]]/2.54,2)</f>
        <v>12.799999999999999</v>
      </c>
      <c r="J55" s="146">
        <f>ROUNDUP(Cajas[[#This Row],[Alto]]/2.54,2)</f>
        <v>7.09</v>
      </c>
      <c r="K55" s="228"/>
      <c r="L55" s="143" t="s">
        <v>273</v>
      </c>
      <c r="M55" s="2" t="s">
        <v>273</v>
      </c>
      <c r="N55" s="2" t="s">
        <v>274</v>
      </c>
      <c r="O55" s="2"/>
      <c r="P55" s="2"/>
      <c r="Q55" s="2"/>
      <c r="R55" s="2"/>
      <c r="S55" s="2"/>
    </row>
    <row r="56" spans="2:19" x14ac:dyDescent="0.25">
      <c r="B56" s="5" t="s">
        <v>310</v>
      </c>
      <c r="C56" s="2">
        <v>92.5</v>
      </c>
      <c r="D56" s="2">
        <v>32.5</v>
      </c>
      <c r="E56" s="2">
        <v>20</v>
      </c>
      <c r="F5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11.95425</v>
      </c>
      <c r="G56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6" s="143">
        <f>ROUNDUP(Cajas[[#This Row],[Largo]]/2.54,2)</f>
        <v>36.419999999999995</v>
      </c>
      <c r="I56" s="2">
        <f>ROUNDUP(Cajas[[#This Row],[Ancho]]/2.54,2)</f>
        <v>12.799999999999999</v>
      </c>
      <c r="J56" s="146">
        <f>ROUNDUP(Cajas[[#This Row],[Alto]]/2.54,2)</f>
        <v>7.88</v>
      </c>
      <c r="K56" s="228"/>
      <c r="L56" s="143"/>
      <c r="M56" s="2" t="s">
        <v>270</v>
      </c>
      <c r="N56" s="2" t="s">
        <v>273</v>
      </c>
      <c r="O56" s="2" t="s">
        <v>274</v>
      </c>
      <c r="P56" s="2" t="s">
        <v>274</v>
      </c>
      <c r="Q56" s="2"/>
      <c r="R56" s="2"/>
      <c r="S56" s="2"/>
    </row>
    <row r="57" spans="2:19" x14ac:dyDescent="0.25">
      <c r="B57" s="5" t="s">
        <v>311</v>
      </c>
      <c r="C57" s="2">
        <v>113.5</v>
      </c>
      <c r="D57" s="2">
        <v>32.5</v>
      </c>
      <c r="E57" s="2">
        <v>20</v>
      </c>
      <c r="F5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14.610749999999999</v>
      </c>
      <c r="G57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7" s="143">
        <f>ROUNDUP(Cajas[[#This Row],[Largo]]/2.54,2)</f>
        <v>44.69</v>
      </c>
      <c r="I57" s="2">
        <f>ROUNDUP(Cajas[[#This Row],[Ancho]]/2.54,2)</f>
        <v>12.799999999999999</v>
      </c>
      <c r="J57" s="146">
        <f>ROUNDUP(Cajas[[#This Row],[Alto]]/2.54,2)</f>
        <v>7.88</v>
      </c>
      <c r="K57" s="228"/>
      <c r="L57" s="143"/>
      <c r="M57" s="2"/>
      <c r="N57" s="2" t="s">
        <v>273</v>
      </c>
      <c r="O57" s="2" t="s">
        <v>274</v>
      </c>
      <c r="P57" s="2" t="s">
        <v>274</v>
      </c>
      <c r="Q57" s="2"/>
      <c r="R57" s="2"/>
      <c r="S57" s="2"/>
    </row>
    <row r="58" spans="2:19" x14ac:dyDescent="0.25">
      <c r="B58" s="5" t="s">
        <v>312</v>
      </c>
      <c r="C58" s="2">
        <v>100</v>
      </c>
      <c r="D58" s="2">
        <v>32</v>
      </c>
      <c r="E58" s="2">
        <v>30.8</v>
      </c>
      <c r="F5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18.958399999999997</v>
      </c>
      <c r="G58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8" s="143">
        <f>ROUNDUP(Cajas[[#This Row],[Largo]]/2.54,2)</f>
        <v>39.379999999999995</v>
      </c>
      <c r="I58" s="2">
        <f>ROUNDUP(Cajas[[#This Row],[Ancho]]/2.54,2)</f>
        <v>12.6</v>
      </c>
      <c r="J58" s="146">
        <f>ROUNDUP(Cajas[[#This Row],[Alto]]/2.54,2)</f>
        <v>12.129999999999999</v>
      </c>
      <c r="K58" s="228"/>
      <c r="L58" s="143" t="s">
        <v>267</v>
      </c>
      <c r="M58" s="2" t="s">
        <v>262</v>
      </c>
      <c r="N58" s="2" t="s">
        <v>262</v>
      </c>
      <c r="O58" s="2" t="s">
        <v>262</v>
      </c>
      <c r="P58" s="2" t="s">
        <v>265</v>
      </c>
      <c r="Q58" s="2"/>
      <c r="R58" s="2"/>
      <c r="S58" s="2"/>
    </row>
    <row r="59" spans="2:19" x14ac:dyDescent="0.25">
      <c r="B59" s="5" t="s">
        <v>313</v>
      </c>
      <c r="C59" s="2">
        <v>108</v>
      </c>
      <c r="D59" s="2">
        <v>32</v>
      </c>
      <c r="E59" s="2">
        <v>30.8</v>
      </c>
      <c r="F5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20.44533333333333</v>
      </c>
      <c r="G59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9" s="143">
        <f>ROUNDUP(Cajas[[#This Row],[Largo]]/2.54,2)</f>
        <v>42.519999999999996</v>
      </c>
      <c r="I59" s="2">
        <f>ROUNDUP(Cajas[[#This Row],[Ancho]]/2.54,2)</f>
        <v>12.6</v>
      </c>
      <c r="J59" s="146">
        <f>ROUNDUP(Cajas[[#This Row],[Alto]]/2.54,2)</f>
        <v>12.129999999999999</v>
      </c>
      <c r="K59" s="228"/>
      <c r="L59" s="143" t="s">
        <v>314</v>
      </c>
      <c r="M59" s="2" t="s">
        <v>267</v>
      </c>
      <c r="N59" s="2" t="s">
        <v>262</v>
      </c>
      <c r="O59" s="2" t="s">
        <v>262</v>
      </c>
      <c r="P59" s="2" t="s">
        <v>262</v>
      </c>
      <c r="Q59" s="2"/>
      <c r="R59" s="2"/>
      <c r="S59" s="2"/>
    </row>
    <row r="60" spans="2:19" x14ac:dyDescent="0.25">
      <c r="B60" s="5" t="s">
        <v>315</v>
      </c>
      <c r="C60" s="2">
        <v>120</v>
      </c>
      <c r="D60" s="2">
        <v>35</v>
      </c>
      <c r="E60" s="2">
        <v>35</v>
      </c>
      <c r="F6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60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0" s="143">
        <f>ROUNDUP(Cajas[[#This Row],[Largo]]/2.54,2)</f>
        <v>47.25</v>
      </c>
      <c r="I60" s="2">
        <f>ROUNDUP(Cajas[[#This Row],[Ancho]]/2.54,2)</f>
        <v>13.78</v>
      </c>
      <c r="J60" s="146">
        <f>ROUNDUP(Cajas[[#This Row],[Alto]]/2.54,2)</f>
        <v>13.78</v>
      </c>
      <c r="K60" s="228"/>
      <c r="L60" s="143" t="s">
        <v>316</v>
      </c>
      <c r="M60" s="2" t="s">
        <v>317</v>
      </c>
      <c r="N60" s="2" t="s">
        <v>318</v>
      </c>
      <c r="O60" s="2" t="s">
        <v>314</v>
      </c>
      <c r="P60" s="2" t="s">
        <v>267</v>
      </c>
      <c r="Q60" s="2"/>
      <c r="R60" s="2"/>
      <c r="S60" s="2"/>
    </row>
    <row r="61" spans="2:19" ht="15.75" thickBot="1" x14ac:dyDescent="0.3">
      <c r="B61" s="76" t="s">
        <v>319</v>
      </c>
      <c r="C61" s="77">
        <v>150</v>
      </c>
      <c r="D61" s="77">
        <v>40</v>
      </c>
      <c r="E61" s="77">
        <v>35</v>
      </c>
      <c r="F61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39.368000000000002</v>
      </c>
      <c r="G61" s="229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1" s="145">
        <f>ROUNDUP(Cajas[[#This Row],[Largo]]/2.54,2)</f>
        <v>59.059999999999995</v>
      </c>
      <c r="I61" s="77">
        <f>ROUNDUP(Cajas[[#This Row],[Ancho]]/2.54,2)</f>
        <v>15.75</v>
      </c>
      <c r="J61" s="148">
        <f>ROUNDUP(Cajas[[#This Row],[Alto]]/2.54,2)</f>
        <v>13.78</v>
      </c>
      <c r="K61" s="229"/>
      <c r="L61" s="143" t="s">
        <v>320</v>
      </c>
      <c r="M61" s="2" t="s">
        <v>279</v>
      </c>
      <c r="N61" s="2" t="s">
        <v>321</v>
      </c>
      <c r="O61" s="2" t="s">
        <v>317</v>
      </c>
      <c r="P61" s="2" t="s">
        <v>318</v>
      </c>
      <c r="Q61" s="2"/>
      <c r="R61" s="2"/>
      <c r="S61" s="2"/>
    </row>
    <row r="62" spans="2:19" x14ac:dyDescent="0.25">
      <c r="B62" s="17" t="s">
        <v>322</v>
      </c>
      <c r="C62" s="18">
        <v>104</v>
      </c>
      <c r="D62" s="18">
        <v>13</v>
      </c>
      <c r="E62" s="18">
        <v>12</v>
      </c>
      <c r="F62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3.71</v>
      </c>
      <c r="G6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2" s="144">
        <f>ROUNDUP(Cajas[[#This Row],[Largo]]/2.54,2)</f>
        <v>40.949999999999996</v>
      </c>
      <c r="I62" s="18">
        <f>ROUNDUP(Cajas[[#This Row],[Ancho]]/2.54,2)</f>
        <v>5.12</v>
      </c>
      <c r="J62" s="147">
        <f>ROUNDUP(Cajas[[#This Row],[Alto]]/2.54,2)</f>
        <v>4.7299999999999995</v>
      </c>
      <c r="K62" s="147"/>
      <c r="L62" s="143"/>
      <c r="M62" s="2"/>
      <c r="N62" s="2"/>
      <c r="O62" s="2"/>
      <c r="P62" s="2"/>
      <c r="Q62" s="2"/>
      <c r="R62" s="2"/>
      <c r="S62" s="2"/>
    </row>
    <row r="63" spans="2:19" x14ac:dyDescent="0.25">
      <c r="B63" s="5" t="s">
        <v>323</v>
      </c>
      <c r="C63" s="2">
        <v>104</v>
      </c>
      <c r="D63" s="2">
        <v>25</v>
      </c>
      <c r="E63" s="2">
        <v>12</v>
      </c>
      <c r="F6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6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3" s="143">
        <f>ROUNDUP(Cajas[[#This Row],[Largo]]/2.54,2)</f>
        <v>40.949999999999996</v>
      </c>
      <c r="I63" s="2">
        <f>ROUNDUP(Cajas[[#This Row],[Ancho]]/2.54,2)</f>
        <v>9.85</v>
      </c>
      <c r="J63" s="146">
        <f>ROUNDUP(Cajas[[#This Row],[Alto]]/2.54,2)</f>
        <v>4.7299999999999995</v>
      </c>
      <c r="K63" s="146"/>
      <c r="L63" s="143"/>
      <c r="M63" s="2"/>
      <c r="N63" s="2"/>
      <c r="O63" s="2"/>
      <c r="P63" s="2"/>
      <c r="Q63" s="2"/>
      <c r="R63" s="2"/>
      <c r="S63" s="2"/>
    </row>
    <row r="64" spans="2:19" ht="15.75" thickBot="1" x14ac:dyDescent="0.3">
      <c r="B64" s="76" t="s">
        <v>324</v>
      </c>
      <c r="C64" s="77">
        <v>104</v>
      </c>
      <c r="D64" s="77">
        <v>25.5</v>
      </c>
      <c r="E64" s="77">
        <v>19</v>
      </c>
      <c r="F64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10.202500000000001</v>
      </c>
      <c r="G6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4" s="145">
        <f>ROUNDUP(Cajas[[#This Row],[Largo]]/2.54,2)</f>
        <v>40.949999999999996</v>
      </c>
      <c r="I64" s="77">
        <f>ROUNDUP(Cajas[[#This Row],[Ancho]]/2.54,2)</f>
        <v>10.039999999999999</v>
      </c>
      <c r="J64" s="148">
        <f>ROUNDUP(Cajas[[#This Row],[Alto]]/2.54,2)</f>
        <v>7.49</v>
      </c>
      <c r="K64" s="148"/>
      <c r="L64" s="143"/>
      <c r="M64" s="2"/>
      <c r="N64" s="2"/>
      <c r="O64" s="2"/>
      <c r="P64" s="2"/>
      <c r="Q64" s="2"/>
      <c r="R64" s="2"/>
      <c r="S64" s="2"/>
    </row>
    <row r="65" spans="2:19" x14ac:dyDescent="0.25">
      <c r="B65" s="5" t="s">
        <v>304</v>
      </c>
      <c r="C65" s="2">
        <v>102</v>
      </c>
      <c r="D65" s="2">
        <v>16</v>
      </c>
      <c r="E65" s="2">
        <v>30</v>
      </c>
      <c r="F6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9.984</v>
      </c>
      <c r="G65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5" s="143">
        <f>ROUNDUP(Cajas[[#This Row],[Largo]]/2.54,2)</f>
        <v>40.159999999999997</v>
      </c>
      <c r="I65" s="2">
        <f>ROUNDUP(Cajas[[#This Row],[Ancho]]/2.54,2)</f>
        <v>6.3</v>
      </c>
      <c r="J65" s="146">
        <f>ROUNDUP(Cajas[[#This Row],[Alto]]/2.54,2)</f>
        <v>11.82</v>
      </c>
      <c r="K65" s="228"/>
      <c r="L65" s="143"/>
      <c r="M65" s="2"/>
      <c r="N65" s="2" t="s">
        <v>325</v>
      </c>
      <c r="O65" s="2"/>
      <c r="P65" s="2"/>
      <c r="Q65" s="2"/>
      <c r="R65" s="2"/>
      <c r="S65" s="2"/>
    </row>
    <row r="66" spans="2:19" ht="15.75" thickBot="1" x14ac:dyDescent="0.3">
      <c r="B66" s="5" t="s">
        <v>326</v>
      </c>
      <c r="C66" s="2">
        <v>101</v>
      </c>
      <c r="D66" s="2">
        <v>29</v>
      </c>
      <c r="E66" s="2">
        <v>33</v>
      </c>
      <c r="F6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18.625833333333333</v>
      </c>
      <c r="G66" s="229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6" s="143">
        <f>ROUNDUP(Cajas[[#This Row],[Largo]]/2.54,2)</f>
        <v>39.769999999999996</v>
      </c>
      <c r="I66" s="2">
        <f>ROUNDUP(Cajas[[#This Row],[Ancho]]/2.54,2)</f>
        <v>11.42</v>
      </c>
      <c r="J66" s="146">
        <f>ROUNDUP(Cajas[[#This Row],[Alto]]/2.54,2)</f>
        <v>13</v>
      </c>
      <c r="K66" s="228"/>
      <c r="L66" s="143"/>
      <c r="M66" s="2"/>
      <c r="N66" s="2" t="s">
        <v>327</v>
      </c>
      <c r="O66" s="2"/>
      <c r="P66" s="2"/>
      <c r="Q66" s="2"/>
      <c r="R66" s="2"/>
      <c r="S66" s="2"/>
    </row>
    <row r="67" spans="2:19" ht="15.75" thickBot="1" x14ac:dyDescent="0.3">
      <c r="B67" s="17" t="s">
        <v>328</v>
      </c>
      <c r="C67" s="18">
        <v>104.5</v>
      </c>
      <c r="D67" s="18">
        <v>24</v>
      </c>
      <c r="E67" s="18">
        <v>15</v>
      </c>
      <c r="F67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7.8455000000000004</v>
      </c>
      <c r="G6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7" s="144">
        <f>ROUNDUP(Cajas[[#This Row],[Largo]]/2.54,2)</f>
        <v>41.15</v>
      </c>
      <c r="I67" s="18">
        <f>ROUNDUP(Cajas[[#This Row],[Ancho]]/2.54,2)</f>
        <v>9.4499999999999993</v>
      </c>
      <c r="J67" s="147">
        <f>ROUNDUP(Cajas[[#This Row],[Alto]]/2.54,2)</f>
        <v>5.91</v>
      </c>
      <c r="K67" s="147"/>
      <c r="L67" s="143"/>
      <c r="M67" s="2"/>
      <c r="N67" s="2"/>
      <c r="O67" s="2"/>
      <c r="P67" s="2"/>
      <c r="Q67" s="2"/>
      <c r="R67" s="2"/>
      <c r="S67" s="2"/>
    </row>
    <row r="68" spans="2:19" x14ac:dyDescent="0.25">
      <c r="B68" s="17" t="s">
        <v>329</v>
      </c>
      <c r="C68" s="18">
        <v>85</v>
      </c>
      <c r="D68" s="18">
        <v>30</v>
      </c>
      <c r="E68" s="18">
        <v>17</v>
      </c>
      <c r="F68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8.8160000000000007</v>
      </c>
      <c r="G68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8" s="144">
        <f>ROUNDUP(Cajas[[#This Row],[Largo]]/2.54,2)</f>
        <v>33.47</v>
      </c>
      <c r="I68" s="18">
        <f>ROUNDUP(Cajas[[#This Row],[Ancho]]/2.54,2)</f>
        <v>11.82</v>
      </c>
      <c r="J68" s="147">
        <f>ROUNDUP(Cajas[[#This Row],[Alto]]/2.54,2)</f>
        <v>6.7</v>
      </c>
      <c r="K68" s="147"/>
      <c r="L68" s="143">
        <v>5</v>
      </c>
      <c r="M68" s="2">
        <v>5</v>
      </c>
      <c r="N68" s="2">
        <v>4</v>
      </c>
      <c r="O68" s="2">
        <v>4</v>
      </c>
      <c r="P68" s="2">
        <v>4</v>
      </c>
      <c r="Q68" s="2">
        <v>4</v>
      </c>
      <c r="R68" s="2">
        <v>4</v>
      </c>
      <c r="S68" s="2"/>
    </row>
    <row r="69" spans="2:19" x14ac:dyDescent="0.25">
      <c r="B69" s="5" t="s">
        <v>30</v>
      </c>
      <c r="C69" s="2">
        <v>104</v>
      </c>
      <c r="D69" s="2">
        <v>30</v>
      </c>
      <c r="E69" s="2">
        <v>17</v>
      </c>
      <c r="F6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10.741333333333333</v>
      </c>
      <c r="G6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9" s="143">
        <f>ROUNDUP(Cajas[[#This Row],[Largo]]/2.54,2)</f>
        <v>40.949999999999996</v>
      </c>
      <c r="I69" s="2">
        <f>ROUNDUP(Cajas[[#This Row],[Ancho]]/2.54,2)</f>
        <v>11.82</v>
      </c>
      <c r="J69" s="146">
        <f>ROUNDUP(Cajas[[#This Row],[Alto]]/2.54,2)</f>
        <v>6.7</v>
      </c>
      <c r="K69" s="146"/>
      <c r="L69" s="143">
        <v>5</v>
      </c>
      <c r="M69" s="2">
        <v>5</v>
      </c>
      <c r="N69" s="2">
        <v>4</v>
      </c>
      <c r="O69" s="2"/>
      <c r="P69" s="2"/>
      <c r="Q69" s="2"/>
      <c r="R69" s="2"/>
      <c r="S69" s="2"/>
    </row>
    <row r="70" spans="2:19" x14ac:dyDescent="0.25">
      <c r="B70" s="5" t="s">
        <v>330</v>
      </c>
      <c r="C70" s="2">
        <v>85</v>
      </c>
      <c r="D70" s="2">
        <v>35</v>
      </c>
      <c r="E70" s="2">
        <v>35</v>
      </c>
      <c r="F7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19.8505</v>
      </c>
      <c r="G7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0" s="143">
        <f>ROUNDUP(Cajas[[#This Row],[Largo]]/2.54,2)</f>
        <v>33.47</v>
      </c>
      <c r="I70" s="2">
        <f>ROUNDUP(Cajas[[#This Row],[Ancho]]/2.54,2)</f>
        <v>13.78</v>
      </c>
      <c r="J70" s="146">
        <f>ROUNDUP(Cajas[[#This Row],[Alto]]/2.54,2)</f>
        <v>13.78</v>
      </c>
      <c r="K70" s="146"/>
      <c r="L70" s="143">
        <f>300/25</f>
        <v>12</v>
      </c>
      <c r="M70" s="2">
        <v>12</v>
      </c>
      <c r="N70" s="2">
        <v>10</v>
      </c>
      <c r="O70" s="2">
        <v>8</v>
      </c>
      <c r="P70" s="2"/>
      <c r="Q70" s="2"/>
      <c r="R70" s="2"/>
      <c r="S70" s="2"/>
    </row>
    <row r="71" spans="2:19" x14ac:dyDescent="0.25">
      <c r="B71" s="5" t="s">
        <v>331</v>
      </c>
      <c r="C71" s="2">
        <v>104</v>
      </c>
      <c r="D71" s="2">
        <v>30</v>
      </c>
      <c r="E71" s="2">
        <v>30</v>
      </c>
      <c r="F7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7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1" s="143">
        <f>ROUNDUP(Cajas[[#This Row],[Largo]]/2.54,2)</f>
        <v>40.949999999999996</v>
      </c>
      <c r="I71" s="2">
        <f>ROUNDUP(Cajas[[#This Row],[Ancho]]/2.54,2)</f>
        <v>11.82</v>
      </c>
      <c r="J71" s="146">
        <f>ROUNDUP(Cajas[[#This Row],[Alto]]/2.54,2)</f>
        <v>11.82</v>
      </c>
      <c r="K71" s="146"/>
      <c r="L71" s="143">
        <f>300/25</f>
        <v>12</v>
      </c>
      <c r="M71" s="2">
        <v>10</v>
      </c>
      <c r="N71" s="2">
        <v>10</v>
      </c>
      <c r="O71" s="2">
        <v>8</v>
      </c>
      <c r="P71" s="2">
        <v>8</v>
      </c>
      <c r="Q71" s="2">
        <v>8</v>
      </c>
      <c r="R71" s="2">
        <v>8</v>
      </c>
      <c r="S71" s="2"/>
    </row>
    <row r="72" spans="2:19" ht="15.75" thickBot="1" x14ac:dyDescent="0.3">
      <c r="B72" s="76" t="s">
        <v>332</v>
      </c>
      <c r="C72" s="77">
        <v>120</v>
      </c>
      <c r="D72" s="77">
        <v>35</v>
      </c>
      <c r="E72" s="77">
        <v>35</v>
      </c>
      <c r="F72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72" s="7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72" s="145">
        <f>ROUNDUP(Cajas[[#This Row],[Largo]]/2.54,2)</f>
        <v>47.25</v>
      </c>
      <c r="I72" s="77">
        <f>ROUNDUP(Cajas[[#This Row],[Ancho]]/2.54,2)</f>
        <v>13.78</v>
      </c>
      <c r="J72" s="148">
        <f>ROUNDUP(Cajas[[#This Row],[Alto]]/2.54,2)</f>
        <v>13.78</v>
      </c>
      <c r="K72" s="148"/>
      <c r="L72" s="143">
        <f>500/25</f>
        <v>20</v>
      </c>
      <c r="M72" s="2">
        <v>20</v>
      </c>
      <c r="N72" s="2">
        <f>400/25</f>
        <v>16</v>
      </c>
      <c r="O72" s="2">
        <f>350/25</f>
        <v>14</v>
      </c>
      <c r="P72" s="2">
        <v>14</v>
      </c>
      <c r="Q72" s="2">
        <f>250/25</f>
        <v>10</v>
      </c>
      <c r="R72" s="2">
        <v>10</v>
      </c>
      <c r="S72" s="2"/>
    </row>
    <row r="73" spans="2:19" x14ac:dyDescent="0.25">
      <c r="B73" s="5" t="s">
        <v>333</v>
      </c>
      <c r="C73" s="2">
        <v>104</v>
      </c>
      <c r="D73" s="2">
        <v>24</v>
      </c>
      <c r="E73" s="2">
        <v>16</v>
      </c>
      <c r="F7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8.2680000000000007</v>
      </c>
      <c r="G73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3" s="143">
        <f>ROUNDUP(Cajas[[#This Row],[Largo]]/2.54,2)</f>
        <v>40.949999999999996</v>
      </c>
      <c r="I73" s="2">
        <f>ROUNDUP(Cajas[[#This Row],[Ancho]]/2.54,2)</f>
        <v>9.4499999999999993</v>
      </c>
      <c r="J73" s="146">
        <f>ROUNDUP(Cajas[[#This Row],[Alto]]/2.54,2)</f>
        <v>6.3</v>
      </c>
      <c r="K73" s="146"/>
      <c r="L73" s="2"/>
      <c r="M73" s="2"/>
      <c r="N73" s="2"/>
      <c r="O73" s="2"/>
      <c r="P73" s="2"/>
      <c r="Q73" s="2"/>
      <c r="R73" s="2"/>
      <c r="S73" s="2"/>
    </row>
    <row r="74" spans="2:19" x14ac:dyDescent="0.25">
      <c r="B74" s="5" t="s">
        <v>334</v>
      </c>
      <c r="C74" s="2">
        <v>104</v>
      </c>
      <c r="D74" s="2">
        <v>24</v>
      </c>
      <c r="E74" s="2">
        <v>12</v>
      </c>
      <c r="F7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6.4306666666666663</v>
      </c>
      <c r="G74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4" s="143">
        <f>ROUNDUP(Cajas[[#This Row],[Largo]]/2.54,2)</f>
        <v>40.949999999999996</v>
      </c>
      <c r="I74" s="2">
        <f>ROUNDUP(Cajas[[#This Row],[Ancho]]/2.54,2)</f>
        <v>9.4499999999999993</v>
      </c>
      <c r="J74" s="146">
        <f>ROUNDUP(Cajas[[#This Row],[Alto]]/2.54,2)</f>
        <v>4.7299999999999995</v>
      </c>
      <c r="K74" s="146"/>
      <c r="L74" s="2"/>
      <c r="M74" s="2"/>
      <c r="N74" s="2"/>
      <c r="O74" s="2"/>
      <c r="P74" s="2"/>
      <c r="Q74" s="2"/>
      <c r="R74" s="2"/>
      <c r="S74" s="2"/>
    </row>
    <row r="75" spans="2:19" ht="15.75" thickBot="1" x14ac:dyDescent="0.3">
      <c r="B75" s="5" t="s">
        <v>335</v>
      </c>
      <c r="C75" s="2">
        <v>103</v>
      </c>
      <c r="D75" s="2">
        <v>15</v>
      </c>
      <c r="E75" s="2">
        <v>12</v>
      </c>
      <c r="F7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4.165</v>
      </c>
      <c r="G75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5" s="143">
        <f>ROUNDUP(Cajas[[#This Row],[Largo]]/2.54,2)</f>
        <v>40.559999999999995</v>
      </c>
      <c r="I75" s="2">
        <f>ROUNDUP(Cajas[[#This Row],[Ancho]]/2.54,2)</f>
        <v>5.91</v>
      </c>
      <c r="J75" s="146">
        <f>ROUNDUP(Cajas[[#This Row],[Alto]]/2.54,2)</f>
        <v>4.7299999999999995</v>
      </c>
      <c r="K75" s="146"/>
      <c r="L75" s="2"/>
      <c r="M75" s="2"/>
      <c r="N75" s="2"/>
      <c r="O75" s="2"/>
      <c r="P75" s="2"/>
      <c r="Q75" s="2"/>
      <c r="R75" s="2"/>
      <c r="S75" s="2"/>
    </row>
    <row r="76" spans="2:19" x14ac:dyDescent="0.25">
      <c r="B76" s="17" t="s">
        <v>336</v>
      </c>
      <c r="C76" s="18">
        <v>94.4</v>
      </c>
      <c r="D76" s="18">
        <v>30.1</v>
      </c>
      <c r="E76" s="18">
        <v>15.5</v>
      </c>
      <c r="F76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9.0254500000000011</v>
      </c>
      <c r="G7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6" s="144">
        <f>ROUNDUP(Cajas[[#This Row],[Largo]]/2.54,2)</f>
        <v>37.169999999999995</v>
      </c>
      <c r="I76" s="18">
        <f>ROUNDUP(Cajas[[#This Row],[Ancho]]/2.54,2)</f>
        <v>11.86</v>
      </c>
      <c r="J76" s="147">
        <f>ROUNDUP(Cajas[[#This Row],[Alto]]/2.54,2)</f>
        <v>6.1099999999999994</v>
      </c>
      <c r="K76" s="147"/>
      <c r="L76" s="143">
        <v>5</v>
      </c>
      <c r="M76" s="2">
        <v>5</v>
      </c>
      <c r="N76" s="2">
        <v>4</v>
      </c>
      <c r="O76" s="2">
        <v>4</v>
      </c>
      <c r="P76" s="2"/>
      <c r="Q76" s="2"/>
      <c r="R76" s="2"/>
      <c r="S76" s="2"/>
    </row>
    <row r="77" spans="2:19" ht="15.75" thickBot="1" x14ac:dyDescent="0.3">
      <c r="B77" s="76" t="s">
        <v>337</v>
      </c>
      <c r="C77" s="77">
        <v>103.2</v>
      </c>
      <c r="D77" s="77">
        <v>31.3</v>
      </c>
      <c r="E77" s="77">
        <v>30.6</v>
      </c>
      <c r="F77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19.033836000000001</v>
      </c>
      <c r="G77" s="7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7" s="145">
        <f>ROUNDUP(Cajas[[#This Row],[Largo]]/2.54,2)</f>
        <v>40.629999999999995</v>
      </c>
      <c r="I77" s="77">
        <f>ROUNDUP(Cajas[[#This Row],[Ancho]]/2.54,2)</f>
        <v>12.33</v>
      </c>
      <c r="J77" s="148">
        <f>ROUNDUP(Cajas[[#This Row],[Alto]]/2.54,2)</f>
        <v>12.049999999999999</v>
      </c>
      <c r="K77" s="148"/>
      <c r="L77" s="143">
        <v>14</v>
      </c>
      <c r="M77" s="2">
        <v>12</v>
      </c>
      <c r="N77" s="2">
        <v>10</v>
      </c>
      <c r="O77" s="2">
        <v>9</v>
      </c>
      <c r="P77" s="2"/>
      <c r="Q77" s="2"/>
      <c r="R77" s="2"/>
      <c r="S77" s="2"/>
    </row>
    <row r="78" spans="2:19" x14ac:dyDescent="0.25">
      <c r="B78" s="5" t="s">
        <v>338</v>
      </c>
      <c r="C78" s="2">
        <v>86</v>
      </c>
      <c r="D78" s="2">
        <v>14.5</v>
      </c>
      <c r="E78" s="2">
        <v>12.5</v>
      </c>
      <c r="F7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3.5089999999999999</v>
      </c>
      <c r="G7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8" s="143">
        <f>ROUNDUP(Cajas[[#This Row],[Largo]]/2.54,2)</f>
        <v>33.86</v>
      </c>
      <c r="I78" s="2">
        <f>ROUNDUP(Cajas[[#This Row],[Ancho]]/2.54,2)</f>
        <v>5.71</v>
      </c>
      <c r="J78" s="146">
        <f>ROUNDUP(Cajas[[#This Row],[Alto]]/2.54,2)</f>
        <v>4.93</v>
      </c>
      <c r="K78" s="146"/>
      <c r="L78" s="2"/>
      <c r="M78" s="2"/>
      <c r="N78" s="2"/>
      <c r="O78" s="2"/>
      <c r="P78" s="2"/>
      <c r="Q78" s="2"/>
      <c r="R78" s="2"/>
      <c r="S78" s="2"/>
    </row>
    <row r="79" spans="2:19" x14ac:dyDescent="0.25">
      <c r="B79" s="5" t="s">
        <v>339</v>
      </c>
      <c r="C79" s="2">
        <v>90</v>
      </c>
      <c r="D79" s="2">
        <v>15</v>
      </c>
      <c r="E79" s="2">
        <v>15</v>
      </c>
      <c r="F7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4.4313333333333329</v>
      </c>
      <c r="G7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9" s="143">
        <f>ROUNDUP(Cajas[[#This Row],[Largo]]/2.54,2)</f>
        <v>35.44</v>
      </c>
      <c r="I79" s="2">
        <f>ROUNDUP(Cajas[[#This Row],[Ancho]]/2.54,2)</f>
        <v>5.91</v>
      </c>
      <c r="J79" s="146">
        <f>ROUNDUP(Cajas[[#This Row],[Alto]]/2.54,2)</f>
        <v>5.91</v>
      </c>
      <c r="K79" s="146"/>
      <c r="L79" s="2"/>
      <c r="M79" s="2"/>
      <c r="N79" s="2"/>
      <c r="O79" s="2"/>
      <c r="P79" s="2"/>
      <c r="Q79" s="2"/>
      <c r="R79" s="2"/>
      <c r="S79" s="2"/>
    </row>
    <row r="80" spans="2:19" x14ac:dyDescent="0.25">
      <c r="B80" s="5" t="s">
        <v>653</v>
      </c>
      <c r="C80" s="2">
        <v>105</v>
      </c>
      <c r="D80" s="2">
        <v>29</v>
      </c>
      <c r="E80" s="2">
        <v>15</v>
      </c>
      <c r="F8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9.3981666666666666</v>
      </c>
      <c r="G8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0" s="143">
        <f>ROUNDUP(Cajas[[#This Row],[Largo]]/2.54,2)</f>
        <v>41.339999999999996</v>
      </c>
      <c r="I80" s="2">
        <f>ROUNDUP(Cajas[[#This Row],[Ancho]]/2.54,2)</f>
        <v>11.42</v>
      </c>
      <c r="J80" s="146">
        <f>ROUNDUP(Cajas[[#This Row],[Alto]]/2.54,2)</f>
        <v>5.91</v>
      </c>
      <c r="K80" s="146"/>
      <c r="L80" s="2"/>
      <c r="M80" s="2"/>
      <c r="N80" s="2"/>
      <c r="O80" s="2"/>
      <c r="P80" s="2"/>
      <c r="Q80" s="2"/>
      <c r="R80" s="2"/>
      <c r="S80" s="2"/>
    </row>
    <row r="81" spans="2:19" x14ac:dyDescent="0.25">
      <c r="B81" s="5" t="s">
        <v>654</v>
      </c>
      <c r="C81" s="2"/>
      <c r="D81" s="2"/>
      <c r="E81" s="2"/>
      <c r="F8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1.3333333333333333E-3</v>
      </c>
      <c r="G8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1" s="143">
        <f>ROUNDUP(Cajas[[#This Row],[Largo]]/2.54,2)</f>
        <v>0</v>
      </c>
      <c r="I81" s="2">
        <f>ROUNDUP(Cajas[[#This Row],[Ancho]]/2.54,2)</f>
        <v>0</v>
      </c>
      <c r="J81" s="146">
        <f>ROUNDUP(Cajas[[#This Row],[Alto]]/2.54,2)</f>
        <v>0</v>
      </c>
      <c r="K81" s="146"/>
      <c r="L81" s="143"/>
      <c r="M81" s="2"/>
      <c r="N81" s="2"/>
      <c r="O81" s="2"/>
      <c r="P81" s="2"/>
      <c r="Q81" s="2"/>
      <c r="R81" s="2"/>
      <c r="S81" s="2"/>
    </row>
    <row r="82" spans="2:19" x14ac:dyDescent="0.25">
      <c r="B82" s="5" t="s">
        <v>340</v>
      </c>
      <c r="C82" s="2">
        <v>104.6</v>
      </c>
      <c r="D82" s="2">
        <v>25.1</v>
      </c>
      <c r="E82" s="2">
        <v>25.4</v>
      </c>
      <c r="F8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13.192460666666666</v>
      </c>
      <c r="G8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2" s="143">
        <f>ROUNDUP(Cajas[[#This Row],[Largo]]/2.54,2)</f>
        <v>41.19</v>
      </c>
      <c r="I82" s="2">
        <f>ROUNDUP(Cajas[[#This Row],[Ancho]]/2.54,2)</f>
        <v>9.89</v>
      </c>
      <c r="J82" s="146">
        <f>ROUNDUP(Cajas[[#This Row],[Alto]]/2.54,2)</f>
        <v>10</v>
      </c>
      <c r="K82" s="146"/>
      <c r="L82" s="2"/>
      <c r="M82" s="2"/>
      <c r="N82" s="2"/>
      <c r="O82" s="2"/>
      <c r="P82" s="2"/>
      <c r="Q82" s="2"/>
      <c r="R82" s="2"/>
      <c r="S82" s="2"/>
    </row>
    <row r="83" spans="2:19" ht="15.75" thickBot="1" x14ac:dyDescent="0.3">
      <c r="B83" s="5" t="s">
        <v>341</v>
      </c>
      <c r="C83" s="2">
        <v>105</v>
      </c>
      <c r="D83" s="2">
        <v>30</v>
      </c>
      <c r="E83" s="2">
        <v>30</v>
      </c>
      <c r="F8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8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3" s="145">
        <f>ROUNDUP(Cajas[[#This Row],[Largo]]/2.54,2)</f>
        <v>41.339999999999996</v>
      </c>
      <c r="I83" s="77">
        <f>ROUNDUP(Cajas[[#This Row],[Ancho]]/2.54,2)</f>
        <v>11.82</v>
      </c>
      <c r="J83" s="148">
        <f>ROUNDUP(Cajas[[#This Row],[Alto]]/2.54,2)</f>
        <v>11.82</v>
      </c>
      <c r="K83" s="146"/>
      <c r="L83" s="2"/>
      <c r="M83" s="2"/>
      <c r="N83" s="2"/>
      <c r="O83" s="2"/>
      <c r="P83" s="2"/>
      <c r="Q83" s="2"/>
      <c r="R83" s="2"/>
      <c r="S83" s="2"/>
    </row>
    <row r="84" spans="2:19" x14ac:dyDescent="0.25">
      <c r="B84" s="17" t="s">
        <v>737</v>
      </c>
      <c r="C84" s="18">
        <v>87</v>
      </c>
      <c r="D84" s="18">
        <v>17</v>
      </c>
      <c r="E84" s="18">
        <v>12.5</v>
      </c>
      <c r="F84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4.0865833333333335</v>
      </c>
      <c r="G84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4" s="143">
        <f>ROUNDUP(Cajas[[#This Row],[Largo]]/2.54,2)</f>
        <v>34.26</v>
      </c>
      <c r="I84" s="2">
        <f>ROUNDUP(Cajas[[#This Row],[Ancho]]/2.54,2)</f>
        <v>6.7</v>
      </c>
      <c r="J84" s="146">
        <f>ROUNDUP(Cajas[[#This Row],[Alto]]/2.54,2)</f>
        <v>4.93</v>
      </c>
      <c r="K84" s="227"/>
      <c r="L84" s="2"/>
      <c r="M84" s="2"/>
      <c r="N84" s="2"/>
      <c r="O84" s="2"/>
      <c r="P84" s="2"/>
      <c r="Q84" s="2"/>
      <c r="R84" s="2"/>
      <c r="S84" s="2"/>
    </row>
    <row r="85" spans="2:19" x14ac:dyDescent="0.25">
      <c r="B85" s="5" t="s">
        <v>735</v>
      </c>
      <c r="C85" s="2">
        <v>95</v>
      </c>
      <c r="D85" s="2">
        <v>17.8</v>
      </c>
      <c r="E85" s="2">
        <v>18.600000000000001</v>
      </c>
      <c r="F8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6.5940600000000016</v>
      </c>
      <c r="G85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5" s="143">
        <f>ROUNDUP(Cajas[[#This Row],[Largo]]/2.54,2)</f>
        <v>37.409999999999997</v>
      </c>
      <c r="I85" s="2">
        <f>ROUNDUP(Cajas[[#This Row],[Ancho]]/2.54,2)</f>
        <v>7.01</v>
      </c>
      <c r="J85" s="146">
        <f>ROUNDUP(Cajas[[#This Row],[Alto]]/2.54,2)</f>
        <v>7.33</v>
      </c>
      <c r="K85" s="146"/>
      <c r="L85" s="143"/>
      <c r="M85" s="2"/>
      <c r="N85" s="2"/>
      <c r="O85" s="2"/>
      <c r="P85" s="2"/>
      <c r="Q85" s="2"/>
      <c r="R85" s="2"/>
      <c r="S85" s="2"/>
    </row>
    <row r="86" spans="2:19" x14ac:dyDescent="0.25">
      <c r="B86" s="5" t="s">
        <v>738</v>
      </c>
      <c r="C86" s="2">
        <v>88</v>
      </c>
      <c r="D86" s="2">
        <v>30</v>
      </c>
      <c r="E86" s="2">
        <v>16.8</v>
      </c>
      <c r="F8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9.0239999999999991</v>
      </c>
      <c r="G86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6" s="143">
        <f>ROUNDUP(Cajas[[#This Row],[Largo]]/2.54,2)</f>
        <v>34.65</v>
      </c>
      <c r="I86" s="2">
        <f>ROUNDUP(Cajas[[#This Row],[Ancho]]/2.54,2)</f>
        <v>11.82</v>
      </c>
      <c r="J86" s="146">
        <f>ROUNDUP(Cajas[[#This Row],[Alto]]/2.54,2)</f>
        <v>6.62</v>
      </c>
      <c r="K86" s="228"/>
      <c r="L86" s="2"/>
      <c r="M86" s="2"/>
      <c r="N86" s="2"/>
      <c r="O86" s="2"/>
      <c r="P86" s="2"/>
      <c r="Q86" s="2"/>
      <c r="R86" s="2"/>
      <c r="S86" s="2"/>
    </row>
    <row r="87" spans="2:19" x14ac:dyDescent="0.25">
      <c r="B87" s="5" t="s">
        <v>736</v>
      </c>
      <c r="C87" s="2">
        <v>99</v>
      </c>
      <c r="D87" s="2">
        <v>30.4</v>
      </c>
      <c r="E87" s="2">
        <v>17</v>
      </c>
      <c r="F8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10.362599999999999</v>
      </c>
      <c r="G87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7" s="143">
        <f>ROUNDUP(Cajas[[#This Row],[Largo]]/2.54,2)</f>
        <v>38.979999999999997</v>
      </c>
      <c r="I87" s="2">
        <f>ROUNDUP(Cajas[[#This Row],[Ancho]]/2.54,2)</f>
        <v>11.97</v>
      </c>
      <c r="J87" s="146">
        <f>ROUNDUP(Cajas[[#This Row],[Alto]]/2.54,2)</f>
        <v>6.7</v>
      </c>
      <c r="K87" s="146"/>
      <c r="L87" s="143"/>
      <c r="M87" s="2"/>
      <c r="N87" s="2"/>
      <c r="O87" s="2"/>
      <c r="P87" s="2"/>
      <c r="Q87" s="2"/>
      <c r="R87" s="2"/>
      <c r="S87" s="2"/>
    </row>
    <row r="88" spans="2:19" x14ac:dyDescent="0.25">
      <c r="B88" s="5" t="s">
        <v>342</v>
      </c>
      <c r="C88" s="2">
        <v>99.2</v>
      </c>
      <c r="D88" s="2">
        <v>32.5</v>
      </c>
      <c r="E88" s="2">
        <v>26.1</v>
      </c>
      <c r="F8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16.351390000000002</v>
      </c>
      <c r="G88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8" s="143">
        <f>ROUNDUP(Cajas[[#This Row],[Largo]]/2.54,2)</f>
        <v>39.059999999999995</v>
      </c>
      <c r="I88" s="2">
        <f>ROUNDUP(Cajas[[#This Row],[Ancho]]/2.54,2)</f>
        <v>12.799999999999999</v>
      </c>
      <c r="J88" s="146">
        <f>ROUNDUP(Cajas[[#This Row],[Alto]]/2.54,2)</f>
        <v>10.28</v>
      </c>
      <c r="K88" s="228"/>
      <c r="L88" s="2"/>
      <c r="M88" s="2"/>
      <c r="N88" s="2"/>
      <c r="O88" s="2"/>
      <c r="P88" s="2"/>
      <c r="Q88" s="2"/>
      <c r="R88" s="2"/>
      <c r="S88" s="2"/>
    </row>
    <row r="89" spans="2:19" ht="15.75" thickBot="1" x14ac:dyDescent="0.3">
      <c r="B89" s="5" t="s">
        <v>343</v>
      </c>
      <c r="C89" s="2">
        <v>120.7</v>
      </c>
      <c r="D89" s="2">
        <v>37.5</v>
      </c>
      <c r="E89" s="2">
        <v>35.4</v>
      </c>
      <c r="F89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30.210785000000005</v>
      </c>
      <c r="G89" s="229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9" s="143">
        <f>ROUNDUP(Cajas[[#This Row],[Largo]]/2.54,2)</f>
        <v>47.519999999999996</v>
      </c>
      <c r="I89" s="2">
        <f>ROUNDUP(Cajas[[#This Row],[Ancho]]/2.54,2)</f>
        <v>14.77</v>
      </c>
      <c r="J89" s="146">
        <f>ROUNDUP(Cajas[[#This Row],[Alto]]/2.54,2)</f>
        <v>13.94</v>
      </c>
      <c r="K89" s="229"/>
      <c r="L89" s="2"/>
      <c r="M89" s="2"/>
      <c r="N89" s="2"/>
      <c r="O89" s="2"/>
      <c r="P89" s="2"/>
      <c r="Q89" s="2"/>
      <c r="R89" s="2"/>
      <c r="S89" s="2"/>
    </row>
    <row r="90" spans="2:19" x14ac:dyDescent="0.25">
      <c r="B90" s="17" t="s">
        <v>344</v>
      </c>
      <c r="C90" s="18">
        <v>86</v>
      </c>
      <c r="D90" s="18">
        <v>14.5</v>
      </c>
      <c r="E90" s="18">
        <v>12.5</v>
      </c>
      <c r="F9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3.5089999999999999</v>
      </c>
      <c r="G9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0" s="144">
        <f>ROUNDUP(Cajas[[#This Row],[Largo]]/2.54,2)</f>
        <v>33.86</v>
      </c>
      <c r="I90" s="18">
        <f>ROUNDUP(Cajas[[#This Row],[Ancho]]/2.54,2)</f>
        <v>5.71</v>
      </c>
      <c r="J90" s="147">
        <f>ROUNDUP(Cajas[[#This Row],[Alto]]/2.54,2)</f>
        <v>4.93</v>
      </c>
      <c r="K90" s="146"/>
      <c r="L90" s="2"/>
      <c r="M90" s="2"/>
      <c r="N90" s="2"/>
      <c r="O90" s="2"/>
      <c r="P90" s="2"/>
      <c r="Q90" s="2"/>
      <c r="R90" s="2"/>
      <c r="S90" s="2"/>
    </row>
    <row r="91" spans="2:19" x14ac:dyDescent="0.25">
      <c r="B91" s="5" t="s">
        <v>345</v>
      </c>
      <c r="C91" s="2">
        <v>87</v>
      </c>
      <c r="D91" s="2">
        <v>27.5</v>
      </c>
      <c r="E91" s="2">
        <v>17</v>
      </c>
      <c r="F9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8.3140833333333326</v>
      </c>
      <c r="G9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1" s="143">
        <f>ROUNDUP(Cajas[[#This Row],[Largo]]/2.54,2)</f>
        <v>34.26</v>
      </c>
      <c r="I91" s="2">
        <f>ROUNDUP(Cajas[[#This Row],[Ancho]]/2.54,2)</f>
        <v>10.83</v>
      </c>
      <c r="J91" s="146">
        <f>ROUNDUP(Cajas[[#This Row],[Alto]]/2.54,2)</f>
        <v>6.7</v>
      </c>
      <c r="K91" s="146"/>
      <c r="L91" s="2"/>
      <c r="M91" s="2"/>
      <c r="N91" s="2"/>
      <c r="O91" s="2"/>
      <c r="P91" s="2"/>
      <c r="Q91" s="2"/>
      <c r="R91" s="2"/>
      <c r="S91" s="2"/>
    </row>
    <row r="92" spans="2:19" x14ac:dyDescent="0.25">
      <c r="B92" s="5" t="s">
        <v>346</v>
      </c>
      <c r="C92" s="2">
        <v>104.2</v>
      </c>
      <c r="D92" s="2">
        <v>27.4</v>
      </c>
      <c r="E92" s="2">
        <v>14.7</v>
      </c>
      <c r="F9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8.6903459999999981</v>
      </c>
      <c r="G9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2" s="143">
        <f>ROUNDUP(Cajas[[#This Row],[Largo]]/2.54,2)</f>
        <v>41.03</v>
      </c>
      <c r="I92" s="2">
        <f>ROUNDUP(Cajas[[#This Row],[Ancho]]/2.54,2)</f>
        <v>10.79</v>
      </c>
      <c r="J92" s="146">
        <f>ROUNDUP(Cajas[[#This Row],[Alto]]/2.54,2)</f>
        <v>5.79</v>
      </c>
      <c r="K92" s="146"/>
      <c r="L92" s="2"/>
      <c r="M92" s="2"/>
      <c r="N92" s="2"/>
      <c r="O92" s="2"/>
      <c r="P92" s="2"/>
      <c r="Q92" s="2"/>
      <c r="R92" s="2"/>
      <c r="S92" s="2"/>
    </row>
    <row r="93" spans="2:19" x14ac:dyDescent="0.25">
      <c r="B93" s="5" t="s">
        <v>347</v>
      </c>
      <c r="C93" s="2">
        <v>98</v>
      </c>
      <c r="D93" s="2">
        <v>29.5</v>
      </c>
      <c r="E93" s="2">
        <v>25.8</v>
      </c>
      <c r="F9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14.595000000000001</v>
      </c>
      <c r="G9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3" s="143">
        <f>ROUNDUP(Cajas[[#This Row],[Largo]]/2.54,2)</f>
        <v>38.589999999999996</v>
      </c>
      <c r="I93" s="2">
        <f>ROUNDUP(Cajas[[#This Row],[Ancho]]/2.54,2)</f>
        <v>11.62</v>
      </c>
      <c r="J93" s="146">
        <f>ROUNDUP(Cajas[[#This Row],[Alto]]/2.54,2)</f>
        <v>10.16</v>
      </c>
      <c r="K93" s="146"/>
      <c r="L93" s="2"/>
      <c r="M93" s="2"/>
      <c r="N93" s="2"/>
      <c r="O93" s="2"/>
      <c r="P93" s="2"/>
      <c r="Q93" s="2"/>
      <c r="R93" s="2"/>
      <c r="S93" s="2"/>
    </row>
    <row r="94" spans="2:19" ht="15.75" thickBot="1" x14ac:dyDescent="0.3">
      <c r="B94" s="5" t="s">
        <v>348</v>
      </c>
      <c r="C94" s="2">
        <v>120</v>
      </c>
      <c r="D94" s="2">
        <v>34</v>
      </c>
      <c r="E94" s="2">
        <v>34</v>
      </c>
      <c r="F9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26.352</v>
      </c>
      <c r="G9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4" s="145">
        <f>ROUNDUP(Cajas[[#This Row],[Largo]]/2.54,2)</f>
        <v>47.25</v>
      </c>
      <c r="I94" s="77">
        <f>ROUNDUP(Cajas[[#This Row],[Ancho]]/2.54,2)</f>
        <v>13.39</v>
      </c>
      <c r="J94" s="148">
        <f>ROUNDUP(Cajas[[#This Row],[Alto]]/2.54,2)</f>
        <v>13.39</v>
      </c>
      <c r="K94" s="146"/>
      <c r="L94" s="2"/>
      <c r="M94" s="2"/>
      <c r="N94" s="2"/>
      <c r="O94" s="2"/>
      <c r="P94" s="2"/>
      <c r="Q94" s="2"/>
      <c r="R94" s="2"/>
      <c r="S94" s="2"/>
    </row>
    <row r="95" spans="2:19" x14ac:dyDescent="0.25">
      <c r="B95" s="17" t="s">
        <v>349</v>
      </c>
      <c r="C95" s="18">
        <v>104</v>
      </c>
      <c r="D95" s="18">
        <v>14</v>
      </c>
      <c r="E95" s="18">
        <v>12</v>
      </c>
      <c r="F95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3.9573333333333331</v>
      </c>
      <c r="G95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5" s="143">
        <f>ROUNDUP(Cajas[[#This Row],[Largo]]/2.54,2)</f>
        <v>40.949999999999996</v>
      </c>
      <c r="I95" s="2">
        <f>ROUNDUP(Cajas[[#This Row],[Ancho]]/2.54,2)</f>
        <v>5.52</v>
      </c>
      <c r="J95" s="146">
        <f>ROUNDUP(Cajas[[#This Row],[Alto]]/2.54,2)</f>
        <v>4.7299999999999995</v>
      </c>
      <c r="K95" s="227"/>
      <c r="L95" s="2"/>
      <c r="M95" s="2"/>
      <c r="N95" s="2"/>
      <c r="O95" s="2"/>
      <c r="P95" s="2"/>
      <c r="Q95" s="2"/>
      <c r="R95" s="2"/>
      <c r="S95" s="2"/>
    </row>
    <row r="96" spans="2:19" ht="15.75" thickBot="1" x14ac:dyDescent="0.3">
      <c r="B96" s="5" t="s">
        <v>350</v>
      </c>
      <c r="C96" s="2">
        <v>104</v>
      </c>
      <c r="D96" s="2">
        <v>25</v>
      </c>
      <c r="E96" s="2">
        <v>12</v>
      </c>
      <c r="F96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96" s="229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6" s="143">
        <f>ROUNDUP(Cajas[[#This Row],[Largo]]/2.54,2)</f>
        <v>40.949999999999996</v>
      </c>
      <c r="I96" s="2">
        <f>ROUNDUP(Cajas[[#This Row],[Ancho]]/2.54,2)</f>
        <v>9.85</v>
      </c>
      <c r="J96" s="146">
        <f>ROUNDUP(Cajas[[#This Row],[Alto]]/2.54,2)</f>
        <v>4.7299999999999995</v>
      </c>
      <c r="K96" s="229"/>
      <c r="L96" s="2"/>
      <c r="M96" s="2"/>
      <c r="N96" s="2"/>
      <c r="O96" s="2"/>
      <c r="P96" s="2"/>
      <c r="Q96" s="2"/>
      <c r="R96" s="2"/>
      <c r="S96" s="2"/>
    </row>
    <row r="97" spans="2:19" x14ac:dyDescent="0.25">
      <c r="B97" s="17" t="s">
        <v>351</v>
      </c>
      <c r="C97" s="18">
        <v>88</v>
      </c>
      <c r="D97" s="18">
        <v>18</v>
      </c>
      <c r="E97" s="18">
        <v>14</v>
      </c>
      <c r="F9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</v>
      </c>
      <c r="G9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7" s="144">
        <f>ROUNDUP(Cajas[[#This Row],[Largo]]/2.54,2)</f>
        <v>34.65</v>
      </c>
      <c r="I97" s="18">
        <f>ROUNDUP(Cajas[[#This Row],[Ancho]]/2.54,2)</f>
        <v>7.09</v>
      </c>
      <c r="J97" s="147">
        <f>ROUNDUP(Cajas[[#This Row],[Alto]]/2.54,2)</f>
        <v>5.52</v>
      </c>
      <c r="K97" s="146"/>
      <c r="L97" s="2"/>
      <c r="M97" s="2"/>
      <c r="N97" s="2"/>
      <c r="O97" s="2"/>
      <c r="P97" s="2"/>
      <c r="Q97" s="2"/>
      <c r="R97" s="2"/>
      <c r="S97" s="2"/>
    </row>
    <row r="98" spans="2:19" x14ac:dyDescent="0.25">
      <c r="B98" s="5" t="s">
        <v>352</v>
      </c>
      <c r="C98" s="2">
        <v>105</v>
      </c>
      <c r="D98" s="2">
        <v>27</v>
      </c>
      <c r="E98" s="2">
        <v>13</v>
      </c>
      <c r="F9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7.7575000000000003</v>
      </c>
      <c r="G9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8" s="143">
        <f>ROUNDUP(Cajas[[#This Row],[Largo]]/2.54,2)</f>
        <v>41.339999999999996</v>
      </c>
      <c r="I98" s="2">
        <f>ROUNDUP(Cajas[[#This Row],[Ancho]]/2.54,2)</f>
        <v>10.629999999999999</v>
      </c>
      <c r="J98" s="146">
        <f>ROUNDUP(Cajas[[#This Row],[Alto]]/2.54,2)</f>
        <v>5.12</v>
      </c>
      <c r="K98" s="146"/>
      <c r="L98" s="2"/>
      <c r="M98" s="2"/>
      <c r="N98" s="2"/>
      <c r="O98" s="2"/>
      <c r="P98" s="2"/>
      <c r="Q98" s="2"/>
      <c r="R98" s="2"/>
      <c r="S98" s="2"/>
    </row>
    <row r="99" spans="2:19" x14ac:dyDescent="0.25">
      <c r="B99" s="5" t="s">
        <v>353</v>
      </c>
      <c r="C99" s="2">
        <v>105</v>
      </c>
      <c r="D99" s="2">
        <v>26</v>
      </c>
      <c r="E99" s="2">
        <v>15</v>
      </c>
      <c r="F9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8.488666666666667</v>
      </c>
      <c r="G9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9" s="143">
        <f>ROUNDUP(Cajas[[#This Row],[Largo]]/2.54,2)</f>
        <v>41.339999999999996</v>
      </c>
      <c r="I99" s="2">
        <f>ROUNDUP(Cajas[[#This Row],[Ancho]]/2.54,2)</f>
        <v>10.24</v>
      </c>
      <c r="J99" s="146">
        <f>ROUNDUP(Cajas[[#This Row],[Alto]]/2.54,2)</f>
        <v>5.91</v>
      </c>
      <c r="K99" s="146"/>
      <c r="L99" s="2"/>
      <c r="M99" s="2"/>
      <c r="N99" s="2"/>
      <c r="O99" s="2"/>
      <c r="P99" s="2"/>
      <c r="Q99" s="2"/>
      <c r="R99" s="2"/>
      <c r="S99" s="2"/>
    </row>
    <row r="100" spans="2:19" x14ac:dyDescent="0.25">
      <c r="B100" s="5" t="s">
        <v>354</v>
      </c>
      <c r="C100" s="2">
        <v>105</v>
      </c>
      <c r="D100" s="2">
        <v>27</v>
      </c>
      <c r="E100" s="2">
        <v>21</v>
      </c>
      <c r="F10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11.894833333333333</v>
      </c>
      <c r="G10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0" s="143">
        <f>ROUNDUP(Cajas[[#This Row],[Largo]]/2.54,2)</f>
        <v>41.339999999999996</v>
      </c>
      <c r="I100" s="2">
        <f>ROUNDUP(Cajas[[#This Row],[Ancho]]/2.54,2)</f>
        <v>10.629999999999999</v>
      </c>
      <c r="J100" s="146">
        <f>ROUNDUP(Cajas[[#This Row],[Alto]]/2.54,2)</f>
        <v>8.27</v>
      </c>
      <c r="K100" s="146"/>
      <c r="L100" s="2"/>
      <c r="M100" s="2"/>
      <c r="N100" s="2"/>
      <c r="O100" s="2"/>
      <c r="P100" s="2"/>
      <c r="Q100" s="2"/>
      <c r="R100" s="2"/>
      <c r="S100" s="2"/>
    </row>
    <row r="101" spans="2:19" x14ac:dyDescent="0.25">
      <c r="B101" s="5" t="s">
        <v>355</v>
      </c>
      <c r="C101" s="2">
        <v>105</v>
      </c>
      <c r="D101" s="2">
        <v>27</v>
      </c>
      <c r="E101" s="2">
        <v>28</v>
      </c>
      <c r="F10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15.515000000000001</v>
      </c>
      <c r="G10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1" s="143">
        <f>ROUNDUP(Cajas[[#This Row],[Largo]]/2.54,2)</f>
        <v>41.339999999999996</v>
      </c>
      <c r="I101" s="2">
        <f>ROUNDUP(Cajas[[#This Row],[Ancho]]/2.54,2)</f>
        <v>10.629999999999999</v>
      </c>
      <c r="J101" s="146">
        <f>ROUNDUP(Cajas[[#This Row],[Alto]]/2.54,2)</f>
        <v>11.03</v>
      </c>
      <c r="K101" s="146"/>
      <c r="L101" s="2"/>
      <c r="M101" s="2"/>
      <c r="N101" s="2"/>
      <c r="O101" s="2"/>
      <c r="P101" s="2"/>
      <c r="Q101" s="2"/>
      <c r="R101" s="2"/>
      <c r="S101" s="2"/>
    </row>
    <row r="102" spans="2:19" ht="15.75" thickBot="1" x14ac:dyDescent="0.3">
      <c r="B102" s="76" t="s">
        <v>356</v>
      </c>
      <c r="C102" s="77">
        <v>120</v>
      </c>
      <c r="D102" s="77">
        <v>30</v>
      </c>
      <c r="E102" s="77">
        <v>30</v>
      </c>
      <c r="F10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10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2" s="145">
        <f>ROUNDUP(Cajas[[#This Row],[Largo]]/2.54,2)</f>
        <v>47.25</v>
      </c>
      <c r="I102" s="77">
        <f>ROUNDUP(Cajas[[#This Row],[Ancho]]/2.54,2)</f>
        <v>11.82</v>
      </c>
      <c r="J102" s="148">
        <f>ROUNDUP(Cajas[[#This Row],[Alto]]/2.54,2)</f>
        <v>11.82</v>
      </c>
      <c r="K102" s="146"/>
      <c r="L102" s="2"/>
      <c r="M102" s="2"/>
      <c r="N102" s="2"/>
      <c r="O102" s="2"/>
      <c r="P102" s="2"/>
      <c r="Q102" s="2"/>
      <c r="R102" s="2"/>
      <c r="S102" s="2"/>
    </row>
    <row r="103" spans="2:19" x14ac:dyDescent="0.25">
      <c r="B103" s="17" t="s">
        <v>357</v>
      </c>
      <c r="C103" s="18">
        <v>105</v>
      </c>
      <c r="D103" s="18">
        <v>16</v>
      </c>
      <c r="E103" s="18">
        <v>13</v>
      </c>
      <c r="F103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4.8150000000000004</v>
      </c>
      <c r="G103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3" s="143">
        <f>ROUNDUP(Cajas[[#This Row],[Largo]]/2.54,2)</f>
        <v>41.339999999999996</v>
      </c>
      <c r="I103" s="2">
        <f>ROUNDUP(Cajas[[#This Row],[Ancho]]/2.54,2)</f>
        <v>6.3</v>
      </c>
      <c r="J103" s="146">
        <f>ROUNDUP(Cajas[[#This Row],[Alto]]/2.54,2)</f>
        <v>5.12</v>
      </c>
      <c r="K103" s="227"/>
      <c r="L103" s="2"/>
      <c r="M103" s="2"/>
      <c r="N103" s="2"/>
      <c r="O103" s="2"/>
      <c r="P103" s="2"/>
      <c r="Q103" s="2"/>
      <c r="R103" s="2"/>
      <c r="S103" s="2"/>
    </row>
    <row r="104" spans="2:19" x14ac:dyDescent="0.25">
      <c r="B104" s="5" t="s">
        <v>358</v>
      </c>
      <c r="C104" s="2">
        <v>94</v>
      </c>
      <c r="D104" s="2">
        <v>28</v>
      </c>
      <c r="E104" s="2">
        <v>14</v>
      </c>
      <c r="F10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7.68</v>
      </c>
      <c r="G104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4" s="143">
        <f>ROUNDUP(Cajas[[#This Row],[Largo]]/2.54,2)</f>
        <v>37.01</v>
      </c>
      <c r="I104" s="2">
        <f>ROUNDUP(Cajas[[#This Row],[Ancho]]/2.54,2)</f>
        <v>11.03</v>
      </c>
      <c r="J104" s="146">
        <f>ROUNDUP(Cajas[[#This Row],[Alto]]/2.54,2)</f>
        <v>5.52</v>
      </c>
      <c r="K104" s="228"/>
      <c r="L104" s="2"/>
      <c r="M104" s="2"/>
      <c r="N104" s="2"/>
      <c r="O104" s="2"/>
      <c r="P104" s="2"/>
      <c r="Q104" s="2"/>
      <c r="R104" s="2"/>
      <c r="S104" s="2"/>
    </row>
    <row r="105" spans="2:19" x14ac:dyDescent="0.25">
      <c r="B105" s="5" t="s">
        <v>359</v>
      </c>
      <c r="C105" s="2">
        <v>97</v>
      </c>
      <c r="D105" s="2">
        <v>30</v>
      </c>
      <c r="E105" s="2">
        <v>17</v>
      </c>
      <c r="F10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10.032</v>
      </c>
      <c r="G105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5" s="143">
        <f>ROUNDUP(Cajas[[#This Row],[Largo]]/2.54,2)</f>
        <v>38.19</v>
      </c>
      <c r="I105" s="2">
        <f>ROUNDUP(Cajas[[#This Row],[Ancho]]/2.54,2)</f>
        <v>11.82</v>
      </c>
      <c r="J105" s="146">
        <f>ROUNDUP(Cajas[[#This Row],[Alto]]/2.54,2)</f>
        <v>6.7</v>
      </c>
      <c r="K105" s="228"/>
      <c r="L105" s="2"/>
      <c r="M105" s="2"/>
      <c r="N105" s="2"/>
      <c r="O105" s="2"/>
      <c r="P105" s="2"/>
      <c r="Q105" s="2"/>
      <c r="R105" s="2"/>
      <c r="S105" s="2"/>
    </row>
    <row r="106" spans="2:19" x14ac:dyDescent="0.25">
      <c r="B106" s="5" t="s">
        <v>360</v>
      </c>
      <c r="C106" s="2">
        <v>90</v>
      </c>
      <c r="D106" s="2">
        <v>30</v>
      </c>
      <c r="E106" s="2">
        <v>28</v>
      </c>
      <c r="F10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14.72</v>
      </c>
      <c r="G106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6" s="143">
        <f>ROUNDUP(Cajas[[#This Row],[Largo]]/2.54,2)</f>
        <v>35.44</v>
      </c>
      <c r="I106" s="2">
        <f>ROUNDUP(Cajas[[#This Row],[Ancho]]/2.54,2)</f>
        <v>11.82</v>
      </c>
      <c r="J106" s="146">
        <f>ROUNDUP(Cajas[[#This Row],[Alto]]/2.54,2)</f>
        <v>11.03</v>
      </c>
      <c r="K106" s="228"/>
      <c r="L106" s="2"/>
      <c r="M106" s="2"/>
      <c r="N106" s="2"/>
      <c r="O106" s="2"/>
      <c r="P106" s="2"/>
      <c r="Q106" s="2"/>
      <c r="R106" s="2"/>
      <c r="S106" s="2"/>
    </row>
    <row r="107" spans="2:19" x14ac:dyDescent="0.25">
      <c r="B107" s="5" t="s">
        <v>360</v>
      </c>
      <c r="C107" s="2">
        <v>97</v>
      </c>
      <c r="D107" s="2">
        <v>30</v>
      </c>
      <c r="E107" s="2">
        <v>30</v>
      </c>
      <c r="F10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16.896000000000001</v>
      </c>
      <c r="G107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7" s="143">
        <f>ROUNDUP(Cajas[[#This Row],[Largo]]/2.54,2)</f>
        <v>38.19</v>
      </c>
      <c r="I107" s="2">
        <f>ROUNDUP(Cajas[[#This Row],[Ancho]]/2.54,2)</f>
        <v>11.82</v>
      </c>
      <c r="J107" s="146">
        <f>ROUNDUP(Cajas[[#This Row],[Alto]]/2.54,2)</f>
        <v>11.82</v>
      </c>
      <c r="K107" s="228"/>
      <c r="L107" s="2"/>
      <c r="M107" s="2"/>
      <c r="N107" s="2"/>
      <c r="O107" s="2"/>
      <c r="P107" s="2"/>
      <c r="Q107" s="2"/>
      <c r="R107" s="2"/>
      <c r="S107" s="2"/>
    </row>
    <row r="108" spans="2:19" x14ac:dyDescent="0.25">
      <c r="B108" s="5" t="s">
        <v>361</v>
      </c>
      <c r="C108" s="2">
        <v>120</v>
      </c>
      <c r="D108" s="2">
        <v>33</v>
      </c>
      <c r="E108" s="2">
        <v>33</v>
      </c>
      <c r="F10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24.908333333333335</v>
      </c>
      <c r="G108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8" s="143">
        <f>ROUNDUP(Cajas[[#This Row],[Largo]]/2.54,2)</f>
        <v>47.25</v>
      </c>
      <c r="I108" s="2">
        <f>ROUNDUP(Cajas[[#This Row],[Ancho]]/2.54,2)</f>
        <v>13</v>
      </c>
      <c r="J108" s="146">
        <f>ROUNDUP(Cajas[[#This Row],[Alto]]/2.54,2)</f>
        <v>13</v>
      </c>
      <c r="K108" s="228"/>
      <c r="L108" s="2"/>
      <c r="M108" s="2"/>
      <c r="N108" s="2"/>
      <c r="O108" s="2"/>
      <c r="P108" s="2"/>
      <c r="Q108" s="2"/>
      <c r="R108" s="2"/>
      <c r="S108" s="2"/>
    </row>
    <row r="109" spans="2:19" ht="15.75" thickBot="1" x14ac:dyDescent="0.3">
      <c r="B109" s="5" t="s">
        <v>362</v>
      </c>
      <c r="C109" s="2">
        <v>130</v>
      </c>
      <c r="D109" s="2">
        <v>33</v>
      </c>
      <c r="E109" s="2">
        <v>33</v>
      </c>
      <c r="F10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26.95</v>
      </c>
      <c r="G109" s="229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9" s="143">
        <f>ROUNDUP(Cajas[[#This Row],[Largo]]/2.54,2)</f>
        <v>51.19</v>
      </c>
      <c r="I109" s="2">
        <f>ROUNDUP(Cajas[[#This Row],[Ancho]]/2.54,2)</f>
        <v>13</v>
      </c>
      <c r="J109" s="146">
        <f>ROUNDUP(Cajas[[#This Row],[Alto]]/2.54,2)</f>
        <v>13</v>
      </c>
      <c r="K109" s="228"/>
      <c r="L109" s="2"/>
      <c r="M109" s="2"/>
      <c r="N109" s="2"/>
      <c r="O109" s="2"/>
      <c r="P109" s="2"/>
      <c r="Q109" s="2"/>
      <c r="R109" s="2"/>
      <c r="S109" s="2"/>
    </row>
    <row r="110" spans="2:19" x14ac:dyDescent="0.25">
      <c r="B110" s="17" t="s">
        <v>363</v>
      </c>
      <c r="C110" s="18">
        <v>100</v>
      </c>
      <c r="D110" s="18">
        <v>14</v>
      </c>
      <c r="E110" s="18">
        <v>12</v>
      </c>
      <c r="F110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3.8079999999999998</v>
      </c>
      <c r="G11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0" s="144">
        <f>ROUNDUP(Cajas[[#This Row],[Largo]]/2.54,2)</f>
        <v>39.379999999999995</v>
      </c>
      <c r="I110" s="18">
        <f>ROUNDUP(Cajas[[#This Row],[Ancho]]/2.54,2)</f>
        <v>5.52</v>
      </c>
      <c r="J110" s="147">
        <f>ROUNDUP(Cajas[[#This Row],[Alto]]/2.54,2)</f>
        <v>4.7299999999999995</v>
      </c>
      <c r="K110" s="147"/>
      <c r="L110" s="143"/>
      <c r="M110" s="2"/>
      <c r="N110" s="2"/>
      <c r="O110" s="2"/>
      <c r="P110" s="2"/>
      <c r="Q110" s="2"/>
      <c r="R110" s="2"/>
      <c r="S110" s="2"/>
    </row>
    <row r="111" spans="2:19" ht="15.75" thickBot="1" x14ac:dyDescent="0.3">
      <c r="B111" s="76" t="s">
        <v>364</v>
      </c>
      <c r="C111" s="77">
        <v>103</v>
      </c>
      <c r="D111" s="77">
        <v>30</v>
      </c>
      <c r="E111" s="77">
        <v>14</v>
      </c>
      <c r="F111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8.9600000000000009</v>
      </c>
      <c r="G11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1" s="145">
        <f>ROUNDUP(Cajas[[#This Row],[Largo]]/2.54,2)</f>
        <v>40.559999999999995</v>
      </c>
      <c r="I111" s="77">
        <f>ROUNDUP(Cajas[[#This Row],[Ancho]]/2.54,2)</f>
        <v>11.82</v>
      </c>
      <c r="J111" s="148">
        <f>ROUNDUP(Cajas[[#This Row],[Alto]]/2.54,2)</f>
        <v>5.52</v>
      </c>
      <c r="K111" s="148"/>
      <c r="L111" s="143"/>
      <c r="M111" s="2"/>
      <c r="N111" s="2"/>
      <c r="O111" s="2"/>
      <c r="P111" s="2"/>
      <c r="Q111" s="2"/>
      <c r="R111" s="2"/>
      <c r="S111" s="2"/>
    </row>
    <row r="112" spans="2:19" x14ac:dyDescent="0.25">
      <c r="B112" s="5" t="s">
        <v>365</v>
      </c>
      <c r="C112" s="2">
        <v>104</v>
      </c>
      <c r="D112" s="2">
        <v>15</v>
      </c>
      <c r="E112" s="2">
        <v>15</v>
      </c>
      <c r="F11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5.105666666666667</v>
      </c>
      <c r="G112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2" s="143">
        <f>ROUNDUP(Cajas[[#This Row],[Largo]]/2.54,2)</f>
        <v>40.949999999999996</v>
      </c>
      <c r="I112" s="2">
        <f>ROUNDUP(Cajas[[#This Row],[Ancho]]/2.54,2)</f>
        <v>5.91</v>
      </c>
      <c r="J112" s="146">
        <f>ROUNDUP(Cajas[[#This Row],[Alto]]/2.54,2)</f>
        <v>5.91</v>
      </c>
      <c r="K112" s="228"/>
      <c r="L112" s="2"/>
      <c r="M112" s="2"/>
      <c r="N112" s="2"/>
      <c r="O112" s="2"/>
      <c r="P112" s="2"/>
      <c r="Q112" s="2"/>
      <c r="R112" s="2"/>
      <c r="S112" s="2"/>
    </row>
    <row r="113" spans="2:19" ht="15.75" thickBot="1" x14ac:dyDescent="0.3">
      <c r="B113" s="5" t="s">
        <v>366</v>
      </c>
      <c r="C113" s="2">
        <v>104</v>
      </c>
      <c r="D113" s="2">
        <v>25</v>
      </c>
      <c r="E113" s="2">
        <v>15</v>
      </c>
      <c r="F11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113" s="229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3" s="145">
        <f>ROUNDUP(Cajas[[#This Row],[Largo]]/2.54,2)</f>
        <v>40.949999999999996</v>
      </c>
      <c r="I113" s="77">
        <f>ROUNDUP(Cajas[[#This Row],[Ancho]]/2.54,2)</f>
        <v>9.85</v>
      </c>
      <c r="J113" s="148">
        <f>ROUNDUP(Cajas[[#This Row],[Alto]]/2.54,2)</f>
        <v>5.91</v>
      </c>
      <c r="K113" s="229"/>
      <c r="L113" s="2"/>
      <c r="M113" s="2"/>
      <c r="N113" s="2"/>
      <c r="O113" s="2"/>
      <c r="P113" s="2"/>
      <c r="Q113" s="2"/>
      <c r="R113" s="2"/>
      <c r="S113" s="2"/>
    </row>
    <row r="114" spans="2:19" x14ac:dyDescent="0.25">
      <c r="B114" s="17" t="s">
        <v>367</v>
      </c>
      <c r="C114" s="18">
        <v>80</v>
      </c>
      <c r="D114" s="18">
        <v>18</v>
      </c>
      <c r="E114" s="18">
        <v>20</v>
      </c>
      <c r="F114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6.0133333333333336</v>
      </c>
      <c r="G11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4" s="143">
        <f>ROUNDUP(Cajas[[#This Row],[Largo]]/2.54,2)</f>
        <v>31.5</v>
      </c>
      <c r="I114" s="2">
        <f>ROUNDUP(Cajas[[#This Row],[Ancho]]/2.54,2)</f>
        <v>7.09</v>
      </c>
      <c r="J114" s="146">
        <f>ROUNDUP(Cajas[[#This Row],[Alto]]/2.54,2)</f>
        <v>7.88</v>
      </c>
      <c r="K114" s="227"/>
      <c r="L114" s="2"/>
      <c r="M114" s="2" t="s">
        <v>308</v>
      </c>
      <c r="N114" s="2" t="s">
        <v>308</v>
      </c>
      <c r="O114" s="2"/>
      <c r="P114" s="2"/>
      <c r="Q114" s="2"/>
      <c r="R114" s="2"/>
      <c r="S114" s="2"/>
    </row>
    <row r="115" spans="2:19" x14ac:dyDescent="0.25">
      <c r="B115" s="5" t="s">
        <v>368</v>
      </c>
      <c r="C115" s="2">
        <v>96</v>
      </c>
      <c r="D115" s="2">
        <v>32</v>
      </c>
      <c r="E115" s="2">
        <v>20</v>
      </c>
      <c r="F11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12.217333333333332</v>
      </c>
      <c r="G11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5" s="143">
        <f>ROUNDUP(Cajas[[#This Row],[Largo]]/2.54,2)</f>
        <v>37.799999999999997</v>
      </c>
      <c r="I115" s="2">
        <f>ROUNDUP(Cajas[[#This Row],[Ancho]]/2.54,2)</f>
        <v>12.6</v>
      </c>
      <c r="J115" s="146">
        <f>ROUNDUP(Cajas[[#This Row],[Alto]]/2.54,2)</f>
        <v>7.88</v>
      </c>
      <c r="K115" s="228"/>
      <c r="L115" s="2" t="s">
        <v>276</v>
      </c>
      <c r="M115" s="2" t="s">
        <v>276</v>
      </c>
      <c r="N115" s="2" t="s">
        <v>274</v>
      </c>
      <c r="O115" s="2" t="s">
        <v>274</v>
      </c>
      <c r="P115" s="2"/>
      <c r="Q115" s="2"/>
      <c r="R115" s="2"/>
      <c r="S115" s="2"/>
    </row>
    <row r="116" spans="2:19" x14ac:dyDescent="0.25">
      <c r="B116" s="5" t="s">
        <v>369</v>
      </c>
      <c r="C116" s="2">
        <v>104</v>
      </c>
      <c r="D116" s="2">
        <v>30</v>
      </c>
      <c r="E116" s="2">
        <v>15</v>
      </c>
      <c r="F11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9.6106666666666669</v>
      </c>
      <c r="G11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6" s="143">
        <f>ROUNDUP(Cajas[[#This Row],[Largo]]/2.54,2)</f>
        <v>40.949999999999996</v>
      </c>
      <c r="I116" s="2">
        <f>ROUNDUP(Cajas[[#This Row],[Ancho]]/2.54,2)</f>
        <v>11.82</v>
      </c>
      <c r="J116" s="146">
        <f>ROUNDUP(Cajas[[#This Row],[Alto]]/2.54,2)</f>
        <v>5.91</v>
      </c>
      <c r="K116" s="228"/>
      <c r="L116" s="2" t="s">
        <v>276</v>
      </c>
      <c r="M116" s="2" t="s">
        <v>276</v>
      </c>
      <c r="N116" s="2" t="s">
        <v>274</v>
      </c>
      <c r="O116" s="2" t="s">
        <v>370</v>
      </c>
      <c r="P116" s="2"/>
      <c r="Q116" s="2"/>
      <c r="R116" s="2"/>
      <c r="S116" s="2"/>
    </row>
    <row r="117" spans="2:19" x14ac:dyDescent="0.25">
      <c r="B117" s="5" t="s">
        <v>371</v>
      </c>
      <c r="C117" s="2">
        <v>120</v>
      </c>
      <c r="D117" s="2">
        <v>32</v>
      </c>
      <c r="E117" s="2">
        <v>30</v>
      </c>
      <c r="F11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22.122666666666667</v>
      </c>
      <c r="G11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7" s="143">
        <f>ROUNDUP(Cajas[[#This Row],[Largo]]/2.54,2)</f>
        <v>47.25</v>
      </c>
      <c r="I117" s="2">
        <f>ROUNDUP(Cajas[[#This Row],[Ancho]]/2.54,2)</f>
        <v>12.6</v>
      </c>
      <c r="J117" s="146">
        <f>ROUNDUP(Cajas[[#This Row],[Alto]]/2.54,2)</f>
        <v>11.82</v>
      </c>
      <c r="K117" s="228"/>
      <c r="L117" s="2" t="s">
        <v>265</v>
      </c>
      <c r="M117" s="2" t="s">
        <v>270</v>
      </c>
      <c r="N117" s="2" t="s">
        <v>270</v>
      </c>
      <c r="O117" s="2" t="s">
        <v>274</v>
      </c>
      <c r="P117" s="2"/>
      <c r="Q117" s="2"/>
      <c r="R117" s="2"/>
      <c r="S117" s="2"/>
    </row>
    <row r="118" spans="2:19" x14ac:dyDescent="0.25">
      <c r="B118" s="5" t="s">
        <v>372</v>
      </c>
      <c r="C118" s="2">
        <v>104</v>
      </c>
      <c r="D118" s="2">
        <v>25</v>
      </c>
      <c r="E118" s="2">
        <v>25</v>
      </c>
      <c r="F11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12.879</v>
      </c>
      <c r="G11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8" s="143">
        <f>ROUNDUP(Cajas[[#This Row],[Largo]]/2.54,2)</f>
        <v>40.949999999999996</v>
      </c>
      <c r="I118" s="2">
        <f>ROUNDUP(Cajas[[#This Row],[Ancho]]/2.54,2)</f>
        <v>9.85</v>
      </c>
      <c r="J118" s="146">
        <f>ROUNDUP(Cajas[[#This Row],[Alto]]/2.54,2)</f>
        <v>9.85</v>
      </c>
      <c r="K118" s="228"/>
      <c r="L118" s="2" t="s">
        <v>373</v>
      </c>
      <c r="M118" s="2" t="s">
        <v>270</v>
      </c>
      <c r="N118" s="2" t="s">
        <v>274</v>
      </c>
      <c r="O118" s="2" t="s">
        <v>274</v>
      </c>
      <c r="P118" s="2"/>
      <c r="Q118" s="2"/>
      <c r="R118" s="2"/>
      <c r="S118" s="2"/>
    </row>
    <row r="119" spans="2:19" x14ac:dyDescent="0.25">
      <c r="B119" s="5" t="s">
        <v>374</v>
      </c>
      <c r="C119" s="2">
        <v>104</v>
      </c>
      <c r="D119" s="2">
        <v>30</v>
      </c>
      <c r="E119" s="2">
        <v>30</v>
      </c>
      <c r="F11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11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9" s="143">
        <f>ROUNDUP(Cajas[[#This Row],[Largo]]/2.54,2)</f>
        <v>40.949999999999996</v>
      </c>
      <c r="I119" s="2">
        <f>ROUNDUP(Cajas[[#This Row],[Ancho]]/2.54,2)</f>
        <v>11.82</v>
      </c>
      <c r="J119" s="146">
        <f>ROUNDUP(Cajas[[#This Row],[Alto]]/2.54,2)</f>
        <v>11.82</v>
      </c>
      <c r="K119" s="228"/>
      <c r="L119" s="2" t="s">
        <v>267</v>
      </c>
      <c r="M119" s="2" t="s">
        <v>262</v>
      </c>
      <c r="N119" s="2" t="s">
        <v>265</v>
      </c>
      <c r="O119" s="2" t="s">
        <v>270</v>
      </c>
      <c r="P119" s="2"/>
      <c r="Q119" s="2"/>
      <c r="R119" s="2"/>
      <c r="S119" s="2"/>
    </row>
    <row r="120" spans="2:19" x14ac:dyDescent="0.25">
      <c r="B120" s="5" t="s">
        <v>375</v>
      </c>
      <c r="C120" s="2">
        <v>120</v>
      </c>
      <c r="D120" s="2">
        <v>35</v>
      </c>
      <c r="E120" s="2">
        <v>35</v>
      </c>
      <c r="F12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2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0" s="143">
        <f>ROUNDUP(Cajas[[#This Row],[Largo]]/2.54,2)</f>
        <v>47.25</v>
      </c>
      <c r="I120" s="2">
        <f>ROUNDUP(Cajas[[#This Row],[Ancho]]/2.54,2)</f>
        <v>13.78</v>
      </c>
      <c r="J120" s="146">
        <f>ROUNDUP(Cajas[[#This Row],[Alto]]/2.54,2)</f>
        <v>13.78</v>
      </c>
      <c r="K120" s="228"/>
      <c r="L120" s="2" t="s">
        <v>317</v>
      </c>
      <c r="M120" s="2" t="s">
        <v>317</v>
      </c>
      <c r="N120" s="2" t="s">
        <v>318</v>
      </c>
      <c r="O120" s="2" t="s">
        <v>314</v>
      </c>
      <c r="P120" s="2"/>
      <c r="Q120" s="2"/>
      <c r="R120" s="2"/>
      <c r="S120" s="2"/>
    </row>
    <row r="121" spans="2:19" x14ac:dyDescent="0.25">
      <c r="B121" s="5" t="s">
        <v>376</v>
      </c>
      <c r="C121" s="2">
        <v>120</v>
      </c>
      <c r="D121" s="2">
        <v>40</v>
      </c>
      <c r="E121" s="2">
        <v>40</v>
      </c>
      <c r="F12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35.868000000000002</v>
      </c>
      <c r="G12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1" s="143">
        <f>ROUNDUP(Cajas[[#This Row],[Largo]]/2.54,2)</f>
        <v>47.25</v>
      </c>
      <c r="I121" s="2">
        <f>ROUNDUP(Cajas[[#This Row],[Ancho]]/2.54,2)</f>
        <v>15.75</v>
      </c>
      <c r="J121" s="146">
        <f>ROUNDUP(Cajas[[#This Row],[Alto]]/2.54,2)</f>
        <v>15.75</v>
      </c>
      <c r="K121" s="228"/>
      <c r="L121" s="2" t="s">
        <v>321</v>
      </c>
      <c r="M121" s="2" t="s">
        <v>317</v>
      </c>
      <c r="N121" s="2" t="s">
        <v>318</v>
      </c>
      <c r="O121" s="2" t="s">
        <v>260</v>
      </c>
      <c r="P121" s="2"/>
      <c r="Q121" s="2"/>
      <c r="R121" s="2"/>
      <c r="S121" s="2"/>
    </row>
    <row r="122" spans="2:19" ht="15.75" thickBot="1" x14ac:dyDescent="0.3">
      <c r="B122" s="5" t="s">
        <v>377</v>
      </c>
      <c r="C122" s="2">
        <v>120</v>
      </c>
      <c r="D122" s="2">
        <v>30</v>
      </c>
      <c r="E122" s="2">
        <v>30</v>
      </c>
      <c r="F122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12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2" s="143">
        <f>ROUNDUP(Cajas[[#This Row],[Largo]]/2.54,2)</f>
        <v>47.25</v>
      </c>
      <c r="I122" s="2">
        <f>ROUNDUP(Cajas[[#This Row],[Ancho]]/2.54,2)</f>
        <v>11.82</v>
      </c>
      <c r="J122" s="146">
        <f>ROUNDUP(Cajas[[#This Row],[Alto]]/2.54,2)</f>
        <v>11.82</v>
      </c>
      <c r="K122" s="229"/>
      <c r="L122" s="2" t="s">
        <v>314</v>
      </c>
      <c r="M122" s="2" t="s">
        <v>267</v>
      </c>
      <c r="N122" s="2" t="s">
        <v>264</v>
      </c>
      <c r="O122" s="2" t="s">
        <v>268</v>
      </c>
      <c r="P122" s="2"/>
      <c r="Q122" s="2"/>
      <c r="R122" s="2"/>
      <c r="S122" s="2"/>
    </row>
    <row r="123" spans="2:19" ht="15.75" thickBot="1" x14ac:dyDescent="0.3">
      <c r="B123" s="17" t="s">
        <v>378</v>
      </c>
      <c r="C123" s="18">
        <v>102.11</v>
      </c>
      <c r="D123" s="18">
        <v>17.02</v>
      </c>
      <c r="E123" s="18">
        <v>13</v>
      </c>
      <c r="F12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4.9504304999999995</v>
      </c>
      <c r="G123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3" s="144">
        <f>ROUNDUP(Cajas[[#This Row],[Largo]]/2.54,2)</f>
        <v>40.21</v>
      </c>
      <c r="I123" s="18">
        <f>ROUNDUP(Cajas[[#This Row],[Ancho]]/2.54,2)</f>
        <v>6.71</v>
      </c>
      <c r="J123" s="147">
        <f>ROUNDUP(Cajas[[#This Row],[Alto]]/2.54,2)</f>
        <v>5.12</v>
      </c>
      <c r="K123" s="228"/>
      <c r="L123" s="143"/>
      <c r="M123" s="2" t="s">
        <v>262</v>
      </c>
      <c r="N123" s="2" t="s">
        <v>262</v>
      </c>
      <c r="O123" s="2" t="s">
        <v>262</v>
      </c>
      <c r="P123" s="2"/>
      <c r="Q123" s="2"/>
      <c r="R123" s="2"/>
      <c r="S123" s="2"/>
    </row>
    <row r="124" spans="2:19" x14ac:dyDescent="0.25">
      <c r="B124" s="17" t="s">
        <v>335</v>
      </c>
      <c r="C124" s="18">
        <v>103</v>
      </c>
      <c r="D124" s="18">
        <v>15</v>
      </c>
      <c r="E124" s="18">
        <v>12</v>
      </c>
      <c r="F124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4.165</v>
      </c>
      <c r="G124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4" s="144">
        <f>ROUNDUP(Cajas[[#This Row],[Largo]]/2.54,2)</f>
        <v>40.559999999999995</v>
      </c>
      <c r="I124" s="18">
        <f>ROUNDUP(Cajas[[#This Row],[Ancho]]/2.54,2)</f>
        <v>5.91</v>
      </c>
      <c r="J124" s="147">
        <f>ROUNDUP(Cajas[[#This Row],[Alto]]/2.54,2)</f>
        <v>4.7299999999999995</v>
      </c>
      <c r="K124" s="147"/>
      <c r="L124" s="143"/>
      <c r="M124" s="2"/>
      <c r="N124" s="2"/>
      <c r="O124" s="2"/>
      <c r="P124" s="2"/>
      <c r="Q124" s="2"/>
      <c r="R124" s="2"/>
      <c r="S124" s="2"/>
    </row>
    <row r="125" spans="2:19" x14ac:dyDescent="0.25">
      <c r="B125" s="5" t="s">
        <v>334</v>
      </c>
      <c r="C125" s="2">
        <v>104</v>
      </c>
      <c r="D125" s="2">
        <v>25.5</v>
      </c>
      <c r="E125" s="2">
        <v>12</v>
      </c>
      <c r="F12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6.8016666666666667</v>
      </c>
      <c r="G12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5" s="143">
        <f>ROUNDUP(Cajas[[#This Row],[Largo]]/2.54,2)</f>
        <v>40.949999999999996</v>
      </c>
      <c r="I125" s="2">
        <f>ROUNDUP(Cajas[[#This Row],[Ancho]]/2.54,2)</f>
        <v>10.039999999999999</v>
      </c>
      <c r="J125" s="146">
        <f>ROUNDUP(Cajas[[#This Row],[Alto]]/2.54,2)</f>
        <v>4.7299999999999995</v>
      </c>
      <c r="K125" s="146"/>
      <c r="L125" s="143"/>
      <c r="M125" s="2"/>
      <c r="N125" s="2"/>
      <c r="O125" s="2"/>
      <c r="P125" s="2"/>
      <c r="Q125" s="2"/>
      <c r="R125" s="2"/>
      <c r="S125" s="2"/>
    </row>
    <row r="126" spans="2:19" x14ac:dyDescent="0.25">
      <c r="B126" s="5" t="s">
        <v>333</v>
      </c>
      <c r="C126" s="2">
        <v>104</v>
      </c>
      <c r="D126" s="2">
        <v>24</v>
      </c>
      <c r="E126" s="2">
        <v>16</v>
      </c>
      <c r="F12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8.2680000000000007</v>
      </c>
      <c r="G12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6" s="143">
        <f>ROUNDUP(Cajas[[#This Row],[Largo]]/2.54,2)</f>
        <v>40.949999999999996</v>
      </c>
      <c r="I126" s="2">
        <f>ROUNDUP(Cajas[[#This Row],[Ancho]]/2.54,2)</f>
        <v>9.4499999999999993</v>
      </c>
      <c r="J126" s="146">
        <f>ROUNDUP(Cajas[[#This Row],[Alto]]/2.54,2)</f>
        <v>6.3</v>
      </c>
      <c r="K126" s="146"/>
      <c r="L126" s="143"/>
      <c r="M126" s="2"/>
      <c r="N126" s="2"/>
      <c r="O126" s="2"/>
      <c r="P126" s="2"/>
      <c r="Q126" s="2"/>
      <c r="R126" s="2"/>
      <c r="S126" s="2"/>
    </row>
    <row r="127" spans="2:19" x14ac:dyDescent="0.25">
      <c r="B127" s="5" t="s">
        <v>379</v>
      </c>
      <c r="C127" s="2">
        <v>105</v>
      </c>
      <c r="D127" s="2">
        <v>25.5</v>
      </c>
      <c r="E127" s="2">
        <v>25</v>
      </c>
      <c r="F12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13.241250000000001</v>
      </c>
      <c r="G127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7" s="143">
        <f>ROUNDUP(Cajas[[#This Row],[Largo]]/2.54,2)</f>
        <v>41.339999999999996</v>
      </c>
      <c r="I127" s="2">
        <f>ROUNDUP(Cajas[[#This Row],[Ancho]]/2.54,2)</f>
        <v>10.039999999999999</v>
      </c>
      <c r="J127" s="146">
        <f>ROUNDUP(Cajas[[#This Row],[Alto]]/2.54,2)</f>
        <v>9.85</v>
      </c>
      <c r="K127" s="146"/>
      <c r="L127" s="143"/>
      <c r="M127" s="2"/>
      <c r="N127" s="2"/>
      <c r="O127" s="2"/>
      <c r="P127" s="2"/>
      <c r="Q127" s="2"/>
      <c r="R127" s="2"/>
      <c r="S127" s="2"/>
    </row>
    <row r="128" spans="2:19" ht="15.75" thickBot="1" x14ac:dyDescent="0.3">
      <c r="B128" s="5" t="s">
        <v>380</v>
      </c>
      <c r="C128" s="2">
        <v>120</v>
      </c>
      <c r="D128" s="2">
        <v>35</v>
      </c>
      <c r="E128" s="2">
        <v>35</v>
      </c>
      <c r="F12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28" s="229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8" s="143">
        <f>ROUNDUP(Cajas[[#This Row],[Largo]]/2.54,2)</f>
        <v>47.25</v>
      </c>
      <c r="I128" s="2">
        <f>ROUNDUP(Cajas[[#This Row],[Ancho]]/2.54,2)</f>
        <v>13.78</v>
      </c>
      <c r="J128" s="146">
        <f>ROUNDUP(Cajas[[#This Row],[Alto]]/2.54,2)</f>
        <v>13.78</v>
      </c>
      <c r="K128" s="146"/>
      <c r="L128" s="143"/>
      <c r="M128" s="2"/>
      <c r="N128" s="2"/>
      <c r="O128" s="2"/>
      <c r="P128" s="2"/>
      <c r="Q128" s="2"/>
      <c r="R128" s="2"/>
      <c r="S128" s="2"/>
    </row>
    <row r="129" spans="2:19" x14ac:dyDescent="0.25">
      <c r="B129" s="17" t="s">
        <v>381</v>
      </c>
      <c r="C129" s="18">
        <v>101</v>
      </c>
      <c r="D129" s="18">
        <v>30</v>
      </c>
      <c r="E129" s="18">
        <v>20</v>
      </c>
      <c r="F129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12.085333333333333</v>
      </c>
      <c r="G12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9" s="144">
        <f>ROUNDUP(Cajas[[#This Row],[Largo]]/2.54,2)</f>
        <v>39.769999999999996</v>
      </c>
      <c r="I129" s="18">
        <f>ROUNDUP(Cajas[[#This Row],[Ancho]]/2.54,2)</f>
        <v>11.82</v>
      </c>
      <c r="J129" s="147">
        <f>ROUNDUP(Cajas[[#This Row],[Alto]]/2.54,2)</f>
        <v>7.88</v>
      </c>
      <c r="K129" s="227"/>
      <c r="L129" s="2" t="s">
        <v>270</v>
      </c>
      <c r="M129" s="2" t="s">
        <v>273</v>
      </c>
      <c r="N129" s="2" t="s">
        <v>273</v>
      </c>
      <c r="O129" s="2" t="s">
        <v>274</v>
      </c>
      <c r="P129" s="2" t="s">
        <v>274</v>
      </c>
      <c r="Q129" s="2"/>
      <c r="R129" s="2"/>
      <c r="S129" s="2"/>
    </row>
    <row r="130" spans="2:19" x14ac:dyDescent="0.25">
      <c r="B130" s="5" t="s">
        <v>382</v>
      </c>
      <c r="C130" s="2">
        <v>100</v>
      </c>
      <c r="D130" s="2">
        <v>35</v>
      </c>
      <c r="E130" s="2">
        <v>35</v>
      </c>
      <c r="F13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23.273</v>
      </c>
      <c r="G13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0" s="143">
        <f>ROUNDUP(Cajas[[#This Row],[Largo]]/2.54,2)</f>
        <v>39.379999999999995</v>
      </c>
      <c r="I130" s="2">
        <f>ROUNDUP(Cajas[[#This Row],[Ancho]]/2.54,2)</f>
        <v>13.78</v>
      </c>
      <c r="J130" s="146">
        <f>ROUNDUP(Cajas[[#This Row],[Alto]]/2.54,2)</f>
        <v>13.78</v>
      </c>
      <c r="K130" s="228"/>
      <c r="L130" s="2" t="s">
        <v>267</v>
      </c>
      <c r="M130" s="2" t="s">
        <v>267</v>
      </c>
      <c r="N130" s="2" t="s">
        <v>262</v>
      </c>
      <c r="O130" s="2"/>
      <c r="P130" s="2"/>
      <c r="Q130" s="2"/>
      <c r="R130" s="2"/>
      <c r="S130" s="2"/>
    </row>
    <row r="131" spans="2:19" x14ac:dyDescent="0.25">
      <c r="B131" s="5" t="s">
        <v>383</v>
      </c>
      <c r="C131" s="2">
        <v>110</v>
      </c>
      <c r="D131" s="2">
        <v>25</v>
      </c>
      <c r="E131" s="2">
        <v>25</v>
      </c>
      <c r="F13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13.608000000000001</v>
      </c>
      <c r="G13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1" s="143">
        <f>ROUNDUP(Cajas[[#This Row],[Largo]]/2.54,2)</f>
        <v>43.309999999999995</v>
      </c>
      <c r="I131" s="2">
        <f>ROUNDUP(Cajas[[#This Row],[Ancho]]/2.54,2)</f>
        <v>9.85</v>
      </c>
      <c r="J131" s="146">
        <f>ROUNDUP(Cajas[[#This Row],[Alto]]/2.54,2)</f>
        <v>9.85</v>
      </c>
      <c r="K131" s="228"/>
      <c r="L131" s="2" t="s">
        <v>314</v>
      </c>
      <c r="M131" s="2" t="s">
        <v>314</v>
      </c>
      <c r="N131" s="2" t="s">
        <v>267</v>
      </c>
      <c r="O131" s="2" t="s">
        <v>267</v>
      </c>
      <c r="P131" s="2" t="s">
        <v>267</v>
      </c>
      <c r="Q131" s="2"/>
      <c r="R131" s="2"/>
      <c r="S131" s="2"/>
    </row>
    <row r="132" spans="2:19" x14ac:dyDescent="0.25">
      <c r="B132" s="5" t="s">
        <v>384</v>
      </c>
      <c r="C132" s="2">
        <v>120</v>
      </c>
      <c r="D132" s="2">
        <v>35</v>
      </c>
      <c r="E132" s="2">
        <v>35</v>
      </c>
      <c r="F13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3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2" s="143">
        <f>ROUNDUP(Cajas[[#This Row],[Largo]]/2.54,2)</f>
        <v>47.25</v>
      </c>
      <c r="I132" s="2">
        <f>ROUNDUP(Cajas[[#This Row],[Ancho]]/2.54,2)</f>
        <v>13.78</v>
      </c>
      <c r="J132" s="146">
        <f>ROUNDUP(Cajas[[#This Row],[Alto]]/2.54,2)</f>
        <v>13.78</v>
      </c>
      <c r="K132" s="228"/>
      <c r="L132" s="2" t="s">
        <v>318</v>
      </c>
      <c r="M132" s="2" t="s">
        <v>314</v>
      </c>
      <c r="N132" s="2" t="s">
        <v>267</v>
      </c>
      <c r="O132" s="2" t="s">
        <v>267</v>
      </c>
      <c r="P132" s="2" t="s">
        <v>267</v>
      </c>
      <c r="Q132" s="2"/>
      <c r="R132" s="2"/>
      <c r="S132" s="2"/>
    </row>
    <row r="133" spans="2:19" ht="15.75" thickBot="1" x14ac:dyDescent="0.3">
      <c r="B133" s="76" t="s">
        <v>385</v>
      </c>
      <c r="C133" s="77">
        <v>130</v>
      </c>
      <c r="D133" s="77">
        <v>35</v>
      </c>
      <c r="E133" s="77">
        <v>35</v>
      </c>
      <c r="F133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30.117999999999999</v>
      </c>
      <c r="G13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3" s="145">
        <f>ROUNDUP(Cajas[[#This Row],[Largo]]/2.54,2)</f>
        <v>51.19</v>
      </c>
      <c r="I133" s="77">
        <f>ROUNDUP(Cajas[[#This Row],[Ancho]]/2.54,2)</f>
        <v>13.78</v>
      </c>
      <c r="J133" s="148">
        <f>ROUNDUP(Cajas[[#This Row],[Alto]]/2.54,2)</f>
        <v>13.78</v>
      </c>
      <c r="K133" s="229"/>
      <c r="L133" s="2" t="s">
        <v>258</v>
      </c>
      <c r="M133" s="2" t="s">
        <v>318</v>
      </c>
      <c r="N133" s="2" t="s">
        <v>314</v>
      </c>
      <c r="O133" s="2" t="s">
        <v>267</v>
      </c>
      <c r="P133" s="2" t="s">
        <v>267</v>
      </c>
      <c r="Q133" s="2"/>
      <c r="R133" s="2"/>
      <c r="S133" s="2"/>
    </row>
    <row r="134" spans="2:19" x14ac:dyDescent="0.25">
      <c r="B134" s="17" t="s">
        <v>386</v>
      </c>
      <c r="C134" s="18">
        <v>58</v>
      </c>
      <c r="D134" s="18">
        <v>31.8</v>
      </c>
      <c r="E134" s="18">
        <v>40</v>
      </c>
      <c r="F13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14.195999999999998</v>
      </c>
      <c r="G134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4" s="143">
        <f>ROUNDUP(Cajas[[#This Row],[Largo]]/2.54,2)</f>
        <v>22.84</v>
      </c>
      <c r="I134" s="2">
        <f>ROUNDUP(Cajas[[#This Row],[Ancho]]/2.54,2)</f>
        <v>12.52</v>
      </c>
      <c r="J134" s="146">
        <f>ROUNDUP(Cajas[[#This Row],[Alto]]/2.54,2)</f>
        <v>15.75</v>
      </c>
      <c r="K134" s="228"/>
      <c r="L134" s="2"/>
      <c r="M134" s="2"/>
      <c r="N134" s="2"/>
      <c r="O134" s="2"/>
      <c r="P134" s="2"/>
      <c r="Q134" s="2"/>
      <c r="R134" s="2"/>
      <c r="S134" s="2"/>
    </row>
    <row r="135" spans="2:19" x14ac:dyDescent="0.25">
      <c r="B135" s="5" t="s">
        <v>387</v>
      </c>
      <c r="C135" s="2">
        <v>69.599999999999994</v>
      </c>
      <c r="D135" s="2">
        <v>36</v>
      </c>
      <c r="E135" s="2">
        <v>47.3</v>
      </c>
      <c r="F13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22.355906666666662</v>
      </c>
      <c r="G135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5" s="143">
        <f>ROUNDUP(Cajas[[#This Row],[Largo]]/2.54,2)</f>
        <v>27.41</v>
      </c>
      <c r="I135" s="2">
        <f>ROUNDUP(Cajas[[#This Row],[Ancho]]/2.54,2)</f>
        <v>14.18</v>
      </c>
      <c r="J135" s="146">
        <f>ROUNDUP(Cajas[[#This Row],[Alto]]/2.54,2)</f>
        <v>18.630000000000003</v>
      </c>
      <c r="K135" s="228"/>
      <c r="L135" s="2"/>
      <c r="M135" s="2"/>
      <c r="N135" s="2"/>
      <c r="O135" s="2"/>
      <c r="P135" s="2"/>
      <c r="Q135" s="2"/>
      <c r="R135" s="2"/>
      <c r="S135" s="2"/>
    </row>
    <row r="136" spans="2:19" x14ac:dyDescent="0.25">
      <c r="B136" s="5" t="s">
        <v>388</v>
      </c>
      <c r="C136" s="2">
        <v>70</v>
      </c>
      <c r="D136" s="2">
        <v>22.5</v>
      </c>
      <c r="E136" s="2">
        <v>15</v>
      </c>
      <c r="F13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4.9980000000000002</v>
      </c>
      <c r="G136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6" s="143">
        <f>ROUNDUP(Cajas[[#This Row],[Largo]]/2.54,2)</f>
        <v>27.560000000000002</v>
      </c>
      <c r="I136" s="2">
        <f>ROUNDUP(Cajas[[#This Row],[Ancho]]/2.54,2)</f>
        <v>8.86</v>
      </c>
      <c r="J136" s="146">
        <f>ROUNDUP(Cajas[[#This Row],[Alto]]/2.54,2)</f>
        <v>5.91</v>
      </c>
      <c r="K136" s="228"/>
      <c r="L136" s="2"/>
      <c r="M136" s="2"/>
      <c r="N136" s="2"/>
      <c r="O136" s="2"/>
      <c r="P136" s="2"/>
      <c r="Q136" s="2"/>
      <c r="R136" s="2"/>
      <c r="S136" s="2"/>
    </row>
    <row r="137" spans="2:19" x14ac:dyDescent="0.25">
      <c r="B137" s="5" t="s">
        <v>389</v>
      </c>
      <c r="C137" s="2">
        <v>90</v>
      </c>
      <c r="D137" s="2">
        <v>17</v>
      </c>
      <c r="E137" s="2">
        <v>28</v>
      </c>
      <c r="F13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8.74</v>
      </c>
      <c r="G137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7" s="143">
        <f>ROUNDUP(Cajas[[#This Row],[Largo]]/2.54,2)</f>
        <v>35.44</v>
      </c>
      <c r="I137" s="2">
        <f>ROUNDUP(Cajas[[#This Row],[Ancho]]/2.54,2)</f>
        <v>6.7</v>
      </c>
      <c r="J137" s="146">
        <f>ROUNDUP(Cajas[[#This Row],[Alto]]/2.54,2)</f>
        <v>11.03</v>
      </c>
      <c r="K137" s="228"/>
      <c r="L137" s="2"/>
      <c r="M137" s="2"/>
      <c r="N137" s="2"/>
      <c r="O137" s="2"/>
      <c r="P137" s="2"/>
      <c r="Q137" s="2"/>
      <c r="R137" s="2"/>
      <c r="S137" s="2"/>
    </row>
    <row r="138" spans="2:19" ht="15.75" thickBot="1" x14ac:dyDescent="0.3">
      <c r="B138" s="5" t="s">
        <v>390</v>
      </c>
      <c r="C138" s="2">
        <v>105</v>
      </c>
      <c r="D138" s="2">
        <v>30</v>
      </c>
      <c r="E138" s="2">
        <v>30</v>
      </c>
      <c r="F13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38" s="229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8" s="143">
        <f>ROUNDUP(Cajas[[#This Row],[Largo]]/2.54,2)</f>
        <v>41.339999999999996</v>
      </c>
      <c r="I138" s="2">
        <f>ROUNDUP(Cajas[[#This Row],[Ancho]]/2.54,2)</f>
        <v>11.82</v>
      </c>
      <c r="J138" s="146">
        <f>ROUNDUP(Cajas[[#This Row],[Alto]]/2.54,2)</f>
        <v>11.82</v>
      </c>
      <c r="K138" s="228"/>
      <c r="L138" s="2"/>
      <c r="M138" s="2"/>
      <c r="N138" s="2"/>
      <c r="O138" s="2"/>
      <c r="P138" s="2"/>
      <c r="Q138" s="2"/>
      <c r="R138" s="2"/>
      <c r="S138" s="2"/>
    </row>
    <row r="139" spans="2:19" x14ac:dyDescent="0.25">
      <c r="B139" s="17" t="s">
        <v>391</v>
      </c>
      <c r="C139" s="18">
        <v>104</v>
      </c>
      <c r="D139" s="18">
        <v>30</v>
      </c>
      <c r="E139" s="18">
        <v>17</v>
      </c>
      <c r="F139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10.741333333333333</v>
      </c>
      <c r="G13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9" s="144">
        <f>ROUNDUP(Cajas[[#This Row],[Largo]]/2.54,2)</f>
        <v>40.949999999999996</v>
      </c>
      <c r="I139" s="18">
        <f>ROUNDUP(Cajas[[#This Row],[Ancho]]/2.54,2)</f>
        <v>11.82</v>
      </c>
      <c r="J139" s="147">
        <f>ROUNDUP(Cajas[[#This Row],[Alto]]/2.54,2)</f>
        <v>6.7</v>
      </c>
      <c r="K139" s="227"/>
      <c r="L139" s="143" t="s">
        <v>270</v>
      </c>
      <c r="M139" s="2" t="s">
        <v>276</v>
      </c>
      <c r="N139" s="2" t="s">
        <v>274</v>
      </c>
      <c r="O139" s="2" t="s">
        <v>274</v>
      </c>
      <c r="P139" s="2"/>
      <c r="Q139" s="2"/>
      <c r="R139" s="2"/>
      <c r="S139" s="2"/>
    </row>
    <row r="140" spans="2:19" x14ac:dyDescent="0.25">
      <c r="B140" s="5" t="s">
        <v>392</v>
      </c>
      <c r="C140" s="2">
        <v>105</v>
      </c>
      <c r="D140" s="2">
        <v>26</v>
      </c>
      <c r="E140" s="2">
        <v>25</v>
      </c>
      <c r="F14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13.481999999999999</v>
      </c>
      <c r="G14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0" s="143">
        <f>ROUNDUP(Cajas[[#This Row],[Largo]]/2.54,2)</f>
        <v>41.339999999999996</v>
      </c>
      <c r="I140" s="2">
        <f>ROUNDUP(Cajas[[#This Row],[Ancho]]/2.54,2)</f>
        <v>10.24</v>
      </c>
      <c r="J140" s="146">
        <f>ROUNDUP(Cajas[[#This Row],[Alto]]/2.54,2)</f>
        <v>9.85</v>
      </c>
      <c r="K140" s="228"/>
      <c r="L140" s="143" t="s">
        <v>265</v>
      </c>
      <c r="M140" s="2" t="s">
        <v>269</v>
      </c>
      <c r="N140" s="2" t="s">
        <v>270</v>
      </c>
      <c r="O140" s="2" t="s">
        <v>270</v>
      </c>
      <c r="P140" s="2" t="s">
        <v>274</v>
      </c>
      <c r="Q140" s="2"/>
      <c r="R140" s="2"/>
      <c r="S140" s="2"/>
    </row>
    <row r="141" spans="2:19" x14ac:dyDescent="0.25">
      <c r="B141" s="5" t="s">
        <v>393</v>
      </c>
      <c r="C141" s="2">
        <v>112</v>
      </c>
      <c r="D141" s="2">
        <v>30</v>
      </c>
      <c r="E141" s="2">
        <v>28</v>
      </c>
      <c r="F14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18.239999999999998</v>
      </c>
      <c r="G14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1" s="143">
        <f>ROUNDUP(Cajas[[#This Row],[Largo]]/2.54,2)</f>
        <v>44.1</v>
      </c>
      <c r="I141" s="2">
        <f>ROUNDUP(Cajas[[#This Row],[Ancho]]/2.54,2)</f>
        <v>11.82</v>
      </c>
      <c r="J141" s="146">
        <f>ROUNDUP(Cajas[[#This Row],[Alto]]/2.54,2)</f>
        <v>11.03</v>
      </c>
      <c r="K141" s="228"/>
      <c r="L141" s="143" t="s">
        <v>267</v>
      </c>
      <c r="M141" s="2" t="s">
        <v>262</v>
      </c>
      <c r="N141" s="2" t="s">
        <v>265</v>
      </c>
      <c r="O141" s="2" t="s">
        <v>265</v>
      </c>
      <c r="P141" s="2" t="s">
        <v>270</v>
      </c>
      <c r="Q141" s="2"/>
      <c r="R141" s="2"/>
      <c r="S141" s="2"/>
    </row>
    <row r="142" spans="2:19" x14ac:dyDescent="0.25">
      <c r="B142" s="5" t="s">
        <v>394</v>
      </c>
      <c r="C142" s="2">
        <v>120</v>
      </c>
      <c r="D142" s="2">
        <v>33</v>
      </c>
      <c r="E142" s="2">
        <v>32</v>
      </c>
      <c r="F14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24.196666666666665</v>
      </c>
      <c r="G14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2" s="143">
        <f>ROUNDUP(Cajas[[#This Row],[Largo]]/2.54,2)</f>
        <v>47.25</v>
      </c>
      <c r="I142" s="2">
        <f>ROUNDUP(Cajas[[#This Row],[Ancho]]/2.54,2)</f>
        <v>13</v>
      </c>
      <c r="J142" s="146">
        <f>ROUNDUP(Cajas[[#This Row],[Alto]]/2.54,2)</f>
        <v>12.6</v>
      </c>
      <c r="K142" s="228"/>
      <c r="L142" s="143" t="s">
        <v>318</v>
      </c>
      <c r="M142" s="2" t="s">
        <v>314</v>
      </c>
      <c r="N142" s="2" t="s">
        <v>267</v>
      </c>
      <c r="O142" s="2" t="s">
        <v>267</v>
      </c>
      <c r="P142" s="2" t="s">
        <v>262</v>
      </c>
      <c r="Q142" s="2"/>
      <c r="R142" s="2"/>
      <c r="S142" s="2"/>
    </row>
    <row r="143" spans="2:19" ht="15.75" thickBot="1" x14ac:dyDescent="0.3">
      <c r="B143" s="5" t="s">
        <v>395</v>
      </c>
      <c r="C143" s="2">
        <v>130</v>
      </c>
      <c r="D143" s="2">
        <v>36</v>
      </c>
      <c r="E143" s="2">
        <v>36</v>
      </c>
      <c r="F14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31.768000000000001</v>
      </c>
      <c r="G14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3" s="143">
        <f>ROUNDUP(Cajas[[#This Row],[Largo]]/2.54,2)</f>
        <v>51.19</v>
      </c>
      <c r="I143" s="2">
        <f>ROUNDUP(Cajas[[#This Row],[Ancho]]/2.54,2)</f>
        <v>14.18</v>
      </c>
      <c r="J143" s="146">
        <f>ROUNDUP(Cajas[[#This Row],[Alto]]/2.54,2)</f>
        <v>14.18</v>
      </c>
      <c r="K143" s="228"/>
      <c r="L143" s="143" t="s">
        <v>279</v>
      </c>
      <c r="M143" s="2" t="s">
        <v>321</v>
      </c>
      <c r="N143" s="2" t="s">
        <v>318</v>
      </c>
      <c r="O143" s="2" t="s">
        <v>260</v>
      </c>
      <c r="P143" s="2" t="s">
        <v>262</v>
      </c>
      <c r="Q143" s="2"/>
      <c r="R143" s="2"/>
      <c r="S143" s="2"/>
    </row>
    <row r="144" spans="2:19" x14ac:dyDescent="0.25">
      <c r="B144" s="17" t="s">
        <v>396</v>
      </c>
      <c r="C144" s="18">
        <v>18</v>
      </c>
      <c r="D144" s="18">
        <v>30</v>
      </c>
      <c r="E144" s="18">
        <v>100</v>
      </c>
      <c r="F144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44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4" s="144">
        <f>ROUNDUP(Cajas[[#This Row],[Largo]]/2.54,2)</f>
        <v>7.09</v>
      </c>
      <c r="I144" s="18">
        <f>ROUNDUP(Cajas[[#This Row],[Ancho]]/2.54,2)</f>
        <v>11.82</v>
      </c>
      <c r="J144" s="147">
        <f>ROUNDUP(Cajas[[#This Row],[Alto]]/2.54,2)</f>
        <v>39.379999999999995</v>
      </c>
      <c r="K144" s="227"/>
      <c r="L144" s="2"/>
      <c r="M144" s="2"/>
      <c r="N144" s="2"/>
      <c r="O144" s="2"/>
      <c r="P144" s="2"/>
      <c r="Q144" s="2"/>
      <c r="R144" s="2"/>
      <c r="S144" s="2"/>
    </row>
    <row r="145" spans="2:19" x14ac:dyDescent="0.25">
      <c r="B145" s="5" t="s">
        <v>397</v>
      </c>
      <c r="C145" s="2">
        <v>15</v>
      </c>
      <c r="D145" s="2">
        <v>25</v>
      </c>
      <c r="E145" s="2">
        <v>91</v>
      </c>
      <c r="F14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7.1144999999999996</v>
      </c>
      <c r="G145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5" s="143">
        <f>ROUNDUP(Cajas[[#This Row],[Largo]]/2.54,2)</f>
        <v>5.91</v>
      </c>
      <c r="I145" s="2">
        <f>ROUNDUP(Cajas[[#This Row],[Ancho]]/2.54,2)</f>
        <v>9.85</v>
      </c>
      <c r="J145" s="146">
        <f>ROUNDUP(Cajas[[#This Row],[Alto]]/2.54,2)</f>
        <v>35.83</v>
      </c>
      <c r="K145" s="228"/>
      <c r="L145" s="2"/>
      <c r="M145" s="2"/>
      <c r="N145" s="2"/>
      <c r="O145" s="2"/>
      <c r="P145" s="2"/>
      <c r="Q145" s="2"/>
      <c r="R145" s="2"/>
      <c r="S145" s="2"/>
    </row>
    <row r="146" spans="2:19" x14ac:dyDescent="0.25">
      <c r="B146" s="5" t="s">
        <v>398</v>
      </c>
      <c r="C146" s="2">
        <v>18</v>
      </c>
      <c r="D146" s="2">
        <v>30</v>
      </c>
      <c r="E146" s="2">
        <v>100</v>
      </c>
      <c r="F14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46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6" s="143">
        <f>ROUNDUP(Cajas[[#This Row],[Largo]]/2.54,2)</f>
        <v>7.09</v>
      </c>
      <c r="I146" s="2">
        <f>ROUNDUP(Cajas[[#This Row],[Ancho]]/2.54,2)</f>
        <v>11.82</v>
      </c>
      <c r="J146" s="146">
        <f>ROUNDUP(Cajas[[#This Row],[Alto]]/2.54,2)</f>
        <v>39.379999999999995</v>
      </c>
      <c r="K146" s="228"/>
      <c r="L146" s="2"/>
      <c r="M146" s="2"/>
      <c r="N146" s="2"/>
      <c r="O146" s="2"/>
      <c r="P146" s="2"/>
      <c r="Q146" s="2"/>
      <c r="R146" s="2"/>
      <c r="S146" s="2"/>
    </row>
    <row r="147" spans="2:19" x14ac:dyDescent="0.25">
      <c r="B147" s="5" t="s">
        <v>399</v>
      </c>
      <c r="C147" s="2">
        <v>18</v>
      </c>
      <c r="D147" s="2">
        <v>30</v>
      </c>
      <c r="E147" s="2">
        <v>85</v>
      </c>
      <c r="F14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9.2799999999999994</v>
      </c>
      <c r="G147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7" s="143">
        <f>ROUNDUP(Cajas[[#This Row],[Largo]]/2.54,2)</f>
        <v>7.09</v>
      </c>
      <c r="I147" s="2">
        <f>ROUNDUP(Cajas[[#This Row],[Ancho]]/2.54,2)</f>
        <v>11.82</v>
      </c>
      <c r="J147" s="146">
        <f>ROUNDUP(Cajas[[#This Row],[Alto]]/2.54,2)</f>
        <v>33.47</v>
      </c>
      <c r="K147" s="228"/>
      <c r="L147" s="2"/>
      <c r="M147" s="2"/>
      <c r="N147" s="2"/>
      <c r="O147" s="2"/>
      <c r="P147" s="2"/>
      <c r="Q147" s="2"/>
      <c r="R147" s="2"/>
      <c r="S147" s="2"/>
    </row>
    <row r="148" spans="2:19" x14ac:dyDescent="0.25">
      <c r="B148" s="5" t="s">
        <v>400</v>
      </c>
      <c r="C148" s="2">
        <v>18</v>
      </c>
      <c r="D148" s="2">
        <v>30</v>
      </c>
      <c r="E148" s="2">
        <v>100</v>
      </c>
      <c r="F14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48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8" s="143">
        <f>ROUNDUP(Cajas[[#This Row],[Largo]]/2.54,2)</f>
        <v>7.09</v>
      </c>
      <c r="I148" s="2">
        <f>ROUNDUP(Cajas[[#This Row],[Ancho]]/2.54,2)</f>
        <v>11.82</v>
      </c>
      <c r="J148" s="146">
        <f>ROUNDUP(Cajas[[#This Row],[Alto]]/2.54,2)</f>
        <v>39.379999999999995</v>
      </c>
      <c r="K148" s="228"/>
      <c r="L148" s="2"/>
      <c r="M148" s="2"/>
      <c r="N148" s="2"/>
      <c r="O148" s="2"/>
      <c r="P148" s="2"/>
      <c r="Q148" s="2"/>
      <c r="R148" s="2"/>
      <c r="S148" s="2"/>
    </row>
    <row r="149" spans="2:19" x14ac:dyDescent="0.25">
      <c r="B149" s="5" t="s">
        <v>401</v>
      </c>
      <c r="C149" s="2">
        <v>30</v>
      </c>
      <c r="D149" s="2">
        <v>30</v>
      </c>
      <c r="E149" s="2">
        <v>90</v>
      </c>
      <c r="F14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15.701333333333332</v>
      </c>
      <c r="G149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9" s="143">
        <f>ROUNDUP(Cajas[[#This Row],[Largo]]/2.54,2)</f>
        <v>11.82</v>
      </c>
      <c r="I149" s="2">
        <f>ROUNDUP(Cajas[[#This Row],[Ancho]]/2.54,2)</f>
        <v>11.82</v>
      </c>
      <c r="J149" s="146">
        <f>ROUNDUP(Cajas[[#This Row],[Alto]]/2.54,2)</f>
        <v>35.44</v>
      </c>
      <c r="K149" s="228"/>
      <c r="L149" s="2"/>
      <c r="M149" s="2"/>
      <c r="N149" s="2"/>
      <c r="O149" s="2"/>
      <c r="P149" s="2"/>
      <c r="Q149" s="2"/>
      <c r="R149" s="2"/>
      <c r="S149" s="2"/>
    </row>
    <row r="150" spans="2:19" x14ac:dyDescent="0.25">
      <c r="B150" s="5" t="s">
        <v>402</v>
      </c>
      <c r="C150" s="2">
        <v>30</v>
      </c>
      <c r="D150" s="2">
        <v>30</v>
      </c>
      <c r="E150" s="2">
        <v>105</v>
      </c>
      <c r="F15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50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0" s="143">
        <f>ROUNDUP(Cajas[[#This Row],[Largo]]/2.54,2)</f>
        <v>11.82</v>
      </c>
      <c r="I150" s="2">
        <f>ROUNDUP(Cajas[[#This Row],[Ancho]]/2.54,2)</f>
        <v>11.82</v>
      </c>
      <c r="J150" s="146">
        <f>ROUNDUP(Cajas[[#This Row],[Alto]]/2.54,2)</f>
        <v>41.339999999999996</v>
      </c>
      <c r="K150" s="228"/>
      <c r="L150" s="2"/>
      <c r="M150" s="2"/>
      <c r="N150" s="2"/>
      <c r="O150" s="2"/>
      <c r="P150" s="2"/>
      <c r="Q150" s="2"/>
      <c r="R150" s="2"/>
      <c r="S150" s="2"/>
    </row>
    <row r="151" spans="2:19" x14ac:dyDescent="0.25">
      <c r="B151" s="5" t="s">
        <v>403</v>
      </c>
      <c r="C151" s="2">
        <v>30</v>
      </c>
      <c r="D151" s="2">
        <v>30</v>
      </c>
      <c r="E151" s="2">
        <v>90</v>
      </c>
      <c r="F15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15.701333333333332</v>
      </c>
      <c r="G151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1" s="143">
        <f>ROUNDUP(Cajas[[#This Row],[Largo]]/2.54,2)</f>
        <v>11.82</v>
      </c>
      <c r="I151" s="2">
        <f>ROUNDUP(Cajas[[#This Row],[Ancho]]/2.54,2)</f>
        <v>11.82</v>
      </c>
      <c r="J151" s="146">
        <f>ROUNDUP(Cajas[[#This Row],[Alto]]/2.54,2)</f>
        <v>35.44</v>
      </c>
      <c r="K151" s="228"/>
      <c r="L151" s="2"/>
      <c r="M151" s="2"/>
      <c r="N151" s="2"/>
      <c r="O151" s="2"/>
      <c r="P151" s="2"/>
      <c r="Q151" s="2"/>
      <c r="R151" s="2"/>
      <c r="S151" s="2"/>
    </row>
    <row r="152" spans="2:19" x14ac:dyDescent="0.25">
      <c r="B152" s="5" t="s">
        <v>404</v>
      </c>
      <c r="C152" s="2">
        <v>30</v>
      </c>
      <c r="D152" s="2">
        <v>30</v>
      </c>
      <c r="E152" s="2">
        <v>105</v>
      </c>
      <c r="F15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52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2" s="143">
        <f>ROUNDUP(Cajas[[#This Row],[Largo]]/2.54,2)</f>
        <v>11.82</v>
      </c>
      <c r="I152" s="2">
        <f>ROUNDUP(Cajas[[#This Row],[Ancho]]/2.54,2)</f>
        <v>11.82</v>
      </c>
      <c r="J152" s="146">
        <f>ROUNDUP(Cajas[[#This Row],[Alto]]/2.54,2)</f>
        <v>41.339999999999996</v>
      </c>
      <c r="K152" s="228"/>
      <c r="L152" s="2"/>
      <c r="M152" s="2"/>
      <c r="N152" s="2"/>
      <c r="O152" s="2"/>
      <c r="P152" s="2"/>
      <c r="Q152" s="2"/>
      <c r="R152" s="2"/>
      <c r="S152" s="2"/>
    </row>
    <row r="153" spans="2:19" x14ac:dyDescent="0.25">
      <c r="B153" s="5" t="s">
        <v>405</v>
      </c>
      <c r="C153" s="2">
        <v>35</v>
      </c>
      <c r="D153" s="2">
        <v>35</v>
      </c>
      <c r="E153" s="2">
        <v>120</v>
      </c>
      <c r="F15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53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3" s="143">
        <f>ROUNDUP(Cajas[[#This Row],[Largo]]/2.54,2)</f>
        <v>13.78</v>
      </c>
      <c r="I153" s="2">
        <f>ROUNDUP(Cajas[[#This Row],[Ancho]]/2.54,2)</f>
        <v>13.78</v>
      </c>
      <c r="J153" s="146">
        <f>ROUNDUP(Cajas[[#This Row],[Alto]]/2.54,2)</f>
        <v>47.25</v>
      </c>
      <c r="K153" s="228"/>
      <c r="L153" s="2"/>
      <c r="M153" s="2"/>
      <c r="N153" s="2"/>
      <c r="O153" s="2"/>
      <c r="P153" s="2"/>
      <c r="Q153" s="2"/>
      <c r="R153" s="2"/>
      <c r="S153" s="2"/>
    </row>
    <row r="154" spans="2:19" x14ac:dyDescent="0.25">
      <c r="B154" s="5" t="s">
        <v>406</v>
      </c>
      <c r="C154" s="2">
        <v>40</v>
      </c>
      <c r="D154" s="2">
        <v>40</v>
      </c>
      <c r="E154" s="2">
        <v>120</v>
      </c>
      <c r="F15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35.868000000000002</v>
      </c>
      <c r="G154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4" s="143">
        <f>ROUNDUP(Cajas[[#This Row],[Largo]]/2.54,2)</f>
        <v>15.75</v>
      </c>
      <c r="I154" s="2">
        <f>ROUNDUP(Cajas[[#This Row],[Ancho]]/2.54,2)</f>
        <v>15.75</v>
      </c>
      <c r="J154" s="146">
        <f>ROUNDUP(Cajas[[#This Row],[Alto]]/2.54,2)</f>
        <v>47.25</v>
      </c>
      <c r="K154" s="228"/>
      <c r="L154" s="2"/>
      <c r="M154" s="2"/>
      <c r="N154" s="2"/>
      <c r="O154" s="2"/>
      <c r="P154" s="2"/>
      <c r="Q154" s="2"/>
      <c r="R154" s="2"/>
      <c r="S154" s="2"/>
    </row>
    <row r="155" spans="2:19" ht="15.75" thickBot="1" x14ac:dyDescent="0.3">
      <c r="B155" s="5" t="s">
        <v>407</v>
      </c>
      <c r="C155" s="2">
        <v>82</v>
      </c>
      <c r="D155" s="2">
        <v>32</v>
      </c>
      <c r="E155" s="2">
        <v>20</v>
      </c>
      <c r="F15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10.472</v>
      </c>
      <c r="G155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5" s="143">
        <f>ROUNDUP(Cajas[[#This Row],[Largo]]/2.54,2)</f>
        <v>32.29</v>
      </c>
      <c r="I155" s="2">
        <f>ROUNDUP(Cajas[[#This Row],[Ancho]]/2.54,2)</f>
        <v>12.6</v>
      </c>
      <c r="J155" s="146">
        <f>ROUNDUP(Cajas[[#This Row],[Alto]]/2.54,2)</f>
        <v>7.88</v>
      </c>
      <c r="K155" s="228"/>
      <c r="L155" s="2"/>
      <c r="M155" s="2"/>
      <c r="N155" s="2"/>
      <c r="O155" s="2"/>
      <c r="P155" s="2"/>
      <c r="Q155" s="2"/>
      <c r="R155" s="2"/>
      <c r="S155" s="2"/>
    </row>
    <row r="156" spans="2:19" x14ac:dyDescent="0.25">
      <c r="B156" s="17" t="s">
        <v>647</v>
      </c>
      <c r="C156" s="18">
        <v>98</v>
      </c>
      <c r="D156" s="18">
        <v>28</v>
      </c>
      <c r="E156" s="18">
        <v>17</v>
      </c>
      <c r="F156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9.5</v>
      </c>
      <c r="G15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6" s="144">
        <f>ROUNDUP(Cajas[[#This Row],[Largo]]/2.54,2)</f>
        <v>38.589999999999996</v>
      </c>
      <c r="I156" s="18">
        <f>ROUNDUP(Cajas[[#This Row],[Ancho]]/2.54,2)</f>
        <v>11.03</v>
      </c>
      <c r="J156" s="147">
        <f>ROUNDUP(Cajas[[#This Row],[Alto]]/2.54,2)</f>
        <v>6.7</v>
      </c>
      <c r="K156" s="147"/>
      <c r="L156" s="143"/>
      <c r="M156" s="2"/>
      <c r="N156" s="2"/>
      <c r="O156" s="2"/>
      <c r="P156" s="2"/>
      <c r="Q156" s="2"/>
      <c r="R156" s="2"/>
      <c r="S156" s="2"/>
    </row>
    <row r="157" spans="2:19" x14ac:dyDescent="0.25">
      <c r="B157" s="5" t="s">
        <v>648</v>
      </c>
      <c r="C157" s="2">
        <v>105</v>
      </c>
      <c r="D157" s="2">
        <v>35</v>
      </c>
      <c r="E157" s="2">
        <v>35</v>
      </c>
      <c r="F15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15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7" s="143">
        <f>ROUNDUP(Cajas[[#This Row],[Largo]]/2.54,2)</f>
        <v>41.339999999999996</v>
      </c>
      <c r="I157" s="2">
        <f>ROUNDUP(Cajas[[#This Row],[Ancho]]/2.54,2)</f>
        <v>13.78</v>
      </c>
      <c r="J157" s="146">
        <f>ROUNDUP(Cajas[[#This Row],[Alto]]/2.54,2)</f>
        <v>13.78</v>
      </c>
      <c r="K157" s="146"/>
      <c r="L157" s="143"/>
      <c r="M157" s="2"/>
      <c r="N157" s="2"/>
      <c r="O157" s="2"/>
      <c r="P157" s="2"/>
      <c r="Q157" s="2"/>
      <c r="R157" s="2"/>
      <c r="S157" s="2"/>
    </row>
    <row r="158" spans="2:19" ht="15.75" thickBot="1" x14ac:dyDescent="0.3">
      <c r="B158" s="76" t="s">
        <v>649</v>
      </c>
      <c r="C158" s="77">
        <v>120</v>
      </c>
      <c r="D158" s="77">
        <v>35</v>
      </c>
      <c r="E158" s="77">
        <v>35</v>
      </c>
      <c r="F158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58" s="7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8" s="145">
        <f>ROUNDUP(Cajas[[#This Row],[Largo]]/2.54,2)</f>
        <v>47.25</v>
      </c>
      <c r="I158" s="77">
        <f>ROUNDUP(Cajas[[#This Row],[Ancho]]/2.54,2)</f>
        <v>13.78</v>
      </c>
      <c r="J158" s="148">
        <f>ROUNDUP(Cajas[[#This Row],[Alto]]/2.54,2)</f>
        <v>13.78</v>
      </c>
      <c r="K158" s="148"/>
      <c r="L158" s="143"/>
      <c r="M158" s="2"/>
      <c r="N158" s="2"/>
      <c r="O158" s="2"/>
      <c r="P158" s="2"/>
      <c r="Q158" s="2"/>
      <c r="R158" s="2"/>
      <c r="S158" s="2"/>
    </row>
    <row r="159" spans="2:19" ht="15.75" thickBot="1" x14ac:dyDescent="0.3">
      <c r="B159" s="5" t="s">
        <v>408</v>
      </c>
      <c r="C159" s="2">
        <v>40</v>
      </c>
      <c r="D159" s="2">
        <v>32</v>
      </c>
      <c r="E159" s="2">
        <v>56</v>
      </c>
      <c r="F15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13.804</v>
      </c>
      <c r="G15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9" s="143">
        <f>ROUNDUP(Cajas[[#This Row],[Largo]]/2.54,2)</f>
        <v>15.75</v>
      </c>
      <c r="I159" s="2">
        <f>ROUNDUP(Cajas[[#This Row],[Ancho]]/2.54,2)</f>
        <v>12.6</v>
      </c>
      <c r="J159" s="146">
        <f>ROUNDUP(Cajas[[#This Row],[Alto]]/2.54,2)</f>
        <v>22.05</v>
      </c>
      <c r="K159" s="146"/>
      <c r="L159" s="143"/>
      <c r="M159" s="2" t="s">
        <v>294</v>
      </c>
      <c r="N159" s="2"/>
      <c r="O159" s="2"/>
      <c r="P159" s="2"/>
      <c r="Q159" s="2"/>
      <c r="R159" s="2"/>
      <c r="S159" s="2"/>
    </row>
    <row r="160" spans="2:19" x14ac:dyDescent="0.25">
      <c r="B160" s="17" t="s">
        <v>409</v>
      </c>
      <c r="C160" s="18">
        <v>92</v>
      </c>
      <c r="D160" s="18">
        <v>29</v>
      </c>
      <c r="E160" s="18">
        <v>12</v>
      </c>
      <c r="F160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6.7993333333333332</v>
      </c>
      <c r="G160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0" s="144">
        <f>ROUNDUP(Cajas[[#This Row],[Largo]]/2.54,2)</f>
        <v>36.229999999999997</v>
      </c>
      <c r="I160" s="18">
        <f>ROUNDUP(Cajas[[#This Row],[Ancho]]/2.54,2)</f>
        <v>11.42</v>
      </c>
      <c r="J160" s="147">
        <f>ROUNDUP(Cajas[[#This Row],[Alto]]/2.54,2)</f>
        <v>4.7299999999999995</v>
      </c>
      <c r="K160" s="147"/>
      <c r="L160" s="143"/>
      <c r="M160" s="2"/>
      <c r="N160" s="2"/>
      <c r="O160" s="2"/>
      <c r="P160" s="2"/>
      <c r="Q160" s="2"/>
      <c r="R160" s="2"/>
      <c r="S160" s="2"/>
    </row>
    <row r="161" spans="2:19" ht="15.75" thickBot="1" x14ac:dyDescent="0.3">
      <c r="B161" s="76" t="s">
        <v>410</v>
      </c>
      <c r="C161" s="77">
        <v>92</v>
      </c>
      <c r="D161" s="77">
        <v>29</v>
      </c>
      <c r="E161" s="77">
        <v>20</v>
      </c>
      <c r="F161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10.684666666666667</v>
      </c>
      <c r="G161" s="229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1" s="145">
        <f>ROUNDUP(Cajas[[#This Row],[Largo]]/2.54,2)</f>
        <v>36.229999999999997</v>
      </c>
      <c r="I161" s="77">
        <f>ROUNDUP(Cajas[[#This Row],[Ancho]]/2.54,2)</f>
        <v>11.42</v>
      </c>
      <c r="J161" s="148">
        <f>ROUNDUP(Cajas[[#This Row],[Alto]]/2.54,2)</f>
        <v>7.88</v>
      </c>
      <c r="K161" s="148"/>
      <c r="L161" s="143"/>
      <c r="M161" s="2"/>
      <c r="N161" s="2"/>
      <c r="O161" s="2"/>
      <c r="P161" s="2"/>
      <c r="Q161" s="2"/>
      <c r="R161" s="2"/>
      <c r="S161" s="2"/>
    </row>
    <row r="162" spans="2:19" x14ac:dyDescent="0.25">
      <c r="B162" s="5" t="s">
        <v>411</v>
      </c>
      <c r="C162" s="2">
        <v>78</v>
      </c>
      <c r="D162" s="2">
        <v>17</v>
      </c>
      <c r="E162" s="2">
        <v>19</v>
      </c>
      <c r="F16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5.32</v>
      </c>
      <c r="G16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2" s="143">
        <f>ROUNDUP(Cajas[[#This Row],[Largo]]/2.54,2)</f>
        <v>30.71</v>
      </c>
      <c r="I162" s="2">
        <f>ROUNDUP(Cajas[[#This Row],[Ancho]]/2.54,2)</f>
        <v>6.7</v>
      </c>
      <c r="J162" s="146">
        <f>ROUNDUP(Cajas[[#This Row],[Alto]]/2.54,2)</f>
        <v>7.49</v>
      </c>
      <c r="K162" s="228"/>
      <c r="L162" s="2"/>
      <c r="M162" s="2"/>
      <c r="N162" s="2"/>
      <c r="O162" s="2"/>
      <c r="P162" s="2"/>
      <c r="Q162" s="2"/>
      <c r="R162" s="2"/>
      <c r="S162" s="2"/>
    </row>
    <row r="163" spans="2:19" x14ac:dyDescent="0.25">
      <c r="B163" s="5" t="s">
        <v>412</v>
      </c>
      <c r="C163" s="2">
        <v>79</v>
      </c>
      <c r="D163" s="2">
        <v>24</v>
      </c>
      <c r="E163" s="2">
        <v>21</v>
      </c>
      <c r="F16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8.0730000000000004</v>
      </c>
      <c r="G16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3" s="143">
        <f>ROUNDUP(Cajas[[#This Row],[Largo]]/2.54,2)</f>
        <v>31.110000000000003</v>
      </c>
      <c r="I163" s="2">
        <f>ROUNDUP(Cajas[[#This Row],[Ancho]]/2.54,2)</f>
        <v>9.4499999999999993</v>
      </c>
      <c r="J163" s="146">
        <f>ROUNDUP(Cajas[[#This Row],[Alto]]/2.54,2)</f>
        <v>8.27</v>
      </c>
      <c r="K163" s="228"/>
      <c r="L163" s="2"/>
      <c r="M163" s="2"/>
      <c r="N163" s="2"/>
      <c r="O163" s="2"/>
      <c r="P163" s="2"/>
      <c r="Q163" s="2"/>
      <c r="R163" s="2"/>
      <c r="S163" s="2"/>
    </row>
    <row r="164" spans="2:19" x14ac:dyDescent="0.25">
      <c r="B164" s="5" t="s">
        <v>413</v>
      </c>
      <c r="C164" s="2">
        <v>90</v>
      </c>
      <c r="D164" s="2">
        <v>18</v>
      </c>
      <c r="E164" s="2">
        <v>30</v>
      </c>
      <c r="F16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9.8133333333333326</v>
      </c>
      <c r="G16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4" s="143">
        <f>ROUNDUP(Cajas[[#This Row],[Largo]]/2.54,2)</f>
        <v>35.44</v>
      </c>
      <c r="I164" s="2">
        <f>ROUNDUP(Cajas[[#This Row],[Ancho]]/2.54,2)</f>
        <v>7.09</v>
      </c>
      <c r="J164" s="146">
        <f>ROUNDUP(Cajas[[#This Row],[Alto]]/2.54,2)</f>
        <v>11.82</v>
      </c>
      <c r="K164" s="228"/>
      <c r="L164" s="2"/>
      <c r="M164" s="2"/>
      <c r="N164" s="2"/>
      <c r="O164" s="2"/>
      <c r="P164" s="2"/>
      <c r="Q164" s="2"/>
      <c r="R164" s="2"/>
      <c r="S164" s="2"/>
    </row>
    <row r="165" spans="2:19" x14ac:dyDescent="0.25">
      <c r="B165" s="5" t="s">
        <v>414</v>
      </c>
      <c r="C165" s="2">
        <v>90</v>
      </c>
      <c r="D165" s="2">
        <v>22</v>
      </c>
      <c r="E165" s="2">
        <v>30</v>
      </c>
      <c r="F16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11.776</v>
      </c>
      <c r="G16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5" s="143">
        <f>ROUNDUP(Cajas[[#This Row],[Largo]]/2.54,2)</f>
        <v>35.44</v>
      </c>
      <c r="I165" s="2">
        <f>ROUNDUP(Cajas[[#This Row],[Ancho]]/2.54,2)</f>
        <v>8.67</v>
      </c>
      <c r="J165" s="146">
        <f>ROUNDUP(Cajas[[#This Row],[Alto]]/2.54,2)</f>
        <v>11.82</v>
      </c>
      <c r="K165" s="228"/>
      <c r="L165" s="2"/>
      <c r="M165" s="2"/>
      <c r="N165" s="2"/>
      <c r="O165" s="2"/>
      <c r="P165" s="2"/>
      <c r="Q165" s="2"/>
      <c r="R165" s="2"/>
      <c r="S165" s="2"/>
    </row>
    <row r="166" spans="2:19" x14ac:dyDescent="0.25">
      <c r="B166" s="5" t="s">
        <v>415</v>
      </c>
      <c r="C166" s="2">
        <v>110</v>
      </c>
      <c r="D166" s="2">
        <v>30</v>
      </c>
      <c r="E166" s="2">
        <v>30</v>
      </c>
      <c r="F16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19.114666666666668</v>
      </c>
      <c r="G16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6" s="143">
        <f>ROUNDUP(Cajas[[#This Row],[Largo]]/2.54,2)</f>
        <v>43.309999999999995</v>
      </c>
      <c r="I166" s="2">
        <f>ROUNDUP(Cajas[[#This Row],[Ancho]]/2.54,2)</f>
        <v>11.82</v>
      </c>
      <c r="J166" s="146">
        <f>ROUNDUP(Cajas[[#This Row],[Alto]]/2.54,2)</f>
        <v>11.82</v>
      </c>
      <c r="K166" s="228"/>
      <c r="L166" s="2"/>
      <c r="M166" s="2"/>
      <c r="N166" s="2"/>
      <c r="O166" s="2"/>
      <c r="P166" s="2"/>
      <c r="Q166" s="2"/>
      <c r="R166" s="2"/>
      <c r="S166" s="2"/>
    </row>
    <row r="167" spans="2:19" x14ac:dyDescent="0.25">
      <c r="B167" s="5" t="s">
        <v>416</v>
      </c>
      <c r="C167" s="2">
        <v>120</v>
      </c>
      <c r="D167" s="2">
        <v>35</v>
      </c>
      <c r="E167" s="2">
        <v>35</v>
      </c>
      <c r="F16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6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7" s="143">
        <f>ROUNDUP(Cajas[[#This Row],[Largo]]/2.54,2)</f>
        <v>47.25</v>
      </c>
      <c r="I167" s="2">
        <f>ROUNDUP(Cajas[[#This Row],[Ancho]]/2.54,2)</f>
        <v>13.78</v>
      </c>
      <c r="J167" s="146">
        <f>ROUNDUP(Cajas[[#This Row],[Alto]]/2.54,2)</f>
        <v>13.78</v>
      </c>
      <c r="K167" s="228"/>
      <c r="L167" s="2"/>
      <c r="M167" s="2"/>
      <c r="N167" s="2"/>
      <c r="O167" s="2"/>
      <c r="P167" s="2"/>
      <c r="Q167" s="2"/>
      <c r="R167" s="2"/>
      <c r="S167" s="2"/>
    </row>
    <row r="168" spans="2:19" ht="15.75" thickBot="1" x14ac:dyDescent="0.3">
      <c r="B168" s="5" t="s">
        <v>417</v>
      </c>
      <c r="C168" s="2">
        <v>130</v>
      </c>
      <c r="D168" s="2">
        <v>40</v>
      </c>
      <c r="E168" s="2">
        <v>40</v>
      </c>
      <c r="F16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38.808</v>
      </c>
      <c r="G16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8" s="143">
        <f>ROUNDUP(Cajas[[#This Row],[Largo]]/2.54,2)</f>
        <v>51.19</v>
      </c>
      <c r="I168" s="2">
        <f>ROUNDUP(Cajas[[#This Row],[Ancho]]/2.54,2)</f>
        <v>15.75</v>
      </c>
      <c r="J168" s="146">
        <f>ROUNDUP(Cajas[[#This Row],[Alto]]/2.54,2)</f>
        <v>15.75</v>
      </c>
      <c r="K168" s="228"/>
      <c r="L168" s="2"/>
      <c r="M168" s="2"/>
      <c r="N168" s="2"/>
      <c r="O168" s="2"/>
      <c r="P168" s="2"/>
      <c r="Q168" s="2"/>
      <c r="R168" s="2"/>
      <c r="S168" s="2"/>
    </row>
    <row r="169" spans="2:19" x14ac:dyDescent="0.25">
      <c r="B169" s="17" t="s">
        <v>418</v>
      </c>
      <c r="C169" s="18">
        <v>95</v>
      </c>
      <c r="D169" s="18">
        <v>17</v>
      </c>
      <c r="E169" s="18">
        <v>18</v>
      </c>
      <c r="F169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6.1433333333333335</v>
      </c>
      <c r="G169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9" s="144">
        <f>ROUNDUP(Cajas[[#This Row],[Largo]]/2.54,2)</f>
        <v>37.409999999999997</v>
      </c>
      <c r="I169" s="18">
        <f>ROUNDUP(Cajas[[#This Row],[Ancho]]/2.54,2)</f>
        <v>6.7</v>
      </c>
      <c r="J169" s="147">
        <f>ROUNDUP(Cajas[[#This Row],[Alto]]/2.54,2)</f>
        <v>7.09</v>
      </c>
      <c r="K169" s="227"/>
      <c r="L169" s="2"/>
      <c r="M169" s="2"/>
      <c r="N169" s="2"/>
      <c r="O169" s="2"/>
      <c r="P169" s="2"/>
      <c r="Q169" s="2"/>
      <c r="R169" s="2"/>
      <c r="S169" s="2"/>
    </row>
    <row r="170" spans="2:19" x14ac:dyDescent="0.25">
      <c r="B170" s="5" t="s">
        <v>419</v>
      </c>
      <c r="C170" s="2">
        <v>95</v>
      </c>
      <c r="D170" s="2">
        <v>28</v>
      </c>
      <c r="E170" s="2">
        <v>17</v>
      </c>
      <c r="F17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9.2149999999999999</v>
      </c>
      <c r="G170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0" s="143">
        <f>ROUNDUP(Cajas[[#This Row],[Largo]]/2.54,2)</f>
        <v>37.409999999999997</v>
      </c>
      <c r="I170" s="2">
        <f>ROUNDUP(Cajas[[#This Row],[Ancho]]/2.54,2)</f>
        <v>11.03</v>
      </c>
      <c r="J170" s="146">
        <f>ROUNDUP(Cajas[[#This Row],[Alto]]/2.54,2)</f>
        <v>6.7</v>
      </c>
      <c r="K170" s="228"/>
      <c r="L170" s="2"/>
      <c r="M170" s="2">
        <v>4</v>
      </c>
      <c r="N170" s="2"/>
      <c r="O170" s="2"/>
      <c r="P170" s="2"/>
      <c r="Q170" s="2"/>
      <c r="R170" s="2"/>
      <c r="S170" s="2"/>
    </row>
    <row r="171" spans="2:19" x14ac:dyDescent="0.25">
      <c r="B171" s="5" t="s">
        <v>420</v>
      </c>
      <c r="C171" s="2">
        <v>95</v>
      </c>
      <c r="D171" s="2">
        <v>40</v>
      </c>
      <c r="E171" s="2">
        <v>20</v>
      </c>
      <c r="F17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14.938000000000001</v>
      </c>
      <c r="G171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1" s="143">
        <f>ROUNDUP(Cajas[[#This Row],[Largo]]/2.54,2)</f>
        <v>37.409999999999997</v>
      </c>
      <c r="I171" s="2">
        <f>ROUNDUP(Cajas[[#This Row],[Ancho]]/2.54,2)</f>
        <v>15.75</v>
      </c>
      <c r="J171" s="146">
        <f>ROUNDUP(Cajas[[#This Row],[Alto]]/2.54,2)</f>
        <v>7.88</v>
      </c>
      <c r="K171" s="228"/>
      <c r="L171" s="2"/>
      <c r="M171" s="2">
        <v>5</v>
      </c>
      <c r="N171" s="2"/>
      <c r="O171" s="2"/>
      <c r="P171" s="2"/>
      <c r="Q171" s="2"/>
      <c r="R171" s="2"/>
      <c r="S171" s="2"/>
    </row>
    <row r="172" spans="2:19" x14ac:dyDescent="0.25">
      <c r="B172" s="5" t="s">
        <v>421</v>
      </c>
      <c r="C172" s="2">
        <v>95</v>
      </c>
      <c r="D172" s="2">
        <v>33</v>
      </c>
      <c r="E172" s="2">
        <v>30</v>
      </c>
      <c r="F17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18.106666666666666</v>
      </c>
      <c r="G172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2" s="143">
        <f>ROUNDUP(Cajas[[#This Row],[Largo]]/2.54,2)</f>
        <v>37.409999999999997</v>
      </c>
      <c r="I172" s="2">
        <f>ROUNDUP(Cajas[[#This Row],[Ancho]]/2.54,2)</f>
        <v>13</v>
      </c>
      <c r="J172" s="146">
        <f>ROUNDUP(Cajas[[#This Row],[Alto]]/2.54,2)</f>
        <v>11.82</v>
      </c>
      <c r="K172" s="228"/>
      <c r="L172" s="2"/>
      <c r="M172" s="2">
        <v>8</v>
      </c>
      <c r="N172" s="2"/>
      <c r="O172" s="2"/>
      <c r="P172" s="2"/>
      <c r="Q172" s="2"/>
      <c r="R172" s="2"/>
      <c r="S172" s="2"/>
    </row>
    <row r="173" spans="2:19" ht="15.75" thickBot="1" x14ac:dyDescent="0.3">
      <c r="B173" s="5" t="s">
        <v>422</v>
      </c>
      <c r="C173" s="2">
        <v>105</v>
      </c>
      <c r="D173" s="2">
        <v>35</v>
      </c>
      <c r="E173" s="2">
        <v>35</v>
      </c>
      <c r="F17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173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3" s="143">
        <f>ROUNDUP(Cajas[[#This Row],[Largo]]/2.54,2)</f>
        <v>41.339999999999996</v>
      </c>
      <c r="I173" s="2">
        <f>ROUNDUP(Cajas[[#This Row],[Ancho]]/2.54,2)</f>
        <v>13.78</v>
      </c>
      <c r="J173" s="146">
        <f>ROUNDUP(Cajas[[#This Row],[Alto]]/2.54,2)</f>
        <v>13.78</v>
      </c>
      <c r="K173" s="228"/>
      <c r="L173" s="2"/>
      <c r="M173" s="2" t="s">
        <v>264</v>
      </c>
      <c r="N173" s="2"/>
      <c r="O173" s="2"/>
      <c r="P173" s="2"/>
      <c r="Q173" s="2"/>
      <c r="R173" s="2"/>
      <c r="S173" s="2"/>
    </row>
    <row r="174" spans="2:19" ht="15.75" thickBot="1" x14ac:dyDescent="0.3">
      <c r="B174" s="294" t="s">
        <v>668</v>
      </c>
      <c r="C174" s="295">
        <v>104</v>
      </c>
      <c r="D174" s="295">
        <v>25</v>
      </c>
      <c r="E174" s="295">
        <v>15</v>
      </c>
      <c r="F174" s="29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174" s="295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4" s="297">
        <f>ROUNDUP(Cajas[[#This Row],[Largo]]/2.54,2)</f>
        <v>40.949999999999996</v>
      </c>
      <c r="I174" s="295">
        <f>ROUNDUP(Cajas[[#This Row],[Ancho]]/2.54,2)</f>
        <v>9.85</v>
      </c>
      <c r="J174" s="298">
        <f>ROUNDUP(Cajas[[#This Row],[Alto]]/2.54,2)</f>
        <v>5.91</v>
      </c>
      <c r="K174" s="298"/>
      <c r="L174" s="143"/>
      <c r="M174" s="2"/>
      <c r="N174" s="2"/>
      <c r="O174" s="2"/>
      <c r="P174" s="2"/>
      <c r="Q174" s="2"/>
      <c r="R174" s="2"/>
      <c r="S174" s="2"/>
    </row>
    <row r="175" spans="2:19" x14ac:dyDescent="0.25">
      <c r="B175" s="5" t="s">
        <v>423</v>
      </c>
      <c r="C175" s="2">
        <v>105</v>
      </c>
      <c r="D175" s="2">
        <v>15</v>
      </c>
      <c r="E175" s="2">
        <v>12.5</v>
      </c>
      <c r="F17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4.3959166666666665</v>
      </c>
      <c r="G17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5" s="143">
        <f>ROUNDUP(Cajas[[#This Row],[Largo]]/2.54,2)</f>
        <v>41.339999999999996</v>
      </c>
      <c r="I175" s="2">
        <f>ROUNDUP(Cajas[[#This Row],[Ancho]]/2.54,2)</f>
        <v>5.91</v>
      </c>
      <c r="J175" s="146">
        <f>ROUNDUP(Cajas[[#This Row],[Alto]]/2.54,2)</f>
        <v>4.93</v>
      </c>
      <c r="K175" s="146"/>
      <c r="L175" s="2"/>
      <c r="M175" s="2"/>
      <c r="N175" s="2">
        <v>10</v>
      </c>
      <c r="O175" s="2">
        <v>7</v>
      </c>
      <c r="P175" s="2"/>
      <c r="Q175" s="2"/>
      <c r="R175" s="2"/>
      <c r="S175" s="2"/>
    </row>
    <row r="176" spans="2:19" x14ac:dyDescent="0.25">
      <c r="B176" s="5" t="s">
        <v>424</v>
      </c>
      <c r="C176" s="2">
        <v>105</v>
      </c>
      <c r="D176" s="2">
        <v>27</v>
      </c>
      <c r="E176" s="2">
        <v>12.5</v>
      </c>
      <c r="F17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7.4989166666666662</v>
      </c>
      <c r="G17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6" s="143">
        <f>ROUNDUP(Cajas[[#This Row],[Largo]]/2.54,2)</f>
        <v>41.339999999999996</v>
      </c>
      <c r="I176" s="2">
        <f>ROUNDUP(Cajas[[#This Row],[Ancho]]/2.54,2)</f>
        <v>10.629999999999999</v>
      </c>
      <c r="J176" s="146">
        <f>ROUNDUP(Cajas[[#This Row],[Alto]]/2.54,2)</f>
        <v>4.93</v>
      </c>
      <c r="K176" s="146"/>
      <c r="L176" s="2"/>
      <c r="M176" s="2"/>
      <c r="N176" s="2"/>
      <c r="O176" s="2"/>
      <c r="P176" s="2"/>
      <c r="Q176" s="2"/>
      <c r="R176" s="2"/>
      <c r="S176" s="2"/>
    </row>
    <row r="177" spans="2:19" x14ac:dyDescent="0.25">
      <c r="B177" s="5"/>
      <c r="C177" s="2"/>
      <c r="D177" s="2"/>
      <c r="E177" s="2"/>
      <c r="F17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1.3333333333333333E-3</v>
      </c>
      <c r="G17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/>
      </c>
      <c r="H177" s="143">
        <f>ROUNDUP(Cajas[[#This Row],[Largo]]/2.54,2)</f>
        <v>0</v>
      </c>
      <c r="I177" s="2">
        <f>ROUNDUP(Cajas[[#This Row],[Ancho]]/2.54,2)</f>
        <v>0</v>
      </c>
      <c r="J177" s="146">
        <f>ROUNDUP(Cajas[[#This Row],[Alto]]/2.54,2)</f>
        <v>0</v>
      </c>
      <c r="K177" s="146"/>
      <c r="L177" s="2"/>
      <c r="M177" s="2"/>
      <c r="N177" s="2"/>
      <c r="O177" s="2"/>
      <c r="P177" s="2"/>
      <c r="Q177" s="2"/>
      <c r="R177" s="2"/>
      <c r="S177" s="2"/>
    </row>
  </sheetData>
  <mergeCells count="1">
    <mergeCell ref="U2:U3"/>
  </mergeCells>
  <phoneticPr fontId="20" type="noConversion"/>
  <conditionalFormatting sqref="F1:F1048576">
    <cfRule type="expression" dxfId="14" priority="3">
      <formula>_xlfn.LET(_xlpm.n, " " &amp; $B1 &amp; " ", _xlpm.p, IFERROR(VALUE($F1), 0), _xlpm.limite, IF(ISNUMBER(SEARCH(" QB2 ", _xlpm.n)), $F$7*1, IF(ISNUMBER(SEARCH(" EB2 ", _xlpm.n)), $F$6*1, IF(ISNUMBER(SEARCH(" QB ", _xlpm.n)), $F$4*1, IF(ISNUMBER(SEARCH(" EB ", _xlpm.n)), $F$3*1, IF(ISNUMBER(SEARCH(" HB ", _xlpm.n)), $F$5*1, IF(ISNUMBER(SEARCH(" SB ", _xlpm.n)), $F$2*1, 99999)))))), AND(_xlpm.p &gt; _xlpm.limite, _xlpm.limite &lt;&gt; 99999))</formula>
    </cfRule>
  </conditionalFormatting>
  <conditionalFormatting sqref="G1:G1048576">
    <cfRule type="cellIs" dxfId="13" priority="1" operator="equal">
      <formula>"N"</formula>
    </cfRule>
    <cfRule type="cellIs" dxfId="12" priority="2" operator="equal">
      <formula>"Y"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D7DA1-4C2C-4FDF-BDED-71A29E74A8BA}">
  <sheetPr codeName="Sheet4">
    <tabColor rgb="FF00B0F0"/>
  </sheetPr>
  <dimension ref="A1:T49"/>
  <sheetViews>
    <sheetView zoomScale="115" zoomScaleNormal="115" workbookViewId="0">
      <selection activeCell="G11" sqref="G11"/>
    </sheetView>
  </sheetViews>
  <sheetFormatPr defaultColWidth="9.140625" defaultRowHeight="15" x14ac:dyDescent="0.25"/>
  <cols>
    <col min="1" max="1" width="11.7109375" style="2" customWidth="1"/>
    <col min="2" max="2" width="34.85546875" style="242" customWidth="1"/>
    <col min="3" max="3" width="32.28515625" style="2" customWidth="1"/>
    <col min="4" max="4" width="35.42578125" style="2" customWidth="1"/>
    <col min="5" max="5" width="10.28515625" bestFit="1" customWidth="1"/>
    <col min="6" max="6" width="11.7109375" bestFit="1" customWidth="1"/>
    <col min="7" max="7" width="9.85546875" customWidth="1"/>
    <col min="8" max="8" width="3.42578125" customWidth="1"/>
    <col min="9" max="9" width="20.140625" bestFit="1" customWidth="1"/>
    <col min="10" max="10" width="13.140625" bestFit="1" customWidth="1"/>
    <col min="11" max="11" width="12.140625" customWidth="1"/>
    <col min="12" max="12" width="2.140625" customWidth="1"/>
    <col min="14" max="14" width="2.28515625" customWidth="1"/>
    <col min="15" max="15" width="14.28515625" customWidth="1"/>
    <col min="16" max="16" width="3" customWidth="1"/>
    <col min="18" max="18" width="10.5703125" customWidth="1"/>
    <col min="19" max="19" width="15" bestFit="1" customWidth="1"/>
    <col min="20" max="20" width="24.140625" bestFit="1" customWidth="1"/>
  </cols>
  <sheetData>
    <row r="1" spans="1:20" ht="15.75" customHeight="1" thickBot="1" x14ac:dyDescent="0.3">
      <c r="A1" s="1" t="s">
        <v>510</v>
      </c>
      <c r="B1" s="239" t="s">
        <v>511</v>
      </c>
      <c r="C1" s="2" t="s">
        <v>512</v>
      </c>
      <c r="D1" s="2" t="s">
        <v>530</v>
      </c>
      <c r="E1" s="31" t="s">
        <v>513</v>
      </c>
      <c r="F1" s="31" t="s">
        <v>514</v>
      </c>
      <c r="G1" s="31" t="s">
        <v>425</v>
      </c>
      <c r="I1" s="269" t="s">
        <v>6</v>
      </c>
      <c r="J1" s="269" t="s">
        <v>515</v>
      </c>
      <c r="K1" s="270" t="s">
        <v>426</v>
      </c>
      <c r="M1" s="272" t="s">
        <v>516</v>
      </c>
      <c r="O1" s="19" t="s">
        <v>517</v>
      </c>
      <c r="R1" t="s">
        <v>670</v>
      </c>
      <c r="S1" t="s">
        <v>638</v>
      </c>
      <c r="T1" t="s">
        <v>674</v>
      </c>
    </row>
    <row r="2" spans="1:20" ht="15" customHeight="1" x14ac:dyDescent="0.25">
      <c r="A2" s="2" t="str">
        <f>IF(WEEKDAY(B2,2)=3,"Miercoles","**Error**")</f>
        <v>Miercoles</v>
      </c>
      <c r="B2" s="240">
        <v>46295</v>
      </c>
      <c r="C2" s="30" t="str">
        <f ca="1">IF(B2&lt;TODAY(), "***Error de Fecha***", "Vuelo Viernes " &amp; TEXT(B2 - WEEKDAY(B2, 2) + 5, "dd ""de"" mmmm"))</f>
        <v>***Error de Fecha***</v>
      </c>
      <c r="D2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Lun 5 Oct / Mar 6 Oct</v>
      </c>
      <c r="E2" s="2">
        <v>16929</v>
      </c>
      <c r="F2" s="2">
        <v>16936</v>
      </c>
      <c r="G2" s="29" t="s">
        <v>518</v>
      </c>
      <c r="I2" t="s">
        <v>519</v>
      </c>
      <c r="J2" t="s">
        <v>520</v>
      </c>
      <c r="K2" t="s">
        <v>521</v>
      </c>
      <c r="M2" s="347">
        <v>40</v>
      </c>
      <c r="O2" s="20" t="s">
        <v>0</v>
      </c>
      <c r="R2" t="s">
        <v>671</v>
      </c>
      <c r="S2" t="s">
        <v>613</v>
      </c>
      <c r="T2" t="s">
        <v>675</v>
      </c>
    </row>
    <row r="3" spans="1:20" ht="15.75" customHeight="1" thickBot="1" x14ac:dyDescent="0.3">
      <c r="A3" s="2" t="str">
        <f>IF(WEEKDAY(B3,2)=4,"Jueves","**Error**")</f>
        <v>Jueves</v>
      </c>
      <c r="B3" s="240">
        <f>B2+1</f>
        <v>46296</v>
      </c>
      <c r="C3" s="30" t="str">
        <f ca="1">IF(B3&lt;TODAY(), "***Error de Fecha***", "Vuelo Sabado " &amp; TEXT(B3-WEEKDAY(B3, 2)+6, "dd ""de"" mmmm"))</f>
        <v>***Error de Fecha***</v>
      </c>
      <c r="D3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Mar 6 Oct / Mié 7 Oct</v>
      </c>
      <c r="E3" s="2">
        <v>16937</v>
      </c>
      <c r="F3" s="2">
        <v>16938</v>
      </c>
      <c r="G3" s="29" t="s">
        <v>522</v>
      </c>
      <c r="H3" s="1"/>
      <c r="I3" t="s">
        <v>523</v>
      </c>
      <c r="J3" t="s">
        <v>524</v>
      </c>
      <c r="K3" t="s">
        <v>525</v>
      </c>
      <c r="M3" s="348"/>
      <c r="O3" s="21" t="s">
        <v>9</v>
      </c>
      <c r="R3" t="s">
        <v>672</v>
      </c>
      <c r="S3" t="s">
        <v>619</v>
      </c>
      <c r="T3" t="s">
        <v>676</v>
      </c>
    </row>
    <row r="4" spans="1:20" ht="15.75" customHeight="1" x14ac:dyDescent="0.25">
      <c r="A4" s="2" t="str">
        <f>IF(WEEKDAY(B4,2)=5,"Viernes","**Error**")</f>
        <v>Viernes</v>
      </c>
      <c r="B4" s="240">
        <f>B2+2</f>
        <v>46297</v>
      </c>
      <c r="C4" s="30" t="str">
        <f ca="1">IF(B4&lt;TODAY(), "***Error de Fecha***", "Vuelo Domingo " &amp; TEXT(B4-WEEKDAY(B4, 2)+7, "dd ""de"" mmmm"))</f>
        <v>Vuelo Domingo 04 de octubre</v>
      </c>
      <c r="D4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Mié 7 Oct / Jue 8 Oct</v>
      </c>
      <c r="E4" s="2">
        <v>16939</v>
      </c>
      <c r="F4" s="2">
        <v>16940</v>
      </c>
      <c r="G4" s="29" t="s">
        <v>526</v>
      </c>
      <c r="I4" t="s">
        <v>527</v>
      </c>
      <c r="J4" t="s">
        <v>528</v>
      </c>
      <c r="K4" t="s">
        <v>529</v>
      </c>
      <c r="O4" s="20" t="s">
        <v>530</v>
      </c>
      <c r="R4" t="s">
        <v>673</v>
      </c>
      <c r="S4" t="s">
        <v>620</v>
      </c>
      <c r="T4" t="s">
        <v>677</v>
      </c>
    </row>
    <row r="5" spans="1:20" ht="15.75" thickBot="1" x14ac:dyDescent="0.3">
      <c r="A5" s="2" t="str">
        <f>IF(WEEKDAY(B5,2)=6,"Sabado","**Error**")</f>
        <v>Sabado</v>
      </c>
      <c r="B5" s="240">
        <f>B2+3</f>
        <v>46298</v>
      </c>
      <c r="C5" s="30" t="str">
        <f ca="1">IF(B5&lt;TODAY(), "***Error de Fecha***", "Vuelo Domingo " &amp; TEXT(B5-WEEKDAY(B5, 2)+7, "dd ""de"" mmmm"))</f>
        <v>Vuelo Domingo 04 de octubre</v>
      </c>
      <c r="D5" s="30" t="str">
        <f>IF(Guias[[#This Row],[Fecha]]="","",PROPER(LEFT(TEXT(Guias[[#This Row],[Fecha]]+4,"[$-es-ES]dddd"), 3)) &amp; " " &amp; DAY(Guias[[#This Row],[Fecha]]+4) &amp; " " &amp; PROPER(LEFT(TEXT(Guias[[#This Row],[Fecha]]+4,"[$-es-ES]mmmm"), 3)) &amp; " / " &amp; PROPER(LEFT(TEXT(Guias[[#This Row],[Fecha]]+5,"[$-es-ES]dddd"), 3)) &amp; " " &amp; DAY(Guias[[#This Row],[Fecha]]+5) &amp; " " &amp; PROPER(LEFT(TEXT(Guias[[#This Row],[Fecha]]+5,"[$-es-ES]mmmm"), 3)))</f>
        <v>Mié 7 Oct / Jue 8 Oct</v>
      </c>
      <c r="E5" s="74">
        <f>E4</f>
        <v>16939</v>
      </c>
      <c r="F5" s="74">
        <f>F4</f>
        <v>16940</v>
      </c>
      <c r="G5" s="75" t="str">
        <f>G4</f>
        <v>(W/T)</v>
      </c>
      <c r="I5" t="s">
        <v>531</v>
      </c>
      <c r="J5" t="s">
        <v>532</v>
      </c>
      <c r="K5" t="s">
        <v>533</v>
      </c>
      <c r="O5" s="22" t="s">
        <v>534</v>
      </c>
      <c r="R5" t="s">
        <v>241</v>
      </c>
      <c r="S5" t="s">
        <v>616</v>
      </c>
      <c r="T5" t="s">
        <v>678</v>
      </c>
    </row>
    <row r="6" spans="1:20" ht="15.75" thickBot="1" x14ac:dyDescent="0.3">
      <c r="A6" s="2" t="str">
        <f>IF(WEEKDAY(B6,2)=1,"Lunes","**Error**")</f>
        <v>Lunes</v>
      </c>
      <c r="B6" s="241">
        <f>B2+5</f>
        <v>46300</v>
      </c>
      <c r="C6" s="30" t="str">
        <f ca="1">IF(B6&lt;TODAY(), "***Error de Fecha***", "Vuelo Martes " &amp; TEXT(B6-WEEKDAY(B6, 2)+2, "dd ""de"" mmmm"))</f>
        <v>Vuelo Martes 06 de octubre</v>
      </c>
      <c r="D6" s="30" t="str">
        <f>IF(Guias[[#This Row],[Fecha]]="","",PROPER(LEFT(TEXT(Guias[[#This Row],[Fecha]]+3,"[$-es-ES]dddd"), 3)) &amp; " " &amp; DAY(Guias[[#This Row],[Fecha]]+3) &amp; " " &amp; PROPER(LEFT(TEXT(Guias[[#This Row],[Fecha]]+3,"[$-es-ES]mmmm"), 3)) &amp; " / " &amp; PROPER(LEFT(TEXT(Guias[[#This Row],[Fecha]]+4,"[$-es-ES]dddd"), 3)) &amp; " " &amp; DAY(Guias[[#This Row],[Fecha]]+4) &amp; " " &amp; PROPER(LEFT(TEXT(Guias[[#This Row],[Fecha]]+4,"[$-es-ES]mmmm"), 3)))</f>
        <v>Jue 8 Oct / Vie 9 Oct</v>
      </c>
      <c r="E6" s="2">
        <v>16941</v>
      </c>
      <c r="F6" s="2">
        <v>16942</v>
      </c>
      <c r="G6" s="29" t="s">
        <v>535</v>
      </c>
      <c r="I6" t="s">
        <v>536</v>
      </c>
      <c r="J6" t="s">
        <v>537</v>
      </c>
      <c r="K6" t="s">
        <v>538</v>
      </c>
      <c r="O6" s="23"/>
      <c r="R6" t="s">
        <v>242</v>
      </c>
      <c r="S6" t="s">
        <v>618</v>
      </c>
      <c r="T6" t="s">
        <v>679</v>
      </c>
    </row>
    <row r="7" spans="1:20" ht="15.75" thickBot="1" x14ac:dyDescent="0.3">
      <c r="A7" s="2" t="str">
        <f>IF(WEEKDAY(B7,2)=2,"Martes","**Error**")</f>
        <v>Martes</v>
      </c>
      <c r="B7" s="241">
        <f>B2+6</f>
        <v>46301</v>
      </c>
      <c r="C7" s="30" t="str">
        <f ca="1">IF(B7&lt;TODAY(), "***Error de Fecha***", "Vuelo Miercoles " &amp; TEXT(B7-WEEKDAY(B7, 2)+3, "dd ""de"" mmmm"))</f>
        <v>Vuelo Miercoles 07 de octubre</v>
      </c>
      <c r="D7" s="30" t="str">
        <f>IF(Guias[[#This Row],[Fecha]]="","",PROPER(LEFT(TEXT(Guias[[#This Row],[Fecha]]+3,"[$-es-ES]dddd"), 3)) &amp; " " &amp; DAY(Guias[[#This Row],[Fecha]]+3) &amp; " " &amp; PROPER(LEFT(TEXT(Guias[[#This Row],[Fecha]]+3,"[$-es-ES]mmmm"), 3)))</f>
        <v>Vie 9 Oct</v>
      </c>
      <c r="E7" s="2">
        <v>16943</v>
      </c>
      <c r="F7" s="2" t="s">
        <v>31</v>
      </c>
      <c r="G7" s="29" t="s">
        <v>646</v>
      </c>
      <c r="I7" t="s">
        <v>539</v>
      </c>
      <c r="J7" t="s">
        <v>540</v>
      </c>
      <c r="K7" t="s">
        <v>541</v>
      </c>
      <c r="O7" s="24" t="s">
        <v>542</v>
      </c>
      <c r="R7" t="s">
        <v>243</v>
      </c>
      <c r="S7" t="s">
        <v>614</v>
      </c>
      <c r="T7" t="s">
        <v>680</v>
      </c>
    </row>
    <row r="8" spans="1:20" x14ac:dyDescent="0.25">
      <c r="I8" t="s">
        <v>543</v>
      </c>
      <c r="J8" t="s">
        <v>658</v>
      </c>
      <c r="K8" t="s">
        <v>544</v>
      </c>
      <c r="O8" s="20" t="s">
        <v>545</v>
      </c>
      <c r="R8" t="s">
        <v>244</v>
      </c>
      <c r="S8" t="s">
        <v>621</v>
      </c>
      <c r="T8" t="s">
        <v>681</v>
      </c>
    </row>
    <row r="9" spans="1:20" ht="15.75" customHeight="1" x14ac:dyDescent="0.25">
      <c r="I9" t="s">
        <v>546</v>
      </c>
      <c r="J9" t="s">
        <v>547</v>
      </c>
      <c r="K9" t="s">
        <v>548</v>
      </c>
      <c r="O9" s="25" t="s">
        <v>549</v>
      </c>
      <c r="R9" t="s">
        <v>245</v>
      </c>
      <c r="S9" t="s">
        <v>622</v>
      </c>
      <c r="T9" t="s">
        <v>682</v>
      </c>
    </row>
    <row r="10" spans="1:20" x14ac:dyDescent="0.25">
      <c r="I10" t="s">
        <v>550</v>
      </c>
      <c r="J10" t="s">
        <v>551</v>
      </c>
      <c r="K10" t="s">
        <v>552</v>
      </c>
      <c r="O10" s="20" t="s">
        <v>553</v>
      </c>
      <c r="R10" t="s">
        <v>246</v>
      </c>
      <c r="S10" t="s">
        <v>623</v>
      </c>
      <c r="T10" t="s">
        <v>683</v>
      </c>
    </row>
    <row r="11" spans="1:20" x14ac:dyDescent="0.25">
      <c r="I11" t="s">
        <v>554</v>
      </c>
      <c r="J11" t="s">
        <v>555</v>
      </c>
      <c r="K11" t="s">
        <v>556</v>
      </c>
      <c r="O11" s="25" t="s">
        <v>10</v>
      </c>
      <c r="R11" t="s">
        <v>247</v>
      </c>
      <c r="S11" t="s">
        <v>615</v>
      </c>
      <c r="T11" t="s">
        <v>684</v>
      </c>
    </row>
    <row r="12" spans="1:20" x14ac:dyDescent="0.25">
      <c r="I12" t="s">
        <v>557</v>
      </c>
      <c r="J12" t="s">
        <v>558</v>
      </c>
      <c r="K12" t="s">
        <v>559</v>
      </c>
      <c r="O12" s="20" t="s">
        <v>534</v>
      </c>
      <c r="S12" t="s">
        <v>611</v>
      </c>
      <c r="T12" t="s">
        <v>685</v>
      </c>
    </row>
    <row r="13" spans="1:20" ht="15.75" thickBot="1" x14ac:dyDescent="0.3">
      <c r="H13" s="271"/>
      <c r="I13" t="s">
        <v>560</v>
      </c>
      <c r="J13" t="s">
        <v>561</v>
      </c>
      <c r="K13" t="s">
        <v>562</v>
      </c>
      <c r="O13" s="26" t="s">
        <v>563</v>
      </c>
      <c r="S13" t="s">
        <v>179</v>
      </c>
      <c r="T13" t="s">
        <v>686</v>
      </c>
    </row>
    <row r="14" spans="1:20" ht="15.75" thickBot="1" x14ac:dyDescent="0.3">
      <c r="H14" s="271"/>
      <c r="I14" t="s">
        <v>564</v>
      </c>
      <c r="J14" t="s">
        <v>565</v>
      </c>
      <c r="K14" t="s">
        <v>566</v>
      </c>
      <c r="O14" s="23"/>
      <c r="S14" t="s">
        <v>624</v>
      </c>
      <c r="T14" t="s">
        <v>687</v>
      </c>
    </row>
    <row r="15" spans="1:20" ht="15.75" thickBot="1" x14ac:dyDescent="0.3">
      <c r="H15" s="271"/>
      <c r="I15" t="s">
        <v>567</v>
      </c>
      <c r="J15" t="s">
        <v>568</v>
      </c>
      <c r="K15" t="s">
        <v>569</v>
      </c>
      <c r="O15" s="27" t="s">
        <v>570</v>
      </c>
      <c r="S15" t="s">
        <v>617</v>
      </c>
      <c r="T15" t="s">
        <v>688</v>
      </c>
    </row>
    <row r="16" spans="1:20" x14ac:dyDescent="0.25">
      <c r="H16" s="271"/>
      <c r="I16" t="s">
        <v>572</v>
      </c>
      <c r="J16" t="s">
        <v>572</v>
      </c>
      <c r="K16" t="s">
        <v>573</v>
      </c>
      <c r="O16" s="20" t="s">
        <v>571</v>
      </c>
      <c r="S16" t="s">
        <v>612</v>
      </c>
      <c r="T16" t="s">
        <v>689</v>
      </c>
    </row>
    <row r="17" spans="8:20" x14ac:dyDescent="0.25">
      <c r="H17" s="271"/>
      <c r="I17" t="s">
        <v>574</v>
      </c>
      <c r="J17" t="s">
        <v>663</v>
      </c>
      <c r="K17" t="s">
        <v>575</v>
      </c>
      <c r="O17" s="28" t="s">
        <v>553</v>
      </c>
      <c r="S17" t="s">
        <v>625</v>
      </c>
      <c r="T17" t="s">
        <v>690</v>
      </c>
    </row>
    <row r="18" spans="8:20" x14ac:dyDescent="0.25">
      <c r="I18" t="s">
        <v>577</v>
      </c>
      <c r="J18" t="s">
        <v>578</v>
      </c>
      <c r="K18" t="s">
        <v>579</v>
      </c>
      <c r="O18" s="20" t="s">
        <v>576</v>
      </c>
      <c r="S18" t="s">
        <v>610</v>
      </c>
      <c r="T18" t="s">
        <v>691</v>
      </c>
    </row>
    <row r="19" spans="8:20" x14ac:dyDescent="0.25">
      <c r="I19" t="s">
        <v>580</v>
      </c>
      <c r="J19" t="s">
        <v>581</v>
      </c>
      <c r="K19" t="s">
        <v>582</v>
      </c>
      <c r="O19" s="28" t="s">
        <v>511</v>
      </c>
      <c r="S19" t="s">
        <v>626</v>
      </c>
      <c r="T19" t="s">
        <v>692</v>
      </c>
    </row>
    <row r="20" spans="8:20" x14ac:dyDescent="0.25">
      <c r="O20" s="20" t="s">
        <v>534</v>
      </c>
      <c r="S20" t="s">
        <v>627</v>
      </c>
      <c r="T20" t="s">
        <v>693</v>
      </c>
    </row>
    <row r="21" spans="8:20" ht="15.75" thickBot="1" x14ac:dyDescent="0.3">
      <c r="O21" s="230" t="s">
        <v>511</v>
      </c>
      <c r="S21" t="s">
        <v>628</v>
      </c>
      <c r="T21" t="s">
        <v>694</v>
      </c>
    </row>
    <row r="22" spans="8:20" x14ac:dyDescent="0.25">
      <c r="S22" t="s">
        <v>629</v>
      </c>
      <c r="T22" t="s">
        <v>695</v>
      </c>
    </row>
    <row r="23" spans="8:20" x14ac:dyDescent="0.25">
      <c r="S23" t="s">
        <v>630</v>
      </c>
      <c r="T23" t="s">
        <v>696</v>
      </c>
    </row>
    <row r="24" spans="8:20" x14ac:dyDescent="0.25">
      <c r="S24" t="s">
        <v>631</v>
      </c>
      <c r="T24" t="s">
        <v>697</v>
      </c>
    </row>
    <row r="25" spans="8:20" x14ac:dyDescent="0.25">
      <c r="S25" t="s">
        <v>639</v>
      </c>
      <c r="T25" t="s">
        <v>698</v>
      </c>
    </row>
    <row r="26" spans="8:20" x14ac:dyDescent="0.25">
      <c r="S26" t="s">
        <v>640</v>
      </c>
      <c r="T26" t="s">
        <v>699</v>
      </c>
    </row>
    <row r="27" spans="8:20" x14ac:dyDescent="0.25">
      <c r="S27" t="s">
        <v>642</v>
      </c>
      <c r="T27" t="s">
        <v>700</v>
      </c>
    </row>
    <row r="28" spans="8:20" x14ac:dyDescent="0.25">
      <c r="S28" t="s">
        <v>633</v>
      </c>
      <c r="T28" t="s">
        <v>701</v>
      </c>
    </row>
    <row r="29" spans="8:20" x14ac:dyDescent="0.25">
      <c r="S29" t="s">
        <v>634</v>
      </c>
      <c r="T29" t="s">
        <v>702</v>
      </c>
    </row>
    <row r="30" spans="8:20" x14ac:dyDescent="0.25">
      <c r="S30" t="s">
        <v>641</v>
      </c>
      <c r="T30" t="s">
        <v>703</v>
      </c>
    </row>
    <row r="31" spans="8:20" x14ac:dyDescent="0.25">
      <c r="S31" t="s">
        <v>632</v>
      </c>
      <c r="T31" t="s">
        <v>704</v>
      </c>
    </row>
    <row r="32" spans="8:20" x14ac:dyDescent="0.25">
      <c r="S32" t="s">
        <v>635</v>
      </c>
      <c r="T32" t="s">
        <v>705</v>
      </c>
    </row>
    <row r="33" spans="19:20" x14ac:dyDescent="0.25">
      <c r="S33" t="s">
        <v>636</v>
      </c>
      <c r="T33" t="s">
        <v>706</v>
      </c>
    </row>
    <row r="34" spans="19:20" x14ac:dyDescent="0.25">
      <c r="S34" t="s">
        <v>637</v>
      </c>
      <c r="T34" t="s">
        <v>207</v>
      </c>
    </row>
    <row r="35" spans="19:20" x14ac:dyDescent="0.25">
      <c r="S35" t="s">
        <v>744</v>
      </c>
      <c r="T35" t="s">
        <v>707</v>
      </c>
    </row>
    <row r="36" spans="19:20" x14ac:dyDescent="0.25">
      <c r="S36" t="s">
        <v>743</v>
      </c>
      <c r="T36" t="s">
        <v>708</v>
      </c>
    </row>
    <row r="37" spans="19:20" x14ac:dyDescent="0.25">
      <c r="T37" t="s">
        <v>709</v>
      </c>
    </row>
    <row r="38" spans="19:20" x14ac:dyDescent="0.25">
      <c r="T38" t="s">
        <v>710</v>
      </c>
    </row>
    <row r="39" spans="19:20" x14ac:dyDescent="0.25">
      <c r="T39" t="s">
        <v>711</v>
      </c>
    </row>
    <row r="40" spans="19:20" x14ac:dyDescent="0.25">
      <c r="T40" t="s">
        <v>712</v>
      </c>
    </row>
    <row r="41" spans="19:20" x14ac:dyDescent="0.25">
      <c r="T41" t="s">
        <v>713</v>
      </c>
    </row>
    <row r="42" spans="19:20" x14ac:dyDescent="0.25">
      <c r="T42" t="s">
        <v>714</v>
      </c>
    </row>
    <row r="43" spans="19:20" x14ac:dyDescent="0.25">
      <c r="T43" t="s">
        <v>715</v>
      </c>
    </row>
    <row r="44" spans="19:20" x14ac:dyDescent="0.25">
      <c r="T44" t="s">
        <v>716</v>
      </c>
    </row>
    <row r="45" spans="19:20" x14ac:dyDescent="0.25">
      <c r="T45" t="s">
        <v>717</v>
      </c>
    </row>
    <row r="46" spans="19:20" x14ac:dyDescent="0.25">
      <c r="T46" t="s">
        <v>718</v>
      </c>
    </row>
    <row r="47" spans="19:20" x14ac:dyDescent="0.25">
      <c r="T47" t="s">
        <v>719</v>
      </c>
    </row>
    <row r="48" spans="19:20" x14ac:dyDescent="0.25">
      <c r="T48" t="s">
        <v>742</v>
      </c>
    </row>
    <row r="49" spans="20:20" x14ac:dyDescent="0.25">
      <c r="T49" t="s">
        <v>746</v>
      </c>
    </row>
  </sheetData>
  <mergeCells count="1">
    <mergeCell ref="M2:M3"/>
  </mergeCells>
  <conditionalFormatting sqref="A1:A7">
    <cfRule type="cellIs" dxfId="11" priority="1" operator="equal">
      <formula>"**Error**"</formula>
    </cfRule>
  </conditionalFormatting>
  <conditionalFormatting sqref="C1:D7">
    <cfRule type="cellIs" dxfId="10" priority="2" operator="equal">
      <formula>"***Error de Fecha***"</formula>
    </cfRule>
  </conditionalFormatting>
  <conditionalFormatting sqref="E5:E7">
    <cfRule type="cellIs" dxfId="9" priority="4" operator="equal">
      <formula>0</formula>
    </cfRule>
  </conditionalFormatting>
  <conditionalFormatting sqref="E2:F4">
    <cfRule type="cellIs" dxfId="8" priority="8" operator="equal">
      <formula>0</formula>
    </cfRule>
  </conditionalFormatting>
  <conditionalFormatting sqref="F5:F6">
    <cfRule type="cellIs" dxfId="7" priority="3" operator="equal">
      <formula>0</formula>
    </cfRule>
  </conditionalFormatting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A074CF"/>
  </sheetPr>
  <dimension ref="A1:E205"/>
  <sheetViews>
    <sheetView workbookViewId="0">
      <selection activeCell="F85" sqref="F85"/>
    </sheetView>
  </sheetViews>
  <sheetFormatPr defaultColWidth="9.140625" defaultRowHeight="15" x14ac:dyDescent="0.25"/>
  <cols>
    <col min="1" max="1" width="2.7109375" customWidth="1"/>
    <col min="2" max="2" width="21.7109375" bestFit="1" customWidth="1"/>
    <col min="4" max="4" width="12.5703125" style="72" bestFit="1" customWidth="1"/>
    <col min="5" max="5" width="22" bestFit="1" customWidth="1"/>
    <col min="6" max="6" width="44.42578125" customWidth="1"/>
  </cols>
  <sheetData>
    <row r="1" spans="1:5" x14ac:dyDescent="0.25">
      <c r="A1" s="142" t="s">
        <v>425</v>
      </c>
      <c r="B1" s="7" t="s">
        <v>6</v>
      </c>
      <c r="C1" s="7" t="s">
        <v>426</v>
      </c>
      <c r="D1" s="7" t="s">
        <v>427</v>
      </c>
      <c r="E1" s="7" t="s">
        <v>428</v>
      </c>
    </row>
    <row r="2" spans="1:5" x14ac:dyDescent="0.25">
      <c r="B2" t="s">
        <v>429</v>
      </c>
      <c r="C2" s="2">
        <v>1</v>
      </c>
      <c r="D2" s="2"/>
    </row>
    <row r="3" spans="1:5" x14ac:dyDescent="0.25">
      <c r="A3" t="s">
        <v>430</v>
      </c>
      <c r="B3" t="s">
        <v>85</v>
      </c>
      <c r="C3" s="2">
        <v>2</v>
      </c>
      <c r="D3" s="2"/>
    </row>
    <row r="4" spans="1:5" x14ac:dyDescent="0.25">
      <c r="B4" t="s">
        <v>431</v>
      </c>
      <c r="C4" s="2">
        <v>5</v>
      </c>
      <c r="D4" s="2"/>
    </row>
    <row r="5" spans="1:5" x14ac:dyDescent="0.25">
      <c r="A5" t="s">
        <v>430</v>
      </c>
      <c r="B5" t="s">
        <v>164</v>
      </c>
      <c r="C5" s="2">
        <v>6</v>
      </c>
      <c r="D5" s="2"/>
    </row>
    <row r="6" spans="1:5" x14ac:dyDescent="0.25">
      <c r="B6" t="s">
        <v>432</v>
      </c>
      <c r="C6" s="2">
        <v>7</v>
      </c>
      <c r="D6" s="2"/>
    </row>
    <row r="7" spans="1:5" x14ac:dyDescent="0.25">
      <c r="A7" t="s">
        <v>433</v>
      </c>
      <c r="B7" t="s">
        <v>125</v>
      </c>
      <c r="C7" s="2">
        <v>8</v>
      </c>
      <c r="D7" s="2" t="s">
        <v>434</v>
      </c>
    </row>
    <row r="8" spans="1:5" x14ac:dyDescent="0.25">
      <c r="B8" t="s">
        <v>435</v>
      </c>
      <c r="C8" s="2">
        <v>12</v>
      </c>
      <c r="D8" s="2"/>
    </row>
    <row r="9" spans="1:5" x14ac:dyDescent="0.25">
      <c r="B9" t="s">
        <v>436</v>
      </c>
      <c r="C9" s="2">
        <v>13</v>
      </c>
      <c r="D9" s="2"/>
    </row>
    <row r="10" spans="1:5" x14ac:dyDescent="0.25">
      <c r="B10" t="s">
        <v>437</v>
      </c>
      <c r="C10" s="2">
        <v>14</v>
      </c>
      <c r="D10" s="2"/>
    </row>
    <row r="11" spans="1:5" x14ac:dyDescent="0.25">
      <c r="B11" t="s">
        <v>438</v>
      </c>
      <c r="C11" s="2">
        <v>15</v>
      </c>
      <c r="D11" s="2"/>
    </row>
    <row r="12" spans="1:5" x14ac:dyDescent="0.25">
      <c r="A12" t="s">
        <v>430</v>
      </c>
      <c r="B12" t="s">
        <v>206</v>
      </c>
      <c r="C12" s="2">
        <v>16</v>
      </c>
      <c r="D12" s="2"/>
    </row>
    <row r="13" spans="1:5" x14ac:dyDescent="0.25">
      <c r="B13" t="s">
        <v>439</v>
      </c>
      <c r="C13" s="2">
        <v>17</v>
      </c>
      <c r="D13" s="2"/>
    </row>
    <row r="14" spans="1:5" x14ac:dyDescent="0.25">
      <c r="B14" t="s">
        <v>440</v>
      </c>
      <c r="C14" s="2">
        <v>18</v>
      </c>
      <c r="D14" s="2"/>
    </row>
    <row r="15" spans="1:5" x14ac:dyDescent="0.25">
      <c r="B15" t="s">
        <v>441</v>
      </c>
      <c r="C15" s="2">
        <v>19</v>
      </c>
      <c r="D15" s="2"/>
    </row>
    <row r="16" spans="1:5" x14ac:dyDescent="0.25">
      <c r="B16" t="s">
        <v>442</v>
      </c>
      <c r="C16" s="2">
        <v>20</v>
      </c>
      <c r="D16" s="2"/>
    </row>
    <row r="17" spans="1:4" x14ac:dyDescent="0.25">
      <c r="B17" t="s">
        <v>443</v>
      </c>
      <c r="C17" s="2">
        <v>21</v>
      </c>
      <c r="D17" s="2"/>
    </row>
    <row r="18" spans="1:4" x14ac:dyDescent="0.25">
      <c r="B18" t="s">
        <v>444</v>
      </c>
      <c r="C18" s="2">
        <v>22</v>
      </c>
      <c r="D18" s="2"/>
    </row>
    <row r="19" spans="1:4" x14ac:dyDescent="0.25">
      <c r="A19" t="s">
        <v>430</v>
      </c>
      <c r="B19" t="s">
        <v>67</v>
      </c>
      <c r="C19" s="2">
        <v>23</v>
      </c>
      <c r="D19" s="2"/>
    </row>
    <row r="20" spans="1:4" x14ac:dyDescent="0.25">
      <c r="A20" t="s">
        <v>430</v>
      </c>
      <c r="B20" t="s">
        <v>121</v>
      </c>
      <c r="C20" s="2">
        <v>24</v>
      </c>
      <c r="D20" s="2"/>
    </row>
    <row r="21" spans="1:4" x14ac:dyDescent="0.25">
      <c r="B21" t="s">
        <v>445</v>
      </c>
      <c r="C21" s="2">
        <v>25</v>
      </c>
      <c r="D21" s="2"/>
    </row>
    <row r="22" spans="1:4" x14ac:dyDescent="0.25">
      <c r="A22" t="s">
        <v>433</v>
      </c>
      <c r="B22" t="s">
        <v>446</v>
      </c>
      <c r="C22" s="2">
        <v>26</v>
      </c>
      <c r="D22" s="2" t="s">
        <v>434</v>
      </c>
    </row>
    <row r="23" spans="1:4" x14ac:dyDescent="0.25">
      <c r="B23" t="s">
        <v>447</v>
      </c>
      <c r="C23" s="2">
        <v>27</v>
      </c>
      <c r="D23" s="2"/>
    </row>
    <row r="24" spans="1:4" x14ac:dyDescent="0.25">
      <c r="B24" t="s">
        <v>448</v>
      </c>
      <c r="C24" s="2">
        <v>28</v>
      </c>
      <c r="D24" s="2"/>
    </row>
    <row r="25" spans="1:4" x14ac:dyDescent="0.25">
      <c r="B25" t="s">
        <v>142</v>
      </c>
      <c r="C25" s="2">
        <v>29</v>
      </c>
      <c r="D25" s="2"/>
    </row>
    <row r="26" spans="1:4" x14ac:dyDescent="0.25">
      <c r="B26" t="s">
        <v>449</v>
      </c>
      <c r="C26" s="2">
        <v>30</v>
      </c>
      <c r="D26" s="2"/>
    </row>
    <row r="27" spans="1:4" x14ac:dyDescent="0.25">
      <c r="B27" t="s">
        <v>450</v>
      </c>
      <c r="C27" s="2">
        <v>31</v>
      </c>
      <c r="D27" s="2"/>
    </row>
    <row r="28" spans="1:4" x14ac:dyDescent="0.25">
      <c r="B28" t="s">
        <v>451</v>
      </c>
      <c r="C28" s="2">
        <v>32</v>
      </c>
      <c r="D28" s="2"/>
    </row>
    <row r="29" spans="1:4" x14ac:dyDescent="0.25">
      <c r="B29" t="s">
        <v>452</v>
      </c>
      <c r="C29" s="2">
        <v>33</v>
      </c>
      <c r="D29" s="2"/>
    </row>
    <row r="30" spans="1:4" x14ac:dyDescent="0.25">
      <c r="B30" t="s">
        <v>187</v>
      </c>
      <c r="C30" s="2">
        <v>34</v>
      </c>
      <c r="D30" s="2"/>
    </row>
    <row r="31" spans="1:4" x14ac:dyDescent="0.25">
      <c r="A31" t="s">
        <v>433</v>
      </c>
      <c r="B31" t="s">
        <v>37</v>
      </c>
      <c r="C31" s="2">
        <v>35</v>
      </c>
      <c r="D31" s="2"/>
    </row>
    <row r="32" spans="1:4" x14ac:dyDescent="0.25">
      <c r="B32" t="s">
        <v>453</v>
      </c>
      <c r="C32" s="2">
        <v>36</v>
      </c>
      <c r="D32" s="2"/>
    </row>
    <row r="33" spans="1:4" x14ac:dyDescent="0.25">
      <c r="B33" t="s">
        <v>454</v>
      </c>
      <c r="C33" s="2">
        <v>37</v>
      </c>
      <c r="D33" s="2"/>
    </row>
    <row r="34" spans="1:4" x14ac:dyDescent="0.25">
      <c r="A34" t="s">
        <v>430</v>
      </c>
      <c r="B34" t="s">
        <v>41</v>
      </c>
      <c r="C34" s="2">
        <v>38</v>
      </c>
      <c r="D34" s="2"/>
    </row>
    <row r="35" spans="1:4" x14ac:dyDescent="0.25">
      <c r="B35" t="s">
        <v>455</v>
      </c>
      <c r="C35" s="2">
        <v>39</v>
      </c>
      <c r="D35" s="2"/>
    </row>
    <row r="36" spans="1:4" x14ac:dyDescent="0.25">
      <c r="A36" t="s">
        <v>36</v>
      </c>
      <c r="B36" t="s">
        <v>60</v>
      </c>
      <c r="C36" s="2">
        <v>40</v>
      </c>
      <c r="D36" s="2"/>
    </row>
    <row r="37" spans="1:4" x14ac:dyDescent="0.25">
      <c r="B37" t="s">
        <v>456</v>
      </c>
      <c r="C37" s="2">
        <v>41</v>
      </c>
      <c r="D37" s="2"/>
    </row>
    <row r="38" spans="1:4" x14ac:dyDescent="0.25">
      <c r="B38" t="s">
        <v>457</v>
      </c>
      <c r="C38" s="2">
        <v>42</v>
      </c>
      <c r="D38" s="2"/>
    </row>
    <row r="39" spans="1:4" x14ac:dyDescent="0.25">
      <c r="B39" t="s">
        <v>458</v>
      </c>
      <c r="C39" s="2">
        <v>43</v>
      </c>
      <c r="D39" s="2"/>
    </row>
    <row r="40" spans="1:4" x14ac:dyDescent="0.25">
      <c r="B40" t="s">
        <v>459</v>
      </c>
      <c r="C40" s="2">
        <v>44</v>
      </c>
      <c r="D40" s="2"/>
    </row>
    <row r="41" spans="1:4" x14ac:dyDescent="0.25">
      <c r="B41" t="s">
        <v>460</v>
      </c>
      <c r="C41" s="2">
        <v>45</v>
      </c>
      <c r="D41" s="2"/>
    </row>
    <row r="42" spans="1:4" x14ac:dyDescent="0.25">
      <c r="B42" t="s">
        <v>461</v>
      </c>
      <c r="C42" s="2">
        <v>46</v>
      </c>
      <c r="D42" s="2"/>
    </row>
    <row r="43" spans="1:4" x14ac:dyDescent="0.25">
      <c r="B43" t="s">
        <v>462</v>
      </c>
      <c r="C43" s="2">
        <v>47</v>
      </c>
      <c r="D43" s="2"/>
    </row>
    <row r="44" spans="1:4" x14ac:dyDescent="0.25">
      <c r="B44" t="s">
        <v>463</v>
      </c>
      <c r="C44" s="2">
        <v>48</v>
      </c>
      <c r="D44" s="2"/>
    </row>
    <row r="45" spans="1:4" x14ac:dyDescent="0.25">
      <c r="A45" t="s">
        <v>430</v>
      </c>
      <c r="B45" t="s">
        <v>200</v>
      </c>
      <c r="C45" s="2">
        <v>49</v>
      </c>
      <c r="D45" s="2"/>
    </row>
    <row r="46" spans="1:4" x14ac:dyDescent="0.25">
      <c r="B46" t="s">
        <v>464</v>
      </c>
      <c r="C46" s="2">
        <v>50</v>
      </c>
      <c r="D46" s="2"/>
    </row>
    <row r="47" spans="1:4" x14ac:dyDescent="0.25">
      <c r="A47" t="s">
        <v>430</v>
      </c>
      <c r="B47" t="s">
        <v>170</v>
      </c>
      <c r="C47" s="2">
        <v>51</v>
      </c>
      <c r="D47" s="2" t="s">
        <v>434</v>
      </c>
    </row>
    <row r="48" spans="1:4" x14ac:dyDescent="0.25">
      <c r="B48" t="s">
        <v>465</v>
      </c>
      <c r="C48" s="2">
        <v>52</v>
      </c>
      <c r="D48" s="2"/>
    </row>
    <row r="49" spans="1:5" x14ac:dyDescent="0.25">
      <c r="A49" t="s">
        <v>430</v>
      </c>
      <c r="B49" t="s">
        <v>192</v>
      </c>
      <c r="C49" s="2">
        <v>53</v>
      </c>
      <c r="D49" s="2"/>
    </row>
    <row r="50" spans="1:5" x14ac:dyDescent="0.25">
      <c r="B50" t="s">
        <v>466</v>
      </c>
      <c r="C50" s="2">
        <v>54</v>
      </c>
      <c r="D50" s="2"/>
    </row>
    <row r="51" spans="1:5" x14ac:dyDescent="0.25">
      <c r="B51" t="s">
        <v>467</v>
      </c>
      <c r="C51" s="2">
        <v>55</v>
      </c>
      <c r="D51" s="2"/>
    </row>
    <row r="52" spans="1:5" x14ac:dyDescent="0.25">
      <c r="B52" t="s">
        <v>468</v>
      </c>
      <c r="C52" s="2">
        <v>56</v>
      </c>
      <c r="D52" s="2"/>
    </row>
    <row r="53" spans="1:5" ht="15.75" thickBot="1" x14ac:dyDescent="0.3">
      <c r="B53" t="s">
        <v>469</v>
      </c>
      <c r="C53" s="2">
        <v>57</v>
      </c>
      <c r="D53" s="2"/>
    </row>
    <row r="54" spans="1:5" x14ac:dyDescent="0.25">
      <c r="A54" s="249" t="s">
        <v>430</v>
      </c>
      <c r="B54" s="250" t="s">
        <v>54</v>
      </c>
      <c r="C54" s="18">
        <v>58</v>
      </c>
      <c r="D54" s="18"/>
      <c r="E54" s="251"/>
    </row>
    <row r="55" spans="1:5" x14ac:dyDescent="0.25">
      <c r="A55" s="252" t="s">
        <v>430</v>
      </c>
      <c r="B55" t="s">
        <v>470</v>
      </c>
      <c r="C55" s="2">
        <v>58</v>
      </c>
      <c r="D55" s="2"/>
      <c r="E55" s="253"/>
    </row>
    <row r="56" spans="1:5" ht="15.75" thickBot="1" x14ac:dyDescent="0.3">
      <c r="A56" s="254" t="s">
        <v>430</v>
      </c>
      <c r="B56" s="255" t="s">
        <v>471</v>
      </c>
      <c r="C56" s="77">
        <v>58</v>
      </c>
      <c r="D56" s="77"/>
      <c r="E56" s="256"/>
    </row>
    <row r="57" spans="1:5" x14ac:dyDescent="0.25">
      <c r="B57" t="s">
        <v>472</v>
      </c>
      <c r="C57" s="2">
        <v>59</v>
      </c>
      <c r="D57" s="2"/>
    </row>
    <row r="58" spans="1:5" x14ac:dyDescent="0.25">
      <c r="B58" t="s">
        <v>473</v>
      </c>
      <c r="C58" s="2">
        <v>60</v>
      </c>
      <c r="D58" s="2"/>
    </row>
    <row r="59" spans="1:5" x14ac:dyDescent="0.25">
      <c r="A59" t="s">
        <v>433</v>
      </c>
      <c r="B59" t="s">
        <v>156</v>
      </c>
      <c r="C59" s="2">
        <v>61</v>
      </c>
      <c r="D59" s="2"/>
    </row>
    <row r="60" spans="1:5" x14ac:dyDescent="0.25">
      <c r="B60" t="s">
        <v>162</v>
      </c>
      <c r="C60" s="2">
        <v>62</v>
      </c>
      <c r="D60" s="2"/>
    </row>
    <row r="61" spans="1:5" x14ac:dyDescent="0.25">
      <c r="A61" t="s">
        <v>430</v>
      </c>
      <c r="B61" t="s">
        <v>474</v>
      </c>
      <c r="C61" s="2">
        <v>63</v>
      </c>
      <c r="D61" s="2"/>
    </row>
    <row r="62" spans="1:5" x14ac:dyDescent="0.25">
      <c r="A62" t="s">
        <v>430</v>
      </c>
      <c r="B62" t="s">
        <v>475</v>
      </c>
      <c r="C62" s="2">
        <v>64</v>
      </c>
      <c r="D62" s="2"/>
    </row>
    <row r="63" spans="1:5" x14ac:dyDescent="0.25">
      <c r="B63" t="s">
        <v>476</v>
      </c>
      <c r="C63" s="2">
        <v>65</v>
      </c>
      <c r="D63" s="2"/>
    </row>
    <row r="64" spans="1:5" x14ac:dyDescent="0.25">
      <c r="A64" t="s">
        <v>433</v>
      </c>
      <c r="B64" t="s">
        <v>202</v>
      </c>
      <c r="C64" s="2">
        <v>66</v>
      </c>
      <c r="D64" s="2"/>
    </row>
    <row r="65" spans="1:5" x14ac:dyDescent="0.25">
      <c r="B65" t="s">
        <v>477</v>
      </c>
      <c r="C65" s="2">
        <v>67</v>
      </c>
      <c r="D65" s="2"/>
    </row>
    <row r="66" spans="1:5" x14ac:dyDescent="0.25">
      <c r="B66" t="s">
        <v>478</v>
      </c>
      <c r="C66" s="2">
        <v>68</v>
      </c>
      <c r="D66" s="2"/>
    </row>
    <row r="67" spans="1:5" x14ac:dyDescent="0.25">
      <c r="B67" t="s">
        <v>479</v>
      </c>
      <c r="C67" s="2">
        <v>69</v>
      </c>
      <c r="D67" s="2"/>
    </row>
    <row r="68" spans="1:5" x14ac:dyDescent="0.25">
      <c r="A68" t="s">
        <v>430</v>
      </c>
      <c r="B68" t="s">
        <v>87</v>
      </c>
      <c r="C68" s="2">
        <v>70</v>
      </c>
      <c r="D68" s="2" t="s">
        <v>480</v>
      </c>
    </row>
    <row r="69" spans="1:5" x14ac:dyDescent="0.25">
      <c r="B69" t="s">
        <v>481</v>
      </c>
      <c r="C69" s="2">
        <v>71</v>
      </c>
      <c r="D69" s="2"/>
    </row>
    <row r="70" spans="1:5" x14ac:dyDescent="0.25">
      <c r="A70" t="s">
        <v>433</v>
      </c>
      <c r="B70" t="s">
        <v>34</v>
      </c>
      <c r="C70" s="2">
        <v>72</v>
      </c>
      <c r="D70" s="2" t="s">
        <v>480</v>
      </c>
    </row>
    <row r="71" spans="1:5" x14ac:dyDescent="0.25">
      <c r="B71" t="s">
        <v>482</v>
      </c>
      <c r="C71" s="2">
        <v>73</v>
      </c>
      <c r="D71" s="2"/>
    </row>
    <row r="72" spans="1:5" x14ac:dyDescent="0.25">
      <c r="A72" t="s">
        <v>430</v>
      </c>
      <c r="B72" t="s">
        <v>134</v>
      </c>
      <c r="C72" s="2">
        <v>74</v>
      </c>
      <c r="D72" s="2" t="s">
        <v>483</v>
      </c>
    </row>
    <row r="73" spans="1:5" ht="15.75" thickBot="1" x14ac:dyDescent="0.3">
      <c r="A73" t="s">
        <v>430</v>
      </c>
      <c r="B73" t="s">
        <v>178</v>
      </c>
      <c r="C73" s="2">
        <v>75</v>
      </c>
      <c r="D73" s="2" t="s">
        <v>483</v>
      </c>
    </row>
    <row r="74" spans="1:5" x14ac:dyDescent="0.25">
      <c r="A74" s="249" t="s">
        <v>430</v>
      </c>
      <c r="B74" s="250" t="s">
        <v>39</v>
      </c>
      <c r="C74" s="18">
        <v>76</v>
      </c>
      <c r="D74" s="18"/>
      <c r="E74" s="251"/>
    </row>
    <row r="75" spans="1:5" x14ac:dyDescent="0.25">
      <c r="A75" s="252" t="s">
        <v>430</v>
      </c>
      <c r="B75" t="s">
        <v>484</v>
      </c>
      <c r="C75" s="2">
        <v>76</v>
      </c>
      <c r="D75" s="2"/>
      <c r="E75" s="253"/>
    </row>
    <row r="76" spans="1:5" x14ac:dyDescent="0.25">
      <c r="A76" s="252" t="s">
        <v>430</v>
      </c>
      <c r="B76" t="s">
        <v>485</v>
      </c>
      <c r="C76" s="2">
        <v>76</v>
      </c>
      <c r="D76" s="2"/>
      <c r="E76" s="253"/>
    </row>
    <row r="77" spans="1:5" ht="15.75" thickBot="1" x14ac:dyDescent="0.3">
      <c r="A77" s="254" t="s">
        <v>430</v>
      </c>
      <c r="B77" s="255" t="s">
        <v>486</v>
      </c>
      <c r="C77" s="77">
        <v>76</v>
      </c>
      <c r="D77" s="77" t="s">
        <v>480</v>
      </c>
      <c r="E77" s="256"/>
    </row>
    <row r="78" spans="1:5" x14ac:dyDescent="0.25">
      <c r="A78" t="s">
        <v>433</v>
      </c>
      <c r="B78" t="s">
        <v>99</v>
      </c>
      <c r="C78" s="2">
        <v>77</v>
      </c>
      <c r="D78" s="2" t="s">
        <v>480</v>
      </c>
    </row>
    <row r="79" spans="1:5" x14ac:dyDescent="0.25">
      <c r="A79" t="s">
        <v>433</v>
      </c>
      <c r="B79" t="s">
        <v>487</v>
      </c>
      <c r="C79" s="2">
        <v>78</v>
      </c>
      <c r="D79" s="2" t="s">
        <v>483</v>
      </c>
    </row>
    <row r="80" spans="1:5" x14ac:dyDescent="0.25">
      <c r="A80" t="s">
        <v>430</v>
      </c>
      <c r="B80" t="s">
        <v>488</v>
      </c>
      <c r="C80" s="2">
        <v>80</v>
      </c>
      <c r="D80" s="2"/>
    </row>
    <row r="81" spans="1:5" x14ac:dyDescent="0.25">
      <c r="A81" t="s">
        <v>430</v>
      </c>
      <c r="B81" t="s">
        <v>489</v>
      </c>
      <c r="C81" s="2">
        <v>81</v>
      </c>
      <c r="D81" s="2" t="s">
        <v>483</v>
      </c>
    </row>
    <row r="82" spans="1:5" x14ac:dyDescent="0.25">
      <c r="A82" t="s">
        <v>31</v>
      </c>
      <c r="B82" t="s">
        <v>144</v>
      </c>
      <c r="C82" s="2">
        <v>82</v>
      </c>
      <c r="D82" s="2" t="s">
        <v>483</v>
      </c>
    </row>
    <row r="83" spans="1:5" x14ac:dyDescent="0.25">
      <c r="A83" t="s">
        <v>430</v>
      </c>
      <c r="B83" t="s">
        <v>490</v>
      </c>
      <c r="C83" s="2">
        <v>83</v>
      </c>
      <c r="D83" s="2" t="s">
        <v>483</v>
      </c>
    </row>
    <row r="84" spans="1:5" x14ac:dyDescent="0.25">
      <c r="A84" t="s">
        <v>430</v>
      </c>
      <c r="B84" t="s">
        <v>491</v>
      </c>
      <c r="C84" s="2">
        <v>84</v>
      </c>
      <c r="D84" s="2" t="s">
        <v>483</v>
      </c>
    </row>
    <row r="85" spans="1:5" x14ac:dyDescent="0.25">
      <c r="A85" t="s">
        <v>430</v>
      </c>
      <c r="B85" t="s">
        <v>492</v>
      </c>
      <c r="C85" s="2">
        <v>88</v>
      </c>
      <c r="D85" s="2" t="s">
        <v>483</v>
      </c>
    </row>
    <row r="86" spans="1:5" x14ac:dyDescent="0.25">
      <c r="A86" t="s">
        <v>430</v>
      </c>
      <c r="B86" t="s">
        <v>493</v>
      </c>
      <c r="C86" s="2">
        <v>89</v>
      </c>
      <c r="D86" s="2"/>
    </row>
    <row r="87" spans="1:5" x14ac:dyDescent="0.25">
      <c r="A87" t="s">
        <v>433</v>
      </c>
      <c r="B87" t="s">
        <v>494</v>
      </c>
      <c r="C87" s="2">
        <v>91</v>
      </c>
      <c r="D87" s="2" t="s">
        <v>483</v>
      </c>
    </row>
    <row r="88" spans="1:5" x14ac:dyDescent="0.25">
      <c r="B88" t="s">
        <v>495</v>
      </c>
      <c r="C88" s="2">
        <v>92</v>
      </c>
      <c r="D88" s="2"/>
      <c r="E88" t="s">
        <v>496</v>
      </c>
    </row>
    <row r="89" spans="1:5" x14ac:dyDescent="0.25">
      <c r="B89" s="72" t="s">
        <v>497</v>
      </c>
      <c r="C89" s="1">
        <v>93</v>
      </c>
      <c r="D89" s="2"/>
    </row>
    <row r="90" spans="1:5" x14ac:dyDescent="0.25">
      <c r="B90" t="s">
        <v>498</v>
      </c>
      <c r="C90" s="2">
        <v>94</v>
      </c>
      <c r="D90" s="2"/>
    </row>
    <row r="91" spans="1:5" x14ac:dyDescent="0.25">
      <c r="B91" t="s">
        <v>499</v>
      </c>
      <c r="C91" s="2">
        <v>95</v>
      </c>
      <c r="D91" s="2"/>
    </row>
    <row r="92" spans="1:5" x14ac:dyDescent="0.25">
      <c r="B92" t="s">
        <v>500</v>
      </c>
      <c r="C92" s="2">
        <v>96</v>
      </c>
      <c r="D92" s="2"/>
    </row>
    <row r="93" spans="1:5" x14ac:dyDescent="0.25">
      <c r="A93" t="s">
        <v>430</v>
      </c>
      <c r="B93" t="s">
        <v>501</v>
      </c>
      <c r="C93" s="2">
        <v>97</v>
      </c>
      <c r="D93" s="2"/>
    </row>
    <row r="94" spans="1:5" x14ac:dyDescent="0.25">
      <c r="A94" t="s">
        <v>433</v>
      </c>
      <c r="B94" t="s">
        <v>209</v>
      </c>
      <c r="C94" s="2">
        <v>98</v>
      </c>
      <c r="D94" s="2" t="s">
        <v>483</v>
      </c>
    </row>
    <row r="95" spans="1:5" x14ac:dyDescent="0.25">
      <c r="A95" t="s">
        <v>430</v>
      </c>
      <c r="B95" t="s">
        <v>502</v>
      </c>
      <c r="C95" s="2">
        <v>99</v>
      </c>
      <c r="D95" s="2" t="s">
        <v>483</v>
      </c>
    </row>
    <row r="96" spans="1:5" x14ac:dyDescent="0.25">
      <c r="A96" t="s">
        <v>31</v>
      </c>
      <c r="B96" t="s">
        <v>503</v>
      </c>
      <c r="C96" s="2">
        <v>100</v>
      </c>
      <c r="D96" s="2"/>
    </row>
    <row r="97" spans="1:4" x14ac:dyDescent="0.25">
      <c r="B97" t="s">
        <v>504</v>
      </c>
      <c r="C97" s="2">
        <v>101</v>
      </c>
      <c r="D97" s="2"/>
    </row>
    <row r="98" spans="1:4" x14ac:dyDescent="0.25">
      <c r="A98" t="s">
        <v>433</v>
      </c>
      <c r="B98" t="s">
        <v>505</v>
      </c>
      <c r="C98" s="2">
        <v>102</v>
      </c>
      <c r="D98" s="2" t="s">
        <v>480</v>
      </c>
    </row>
    <row r="99" spans="1:4" x14ac:dyDescent="0.25">
      <c r="A99" t="s">
        <v>430</v>
      </c>
      <c r="B99" t="s">
        <v>506</v>
      </c>
      <c r="C99" s="2">
        <v>103</v>
      </c>
      <c r="D99" s="2"/>
    </row>
    <row r="100" spans="1:4" x14ac:dyDescent="0.25">
      <c r="A100" t="s">
        <v>430</v>
      </c>
      <c r="B100" t="s">
        <v>507</v>
      </c>
      <c r="C100" s="2">
        <v>104</v>
      </c>
      <c r="D100" s="2"/>
    </row>
    <row r="101" spans="1:4" x14ac:dyDescent="0.25">
      <c r="A101" t="s">
        <v>430</v>
      </c>
      <c r="B101" t="s">
        <v>508</v>
      </c>
      <c r="C101" s="2">
        <v>105</v>
      </c>
      <c r="D101" s="2"/>
    </row>
    <row r="102" spans="1:4" x14ac:dyDescent="0.25">
      <c r="A102" t="s">
        <v>430</v>
      </c>
      <c r="B102" t="s">
        <v>509</v>
      </c>
      <c r="C102" s="2">
        <v>106</v>
      </c>
      <c r="D102" s="2"/>
    </row>
    <row r="103" spans="1:4" x14ac:dyDescent="0.25">
      <c r="B103" t="s">
        <v>650</v>
      </c>
      <c r="C103" s="2">
        <v>107</v>
      </c>
      <c r="D103" s="2"/>
    </row>
    <row r="104" spans="1:4" x14ac:dyDescent="0.25">
      <c r="C104" s="2"/>
      <c r="D104" s="2"/>
    </row>
    <row r="105" spans="1:4" x14ac:dyDescent="0.25">
      <c r="C105" s="2"/>
      <c r="D105" s="2"/>
    </row>
    <row r="106" spans="1:4" x14ac:dyDescent="0.25">
      <c r="C106" s="2"/>
      <c r="D106" s="2"/>
    </row>
    <row r="107" spans="1:4" x14ac:dyDescent="0.25">
      <c r="C107" s="2"/>
      <c r="D107" s="2"/>
    </row>
    <row r="108" spans="1:4" x14ac:dyDescent="0.25">
      <c r="C108" s="2"/>
      <c r="D108" s="2"/>
    </row>
    <row r="109" spans="1:4" x14ac:dyDescent="0.25">
      <c r="C109" s="2"/>
      <c r="D109" s="2"/>
    </row>
    <row r="110" spans="1:4" x14ac:dyDescent="0.25">
      <c r="C110" s="2"/>
      <c r="D110" s="2"/>
    </row>
    <row r="111" spans="1:4" x14ac:dyDescent="0.25">
      <c r="C111" s="2"/>
      <c r="D111" s="2"/>
    </row>
    <row r="112" spans="1:4" x14ac:dyDescent="0.25">
      <c r="C112" s="2"/>
      <c r="D112" s="2"/>
    </row>
    <row r="113" spans="3:4" x14ac:dyDescent="0.25">
      <c r="C113" s="2"/>
      <c r="D113" s="2"/>
    </row>
    <row r="114" spans="3:4" x14ac:dyDescent="0.25">
      <c r="C114" s="2"/>
      <c r="D114" s="2"/>
    </row>
    <row r="115" spans="3:4" x14ac:dyDescent="0.25">
      <c r="C115" s="2"/>
      <c r="D115" s="2"/>
    </row>
    <row r="116" spans="3:4" x14ac:dyDescent="0.25">
      <c r="C116" s="2"/>
      <c r="D116" s="2"/>
    </row>
    <row r="117" spans="3:4" x14ac:dyDescent="0.25">
      <c r="C117" s="2"/>
      <c r="D117" s="2"/>
    </row>
    <row r="118" spans="3:4" x14ac:dyDescent="0.25">
      <c r="C118" s="2"/>
      <c r="D118" s="2"/>
    </row>
    <row r="119" spans="3:4" x14ac:dyDescent="0.25">
      <c r="C119" s="2"/>
      <c r="D119" s="2"/>
    </row>
    <row r="120" spans="3:4" x14ac:dyDescent="0.25">
      <c r="C120" s="2"/>
      <c r="D120" s="2"/>
    </row>
    <row r="121" spans="3:4" x14ac:dyDescent="0.25">
      <c r="C121" s="2"/>
      <c r="D121" s="2"/>
    </row>
    <row r="122" spans="3:4" x14ac:dyDescent="0.25">
      <c r="C122" s="2"/>
      <c r="D122" s="2"/>
    </row>
    <row r="123" spans="3:4" x14ac:dyDescent="0.25">
      <c r="C123" s="2"/>
      <c r="D123" s="2"/>
    </row>
    <row r="124" spans="3:4" x14ac:dyDescent="0.25">
      <c r="C124" s="2"/>
      <c r="D124" s="2"/>
    </row>
    <row r="125" spans="3:4" x14ac:dyDescent="0.25">
      <c r="C125" s="2"/>
      <c r="D125" s="2"/>
    </row>
    <row r="126" spans="3:4" x14ac:dyDescent="0.25">
      <c r="C126" s="2"/>
      <c r="D126" s="2"/>
    </row>
    <row r="127" spans="3:4" x14ac:dyDescent="0.25">
      <c r="C127" s="2"/>
      <c r="D127" s="2"/>
    </row>
    <row r="128" spans="3:4" x14ac:dyDescent="0.25">
      <c r="C128" s="2"/>
      <c r="D128" s="2"/>
    </row>
    <row r="129" spans="3:5" x14ac:dyDescent="0.25">
      <c r="C129" s="2"/>
      <c r="D129" s="2"/>
    </row>
    <row r="130" spans="3:5" x14ac:dyDescent="0.25">
      <c r="C130" s="2"/>
      <c r="D130" s="2"/>
    </row>
    <row r="131" spans="3:5" x14ac:dyDescent="0.25">
      <c r="C131" s="2"/>
      <c r="D131" s="2"/>
    </row>
    <row r="132" spans="3:5" x14ac:dyDescent="0.25">
      <c r="C132" s="2"/>
      <c r="D132" s="2"/>
    </row>
    <row r="133" spans="3:5" x14ac:dyDescent="0.25">
      <c r="C133" s="2"/>
      <c r="D133" s="2"/>
    </row>
    <row r="134" spans="3:5" x14ac:dyDescent="0.25">
      <c r="C134" s="2"/>
      <c r="D134" s="2"/>
    </row>
    <row r="135" spans="3:5" x14ac:dyDescent="0.25">
      <c r="C135" s="2"/>
      <c r="D135" s="2"/>
    </row>
    <row r="136" spans="3:5" x14ac:dyDescent="0.25">
      <c r="C136" s="2"/>
      <c r="D136" s="1"/>
      <c r="E136" s="2"/>
    </row>
    <row r="137" spans="3:5" x14ac:dyDescent="0.25">
      <c r="C137" s="2"/>
      <c r="D137" s="1"/>
      <c r="E137" s="2"/>
    </row>
    <row r="138" spans="3:5" x14ac:dyDescent="0.25">
      <c r="C138" s="2"/>
      <c r="D138" s="1"/>
      <c r="E138" s="2"/>
    </row>
    <row r="139" spans="3:5" x14ac:dyDescent="0.25">
      <c r="C139" s="2"/>
      <c r="D139" s="1"/>
      <c r="E139" s="2"/>
    </row>
    <row r="140" spans="3:5" x14ac:dyDescent="0.25">
      <c r="C140" s="2"/>
      <c r="D140" s="1"/>
      <c r="E140" s="2"/>
    </row>
    <row r="141" spans="3:5" x14ac:dyDescent="0.25">
      <c r="C141" s="2"/>
      <c r="D141" s="1"/>
      <c r="E141" s="2"/>
    </row>
    <row r="142" spans="3:5" x14ac:dyDescent="0.25">
      <c r="C142" s="2"/>
      <c r="D142" s="1"/>
      <c r="E142" s="2"/>
    </row>
    <row r="143" spans="3:5" x14ac:dyDescent="0.25">
      <c r="C143" s="2"/>
      <c r="D143" s="1"/>
      <c r="E143" s="2"/>
    </row>
    <row r="144" spans="3:5" x14ac:dyDescent="0.25">
      <c r="C144" s="2"/>
      <c r="D144" s="1"/>
      <c r="E144" s="2"/>
    </row>
    <row r="145" spans="3:5" x14ac:dyDescent="0.25">
      <c r="C145" s="2"/>
      <c r="D145" s="1"/>
      <c r="E145" s="2"/>
    </row>
    <row r="146" spans="3:5" x14ac:dyDescent="0.25">
      <c r="C146" s="2"/>
      <c r="D146" s="1"/>
      <c r="E146" s="2"/>
    </row>
    <row r="147" spans="3:5" x14ac:dyDescent="0.25">
      <c r="C147" s="2"/>
      <c r="D147" s="1"/>
      <c r="E147" s="2"/>
    </row>
    <row r="148" spans="3:5" x14ac:dyDescent="0.25">
      <c r="C148" s="2"/>
      <c r="D148" s="1"/>
      <c r="E148" s="2"/>
    </row>
    <row r="149" spans="3:5" x14ac:dyDescent="0.25">
      <c r="C149" s="2"/>
      <c r="D149" s="1"/>
      <c r="E149" s="2"/>
    </row>
    <row r="150" spans="3:5" x14ac:dyDescent="0.25">
      <c r="C150" s="2"/>
      <c r="D150" s="1"/>
      <c r="E150" s="2"/>
    </row>
    <row r="151" spans="3:5" x14ac:dyDescent="0.25">
      <c r="C151" s="2"/>
      <c r="D151" s="1"/>
      <c r="E151" s="2"/>
    </row>
    <row r="152" spans="3:5" x14ac:dyDescent="0.25">
      <c r="C152" s="2"/>
      <c r="D152" s="1"/>
      <c r="E152" s="2"/>
    </row>
    <row r="153" spans="3:5" x14ac:dyDescent="0.25">
      <c r="C153" s="2"/>
      <c r="D153" s="1"/>
      <c r="E153" s="2"/>
    </row>
    <row r="154" spans="3:5" x14ac:dyDescent="0.25">
      <c r="C154" s="2"/>
      <c r="D154" s="1"/>
      <c r="E154" s="2"/>
    </row>
    <row r="155" spans="3:5" x14ac:dyDescent="0.25">
      <c r="C155" s="2"/>
      <c r="D155" s="1"/>
      <c r="E155" s="2"/>
    </row>
    <row r="156" spans="3:5" x14ac:dyDescent="0.25">
      <c r="C156" s="2"/>
      <c r="D156" s="1"/>
      <c r="E156" s="2"/>
    </row>
    <row r="157" spans="3:5" x14ac:dyDescent="0.25">
      <c r="C157" s="2"/>
      <c r="D157" s="1"/>
      <c r="E157" s="2"/>
    </row>
    <row r="158" spans="3:5" x14ac:dyDescent="0.25">
      <c r="C158" s="2"/>
      <c r="D158" s="1"/>
      <c r="E158" s="2"/>
    </row>
    <row r="159" spans="3:5" x14ac:dyDescent="0.25">
      <c r="C159" s="2"/>
      <c r="D159" s="1"/>
      <c r="E159" s="2"/>
    </row>
    <row r="160" spans="3:5" x14ac:dyDescent="0.25">
      <c r="C160" s="2"/>
      <c r="D160" s="1"/>
      <c r="E160" s="2"/>
    </row>
    <row r="161" spans="3:5" x14ac:dyDescent="0.25">
      <c r="C161" s="2"/>
      <c r="D161" s="1"/>
      <c r="E161" s="2"/>
    </row>
    <row r="162" spans="3:5" x14ac:dyDescent="0.25">
      <c r="C162" s="2"/>
      <c r="D162" s="1"/>
      <c r="E162" s="2"/>
    </row>
    <row r="163" spans="3:5" x14ac:dyDescent="0.25">
      <c r="C163" s="2"/>
      <c r="D163" s="1"/>
      <c r="E163" s="2"/>
    </row>
    <row r="164" spans="3:5" x14ac:dyDescent="0.25">
      <c r="C164" s="2"/>
      <c r="D164" s="1"/>
      <c r="E164" s="2"/>
    </row>
    <row r="165" spans="3:5" x14ac:dyDescent="0.25">
      <c r="C165" s="2"/>
      <c r="D165" s="1"/>
      <c r="E165" s="2"/>
    </row>
    <row r="166" spans="3:5" x14ac:dyDescent="0.25">
      <c r="C166" s="2"/>
      <c r="D166" s="1"/>
      <c r="E166" s="2"/>
    </row>
    <row r="167" spans="3:5" x14ac:dyDescent="0.25">
      <c r="C167" s="2"/>
      <c r="D167" s="1"/>
      <c r="E167" s="2"/>
    </row>
    <row r="168" spans="3:5" x14ac:dyDescent="0.25">
      <c r="C168" s="2"/>
      <c r="D168" s="1"/>
      <c r="E168" s="2"/>
    </row>
    <row r="169" spans="3:5" x14ac:dyDescent="0.25">
      <c r="C169" s="2"/>
      <c r="D169" s="1"/>
      <c r="E169" s="2"/>
    </row>
    <row r="170" spans="3:5" x14ac:dyDescent="0.25">
      <c r="C170" s="2"/>
      <c r="D170" s="1"/>
      <c r="E170" s="2"/>
    </row>
    <row r="171" spans="3:5" x14ac:dyDescent="0.25">
      <c r="C171" s="2"/>
      <c r="D171" s="1"/>
      <c r="E171" s="2"/>
    </row>
    <row r="172" spans="3:5" x14ac:dyDescent="0.25">
      <c r="C172" s="2"/>
      <c r="D172" s="1"/>
      <c r="E172" s="2"/>
    </row>
    <row r="173" spans="3:5" x14ac:dyDescent="0.25">
      <c r="C173" s="2"/>
      <c r="D173" s="1"/>
      <c r="E173" s="2"/>
    </row>
    <row r="174" spans="3:5" x14ac:dyDescent="0.25">
      <c r="C174" s="2"/>
      <c r="D174" s="1"/>
      <c r="E174" s="2"/>
    </row>
    <row r="175" spans="3:5" x14ac:dyDescent="0.25">
      <c r="C175" s="2"/>
      <c r="D175" s="1"/>
      <c r="E175" s="2"/>
    </row>
    <row r="176" spans="3:5" x14ac:dyDescent="0.25">
      <c r="C176" s="2"/>
      <c r="D176" s="1"/>
      <c r="E176" s="2"/>
    </row>
    <row r="177" spans="3:5" x14ac:dyDescent="0.25">
      <c r="C177" s="2"/>
      <c r="D177" s="1"/>
      <c r="E177" s="2"/>
    </row>
    <row r="178" spans="3:5" x14ac:dyDescent="0.25">
      <c r="C178" s="2"/>
      <c r="D178" s="1"/>
      <c r="E178" s="2"/>
    </row>
    <row r="179" spans="3:5" x14ac:dyDescent="0.25">
      <c r="C179" s="2"/>
      <c r="D179" s="1"/>
      <c r="E179" s="2"/>
    </row>
    <row r="180" spans="3:5" x14ac:dyDescent="0.25">
      <c r="C180" s="2"/>
      <c r="D180" s="1"/>
      <c r="E180" s="2"/>
    </row>
    <row r="181" spans="3:5" x14ac:dyDescent="0.25">
      <c r="C181" s="2"/>
      <c r="D181" s="1"/>
      <c r="E181" s="2"/>
    </row>
    <row r="182" spans="3:5" x14ac:dyDescent="0.25">
      <c r="C182" s="2"/>
      <c r="D182" s="1"/>
      <c r="E182" s="2"/>
    </row>
    <row r="183" spans="3:5" x14ac:dyDescent="0.25">
      <c r="C183" s="2"/>
      <c r="D183" s="1"/>
      <c r="E183" s="2"/>
    </row>
    <row r="184" spans="3:5" x14ac:dyDescent="0.25">
      <c r="C184" s="2"/>
      <c r="D184" s="1"/>
      <c r="E184" s="2"/>
    </row>
    <row r="185" spans="3:5" x14ac:dyDescent="0.25">
      <c r="C185" s="2"/>
      <c r="D185" s="1"/>
      <c r="E185" s="2"/>
    </row>
    <row r="186" spans="3:5" x14ac:dyDescent="0.25">
      <c r="C186" s="2"/>
      <c r="D186" s="1"/>
      <c r="E186" s="2"/>
    </row>
    <row r="187" spans="3:5" x14ac:dyDescent="0.25">
      <c r="C187" s="2"/>
      <c r="D187" s="1"/>
      <c r="E187" s="2"/>
    </row>
    <row r="188" spans="3:5" x14ac:dyDescent="0.25">
      <c r="C188" s="2"/>
      <c r="D188" s="1"/>
      <c r="E188" s="2"/>
    </row>
    <row r="189" spans="3:5" x14ac:dyDescent="0.25">
      <c r="C189" s="2"/>
      <c r="D189" s="1"/>
      <c r="E189" s="2"/>
    </row>
    <row r="190" spans="3:5" x14ac:dyDescent="0.25">
      <c r="C190" s="2"/>
      <c r="D190" s="1"/>
      <c r="E190" s="2"/>
    </row>
    <row r="191" spans="3:5" x14ac:dyDescent="0.25">
      <c r="C191" s="2"/>
      <c r="D191" s="1"/>
      <c r="E191" s="2"/>
    </row>
    <row r="192" spans="3:5" x14ac:dyDescent="0.25">
      <c r="C192" s="2"/>
      <c r="D192" s="1"/>
      <c r="E192" s="2"/>
    </row>
    <row r="193" spans="3:5" x14ac:dyDescent="0.25">
      <c r="C193" s="2"/>
      <c r="D193" s="1"/>
      <c r="E193" s="2"/>
    </row>
    <row r="194" spans="3:5" x14ac:dyDescent="0.25">
      <c r="C194" s="2"/>
      <c r="D194" s="1"/>
      <c r="E194" s="2"/>
    </row>
    <row r="195" spans="3:5" x14ac:dyDescent="0.25">
      <c r="C195" s="2"/>
      <c r="D195" s="1"/>
      <c r="E195" s="2"/>
    </row>
    <row r="196" spans="3:5" x14ac:dyDescent="0.25">
      <c r="C196" s="2"/>
      <c r="D196" s="1"/>
      <c r="E196" s="2"/>
    </row>
    <row r="197" spans="3:5" x14ac:dyDescent="0.25">
      <c r="C197" s="2"/>
      <c r="D197" s="1"/>
      <c r="E197" s="2"/>
    </row>
    <row r="198" spans="3:5" x14ac:dyDescent="0.25">
      <c r="C198" s="2"/>
      <c r="D198" s="1"/>
      <c r="E198" s="2"/>
    </row>
    <row r="199" spans="3:5" x14ac:dyDescent="0.25">
      <c r="C199" s="2"/>
      <c r="D199" s="1"/>
      <c r="E199" s="2"/>
    </row>
    <row r="200" spans="3:5" x14ac:dyDescent="0.25">
      <c r="C200" s="2"/>
      <c r="D200" s="1"/>
      <c r="E200" s="2"/>
    </row>
    <row r="201" spans="3:5" x14ac:dyDescent="0.25">
      <c r="C201" s="2"/>
      <c r="D201" s="1"/>
      <c r="E201" s="2"/>
    </row>
    <row r="202" spans="3:5" x14ac:dyDescent="0.25">
      <c r="C202" s="2"/>
      <c r="D202" s="1"/>
      <c r="E202" s="2"/>
    </row>
    <row r="203" spans="3:5" x14ac:dyDescent="0.25">
      <c r="C203" s="2"/>
      <c r="D203" s="1"/>
      <c r="E203" s="2"/>
    </row>
    <row r="204" spans="3:5" x14ac:dyDescent="0.25">
      <c r="C204" s="2"/>
      <c r="D204" s="1"/>
      <c r="E204" s="2"/>
    </row>
    <row r="205" spans="3:5" x14ac:dyDescent="0.25">
      <c r="C205" s="2"/>
      <c r="D205" s="1"/>
      <c r="E205" s="2"/>
    </row>
  </sheetData>
  <sortState xmlns:xlrd2="http://schemas.microsoft.com/office/spreadsheetml/2017/richdata2" ref="B2:C84">
    <sortCondition ref="B2:B84"/>
  </sortState>
  <conditionalFormatting sqref="A1:A1048576">
    <cfRule type="cellIs" dxfId="6" priority="1" operator="equal">
      <formula>"-"</formula>
    </cfRule>
    <cfRule type="cellIs" dxfId="5" priority="2" operator="equal">
      <formula>"N"</formula>
    </cfRule>
    <cfRule type="cellIs" dxfId="4" priority="3" operator="equal">
      <formula>"Y"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53B4F-AD50-4F15-8D74-CE1963FBE927}">
  <sheetPr>
    <tabColor rgb="FFFF9966"/>
  </sheetPr>
  <dimension ref="A1:U519"/>
  <sheetViews>
    <sheetView workbookViewId="0">
      <selection activeCell="M24" sqref="M24"/>
    </sheetView>
  </sheetViews>
  <sheetFormatPr defaultRowHeight="15" x14ac:dyDescent="0.25"/>
  <cols>
    <col min="1" max="1" width="19.140625" bestFit="1" customWidth="1"/>
    <col min="2" max="2" width="3.7109375" style="72" customWidth="1"/>
    <col min="3" max="3" width="17.28515625" customWidth="1"/>
    <col min="4" max="4" width="15.5703125" bestFit="1" customWidth="1"/>
    <col min="5" max="5" width="21" customWidth="1"/>
    <col min="6" max="7" width="11.7109375" bestFit="1" customWidth="1"/>
    <col min="8" max="8" width="10.28515625" style="299" bestFit="1" customWidth="1"/>
    <col min="9" max="9" width="3.28515625" style="299" customWidth="1"/>
    <col min="10" max="10" width="9.42578125" style="72" customWidth="1"/>
    <col min="11" max="11" width="2.85546875" customWidth="1"/>
    <col min="12" max="12" width="23.85546875" customWidth="1"/>
    <col min="13" max="13" width="15.5703125" bestFit="1" customWidth="1"/>
    <col min="14" max="14" width="12.42578125" style="300" bestFit="1" customWidth="1"/>
    <col min="15" max="15" width="12.42578125" style="281" bestFit="1" customWidth="1"/>
    <col min="16" max="16" width="10.85546875" style="300" bestFit="1" customWidth="1"/>
    <col min="17" max="17" width="10.85546875" style="300" customWidth="1"/>
    <col min="18" max="18" width="2.85546875" style="300" customWidth="1"/>
    <col min="19" max="19" width="13" style="300" customWidth="1"/>
    <col min="20" max="20" width="12.85546875" style="1" customWidth="1"/>
    <col min="21" max="21" width="11.85546875" style="301" customWidth="1"/>
    <col min="22" max="22" width="10.140625" bestFit="1" customWidth="1"/>
    <col min="23" max="23" width="11.140625" bestFit="1" customWidth="1"/>
  </cols>
  <sheetData>
    <row r="1" spans="1:21" x14ac:dyDescent="0.25">
      <c r="A1" s="349" t="s">
        <v>643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2"/>
      <c r="R1" s="2"/>
      <c r="S1" s="2"/>
    </row>
    <row r="2" spans="1:21" ht="15.75" thickBot="1" x14ac:dyDescent="0.3">
      <c r="A2" s="340" t="s">
        <v>0</v>
      </c>
      <c r="B2" s="340" t="s">
        <v>426</v>
      </c>
      <c r="C2" s="340" t="s">
        <v>583</v>
      </c>
      <c r="D2" s="340" t="s">
        <v>534</v>
      </c>
      <c r="E2" s="340" t="s">
        <v>584</v>
      </c>
      <c r="F2" s="340" t="s">
        <v>721</v>
      </c>
      <c r="G2" s="340" t="s">
        <v>720</v>
      </c>
      <c r="H2" s="341" t="s">
        <v>235</v>
      </c>
      <c r="I2" s="339" t="s">
        <v>733</v>
      </c>
      <c r="J2" s="342" t="s">
        <v>669</v>
      </c>
      <c r="K2" s="332" t="s">
        <v>657</v>
      </c>
      <c r="L2" s="332" t="s">
        <v>656</v>
      </c>
      <c r="M2" s="332" t="s">
        <v>585</v>
      </c>
      <c r="N2" s="334" t="s">
        <v>586</v>
      </c>
      <c r="O2" s="333" t="s">
        <v>9</v>
      </c>
      <c r="P2" s="334" t="s">
        <v>587</v>
      </c>
      <c r="Q2" s="325" t="s">
        <v>731</v>
      </c>
      <c r="R2" s="325" t="s">
        <v>732</v>
      </c>
      <c r="S2" s="326" t="s">
        <v>730</v>
      </c>
      <c r="T2" s="328" t="s">
        <v>722</v>
      </c>
      <c r="U2" s="327" t="s">
        <v>723</v>
      </c>
    </row>
    <row r="3" spans="1:21" x14ac:dyDescent="0.25">
      <c r="A3" s="308" t="s">
        <v>85</v>
      </c>
      <c r="B3" s="309">
        <f>_xlfn.XLOOKUP(Catalogo[[#This Row],[Finca]], Fincas[Nombre], Fincas[ID])</f>
        <v>2</v>
      </c>
      <c r="C3" s="308" t="s">
        <v>675</v>
      </c>
      <c r="D3" s="308" t="s">
        <v>655</v>
      </c>
      <c r="E3" s="308"/>
      <c r="F3" s="308" t="s">
        <v>615</v>
      </c>
      <c r="G3" s="308" t="s">
        <v>613</v>
      </c>
      <c r="H3" s="310" t="s">
        <v>241</v>
      </c>
      <c r="I3" s="335"/>
      <c r="J3" s="329" t="s">
        <v>32</v>
      </c>
      <c r="K3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" s="310" t="s">
        <v>307</v>
      </c>
      <c r="M3" s="310">
        <v>50</v>
      </c>
      <c r="N3" s="312">
        <v>0.2</v>
      </c>
      <c r="O3" s="311">
        <f>IFERROR(_xlfn.LET(_xlpm.boxType, J3, _xlpm.tallos, M3, _xlpm.cost, N3, _xlpm.precio, P3,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3" s="322">
        <v>1.39</v>
      </c>
      <c r="Q3" s="312" t="s">
        <v>725</v>
      </c>
      <c r="R3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" s="312">
        <v>0.2</v>
      </c>
      <c r="T3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0.3127147766323024</v>
      </c>
      <c r="U3" s="314">
        <v>0.75</v>
      </c>
    </row>
    <row r="4" spans="1:21" x14ac:dyDescent="0.25">
      <c r="A4" s="304" t="s">
        <v>85</v>
      </c>
      <c r="B4" s="305">
        <f>_xlfn.XLOOKUP(Catalogo[[#This Row],[Finca]], Fincas[Nombre], Fincas[ID])</f>
        <v>2</v>
      </c>
      <c r="C4" s="304" t="s">
        <v>675</v>
      </c>
      <c r="D4" s="304" t="s">
        <v>655</v>
      </c>
      <c r="E4" s="304"/>
      <c r="F4" s="304" t="s">
        <v>615</v>
      </c>
      <c r="G4" s="304" t="s">
        <v>613</v>
      </c>
      <c r="H4" s="306" t="s">
        <v>241</v>
      </c>
      <c r="I4" s="336"/>
      <c r="J4" s="330" t="s">
        <v>33</v>
      </c>
      <c r="K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L4" s="306" t="s">
        <v>309</v>
      </c>
      <c r="M4" s="306">
        <v>125</v>
      </c>
      <c r="N4" s="303">
        <v>0.2</v>
      </c>
      <c r="O4" s="307">
        <f>IFERROR(_xlfn.LET(_xlpm.boxType, J4, _xlpm.tallos, M4, _xlpm.cost, N4, _xlpm.precio, P4,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0.37822997416020665</v>
      </c>
      <c r="P4" s="323">
        <v>1.29</v>
      </c>
      <c r="Q4" s="303" t="s">
        <v>726</v>
      </c>
      <c r="R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" s="303">
        <v>0.2</v>
      </c>
      <c r="T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0.43424691978878538</v>
      </c>
      <c r="U4" s="301">
        <v>0.82</v>
      </c>
    </row>
    <row r="5" spans="1:21" ht="15.75" thickBot="1" x14ac:dyDescent="0.3">
      <c r="A5" s="315" t="s">
        <v>85</v>
      </c>
      <c r="B5" s="316">
        <f>_xlfn.XLOOKUP(Catalogo[[#This Row],[Finca]], Fincas[Nombre], Fincas[ID])</f>
        <v>2</v>
      </c>
      <c r="C5" s="315" t="s">
        <v>675</v>
      </c>
      <c r="D5" s="315" t="s">
        <v>655</v>
      </c>
      <c r="E5" s="315"/>
      <c r="F5" s="315" t="s">
        <v>615</v>
      </c>
      <c r="G5" s="315" t="s">
        <v>613</v>
      </c>
      <c r="H5" s="317" t="s">
        <v>241</v>
      </c>
      <c r="I5" s="337"/>
      <c r="J5" s="331" t="s">
        <v>43</v>
      </c>
      <c r="K5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" s="317" t="s">
        <v>312</v>
      </c>
      <c r="M5" s="317">
        <f>12*25</f>
        <v>300</v>
      </c>
      <c r="N5" s="319">
        <v>0.2</v>
      </c>
      <c r="O5" s="318">
        <f>IFERROR(_xlfn.LET(_xlpm.boxType, J5, _xlpm.tallos, M5, _xlpm.cost, N5, _xlpm.precio, P5,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0.36099439775910358</v>
      </c>
      <c r="P5" s="324">
        <v>1.19</v>
      </c>
      <c r="Q5" s="319" t="s">
        <v>727</v>
      </c>
      <c r="R5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" s="319">
        <v>0.2</v>
      </c>
      <c r="T5" s="320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U5" s="321"/>
    </row>
    <row r="6" spans="1:21" x14ac:dyDescent="0.25">
      <c r="A6" s="304" t="s">
        <v>85</v>
      </c>
      <c r="B6" s="305">
        <f>_xlfn.XLOOKUP(Catalogo[[#This Row],[Finca]], Fincas[Nombre], Fincas[ID])</f>
        <v>2</v>
      </c>
      <c r="C6" s="304" t="s">
        <v>675</v>
      </c>
      <c r="D6" s="304" t="s">
        <v>655</v>
      </c>
      <c r="E6" s="304"/>
      <c r="F6" s="304" t="s">
        <v>615</v>
      </c>
      <c r="G6" s="304" t="s">
        <v>613</v>
      </c>
      <c r="H6" s="306" t="s">
        <v>242</v>
      </c>
      <c r="I6" s="336"/>
      <c r="J6" s="330" t="s">
        <v>32</v>
      </c>
      <c r="K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6" s="306" t="s">
        <v>307</v>
      </c>
      <c r="M6" s="306">
        <v>50</v>
      </c>
      <c r="N6" s="303">
        <v>0.28000000000000003</v>
      </c>
      <c r="O6" s="307">
        <f>IFERROR(_xlfn.LET(_xlpm.boxType, J6, _xlpm.tallos, M6, _xlpm.cost, N6, _xlpm.precio, P6,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0.20563549160671446</v>
      </c>
      <c r="P6" s="323">
        <v>1.39</v>
      </c>
      <c r="Q6" s="303" t="s">
        <v>725</v>
      </c>
      <c r="R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6" s="303">
        <v>0.28000000000000003</v>
      </c>
      <c r="T6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7" spans="1:21" x14ac:dyDescent="0.25">
      <c r="A7" s="304" t="s">
        <v>85</v>
      </c>
      <c r="B7" s="305">
        <f>_xlfn.XLOOKUP(Catalogo[[#This Row],[Finca]], Fincas[Nombre], Fincas[ID])</f>
        <v>2</v>
      </c>
      <c r="C7" s="304" t="s">
        <v>675</v>
      </c>
      <c r="D7" s="304" t="s">
        <v>655</v>
      </c>
      <c r="E7" s="304"/>
      <c r="F7" s="304" t="s">
        <v>615</v>
      </c>
      <c r="G7" s="304" t="s">
        <v>613</v>
      </c>
      <c r="H7" s="306" t="s">
        <v>242</v>
      </c>
      <c r="I7" s="336"/>
      <c r="J7" s="330" t="s">
        <v>33</v>
      </c>
      <c r="K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L7" s="306" t="s">
        <v>309</v>
      </c>
      <c r="M7" s="306">
        <v>125</v>
      </c>
      <c r="N7" s="303">
        <v>0.28000000000000003</v>
      </c>
      <c r="O7" s="307">
        <f>IFERROR(_xlfn.LET(_xlpm.boxType, J7, _xlpm.tallos, M7, _xlpm.cost, N7, _xlpm.precio, P7,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0.30555555555555547</v>
      </c>
      <c r="P7" s="323">
        <v>1.29</v>
      </c>
      <c r="Q7" s="303" t="s">
        <v>726</v>
      </c>
      <c r="R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7" s="303">
        <v>0.28000000000000003</v>
      </c>
      <c r="T7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8" spans="1:21" ht="15.75" thickBot="1" x14ac:dyDescent="0.3">
      <c r="A8" s="304" t="s">
        <v>85</v>
      </c>
      <c r="B8" s="305">
        <f>_xlfn.XLOOKUP(Catalogo[[#This Row],[Finca]], Fincas[Nombre], Fincas[ID])</f>
        <v>2</v>
      </c>
      <c r="C8" s="304" t="s">
        <v>675</v>
      </c>
      <c r="D8" s="304" t="s">
        <v>655</v>
      </c>
      <c r="E8" s="304"/>
      <c r="F8" s="304" t="s">
        <v>615</v>
      </c>
      <c r="G8" s="304" t="s">
        <v>613</v>
      </c>
      <c r="H8" s="306" t="s">
        <v>242</v>
      </c>
      <c r="I8" s="336"/>
      <c r="J8" s="330" t="s">
        <v>43</v>
      </c>
      <c r="K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8" s="306" t="s">
        <v>312</v>
      </c>
      <c r="M8" s="306">
        <v>250</v>
      </c>
      <c r="N8" s="303">
        <v>0.28000000000000003</v>
      </c>
      <c r="O8" s="307">
        <f>IFERROR(_xlfn.LET(_xlpm.boxType, J8, _xlpm.tallos, M8, _xlpm.cost, N8, _xlpm.precio, P8,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0.26518087855297157</v>
      </c>
      <c r="P8" s="323">
        <v>1.29</v>
      </c>
      <c r="Q8" s="303" t="s">
        <v>727</v>
      </c>
      <c r="R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8" s="303">
        <v>0.28000000000000003</v>
      </c>
      <c r="T8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" spans="1:21" x14ac:dyDescent="0.25">
      <c r="A9" s="308" t="s">
        <v>85</v>
      </c>
      <c r="B9" s="309">
        <f>_xlfn.XLOOKUP(Catalogo[[#This Row],[Finca]], Fincas[Nombre], Fincas[ID])</f>
        <v>2</v>
      </c>
      <c r="C9" s="308" t="s">
        <v>675</v>
      </c>
      <c r="D9" s="308" t="s">
        <v>655</v>
      </c>
      <c r="E9" s="308"/>
      <c r="F9" s="308" t="s">
        <v>615</v>
      </c>
      <c r="G9" s="308" t="s">
        <v>613</v>
      </c>
      <c r="H9" s="310" t="s">
        <v>243</v>
      </c>
      <c r="I9" s="335"/>
      <c r="J9" s="329" t="s">
        <v>32</v>
      </c>
      <c r="K9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9" s="310" t="s">
        <v>307</v>
      </c>
      <c r="M9" s="310">
        <v>50</v>
      </c>
      <c r="N9" s="312">
        <v>0.35</v>
      </c>
      <c r="O9" s="311">
        <f>IFERROR(_xlfn.LET(_xlpm.boxType, J9, _xlpm.tallos, M9, _xlpm.cost, N9, _xlpm.precio, P9,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0.20302013422818788</v>
      </c>
      <c r="P9" s="322">
        <v>1.49</v>
      </c>
      <c r="Q9" s="312" t="s">
        <v>725</v>
      </c>
      <c r="R9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9" s="312">
        <v>0.35</v>
      </c>
      <c r="T9" s="31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U9" s="314"/>
    </row>
    <row r="10" spans="1:21" x14ac:dyDescent="0.25">
      <c r="A10" s="304" t="s">
        <v>85</v>
      </c>
      <c r="B10" s="305">
        <f>_xlfn.XLOOKUP(Catalogo[[#This Row],[Finca]], Fincas[Nombre], Fincas[ID])</f>
        <v>2</v>
      </c>
      <c r="C10" s="304" t="s">
        <v>675</v>
      </c>
      <c r="D10" s="304" t="s">
        <v>655</v>
      </c>
      <c r="E10" s="304"/>
      <c r="F10" s="304" t="s">
        <v>615</v>
      </c>
      <c r="G10" s="304" t="s">
        <v>613</v>
      </c>
      <c r="H10" s="306" t="s">
        <v>243</v>
      </c>
      <c r="I10" s="336"/>
      <c r="J10" s="330" t="s">
        <v>33</v>
      </c>
      <c r="K1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L10" s="306" t="s">
        <v>309</v>
      </c>
      <c r="M10" s="306">
        <v>100</v>
      </c>
      <c r="N10" s="303">
        <v>0.35</v>
      </c>
      <c r="O10" s="307">
        <f>IFERROR(_xlfn.LET(_xlpm.boxType, J10, _xlpm.tallos, M10, _xlpm.cost, N10, _xlpm.precio, P10,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0.25195749440715876</v>
      </c>
      <c r="P10" s="323">
        <v>1.49</v>
      </c>
      <c r="Q10" s="303" t="s">
        <v>726</v>
      </c>
      <c r="R1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0" s="303">
        <v>0.35</v>
      </c>
      <c r="T10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1" spans="1:21" x14ac:dyDescent="0.25">
      <c r="A11" s="304" t="s">
        <v>85</v>
      </c>
      <c r="B11" s="305">
        <f>_xlfn.XLOOKUP(Catalogo[[#This Row],[Finca]], Fincas[Nombre], Fincas[ID])</f>
        <v>2</v>
      </c>
      <c r="C11" s="304" t="s">
        <v>675</v>
      </c>
      <c r="D11" s="304" t="s">
        <v>655</v>
      </c>
      <c r="E11" s="304"/>
      <c r="F11" s="304" t="s">
        <v>615</v>
      </c>
      <c r="G11" s="304" t="s">
        <v>613</v>
      </c>
      <c r="H11" s="306" t="s">
        <v>243</v>
      </c>
      <c r="I11" s="336"/>
      <c r="J11" s="330" t="s">
        <v>33</v>
      </c>
      <c r="K1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L11" s="306" t="s">
        <v>310</v>
      </c>
      <c r="M11" s="306">
        <v>125</v>
      </c>
      <c r="N11" s="303">
        <v>0.35</v>
      </c>
      <c r="O11" s="307">
        <f>IFERROR(_xlfn.LET(_xlpm.boxType, J11, _xlpm.tallos, M11, _xlpm.cost, N11, _xlpm.precio, P11,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0.2955635491606714</v>
      </c>
      <c r="P11" s="323">
        <v>1.39</v>
      </c>
      <c r="Q11" s="303" t="s">
        <v>726</v>
      </c>
      <c r="R1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S11" s="303">
        <v>0.35</v>
      </c>
      <c r="T11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2" spans="1:21" ht="15.75" thickBot="1" x14ac:dyDescent="0.3">
      <c r="A12" s="315" t="s">
        <v>85</v>
      </c>
      <c r="B12" s="316">
        <f>_xlfn.XLOOKUP(Catalogo[[#This Row],[Finca]], Fincas[Nombre], Fincas[ID])</f>
        <v>2</v>
      </c>
      <c r="C12" s="315" t="s">
        <v>675</v>
      </c>
      <c r="D12" s="315" t="s">
        <v>655</v>
      </c>
      <c r="E12" s="315"/>
      <c r="F12" s="315" t="s">
        <v>615</v>
      </c>
      <c r="G12" s="315" t="s">
        <v>613</v>
      </c>
      <c r="H12" s="317" t="s">
        <v>243</v>
      </c>
      <c r="I12" s="337"/>
      <c r="J12" s="331" t="s">
        <v>43</v>
      </c>
      <c r="K1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2" s="317" t="s">
        <v>312</v>
      </c>
      <c r="M12" s="317">
        <f>25*10</f>
        <v>250</v>
      </c>
      <c r="N12" s="319">
        <v>0.35</v>
      </c>
      <c r="O12" s="318">
        <f>IFERROR(_xlfn.LET(_xlpm.boxType, J12, _xlpm.tallos, M12, _xlpm.cost, N12, _xlpm.precio, P12,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0.25809352517985606</v>
      </c>
      <c r="P12" s="324">
        <v>1.39</v>
      </c>
      <c r="Q12" s="319" t="s">
        <v>727</v>
      </c>
      <c r="R1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2" s="319">
        <v>0.35</v>
      </c>
      <c r="T12" s="320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U12" s="321"/>
    </row>
    <row r="13" spans="1:21" x14ac:dyDescent="0.25">
      <c r="A13" s="304" t="s">
        <v>85</v>
      </c>
      <c r="B13" s="305">
        <f>_xlfn.XLOOKUP(Catalogo[[#This Row],[Finca]], Fincas[Nombre], Fincas[ID])</f>
        <v>2</v>
      </c>
      <c r="C13" s="304" t="s">
        <v>675</v>
      </c>
      <c r="D13" s="304" t="s">
        <v>655</v>
      </c>
      <c r="E13" s="304"/>
      <c r="F13" s="304" t="s">
        <v>615</v>
      </c>
      <c r="G13" s="304" t="s">
        <v>613</v>
      </c>
      <c r="H13" s="306" t="s">
        <v>244</v>
      </c>
      <c r="I13" s="336"/>
      <c r="J13" s="330" t="s">
        <v>33</v>
      </c>
      <c r="K1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L13" s="306" t="s">
        <v>310</v>
      </c>
      <c r="M13" s="306">
        <v>100</v>
      </c>
      <c r="N13" s="303">
        <v>0.4</v>
      </c>
      <c r="O13" s="307">
        <f>IFERROR(_xlfn.LET(_xlpm.boxType, J13, _xlpm.tallos, M13, _xlpm.cost, N13, _xlpm.precio, P13,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0.34241154562383602</v>
      </c>
      <c r="P13" s="323">
        <v>1.79</v>
      </c>
      <c r="Q13" s="303" t="s">
        <v>726</v>
      </c>
      <c r="R1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S13" s="303">
        <v>0.4</v>
      </c>
      <c r="T13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4" spans="1:21" x14ac:dyDescent="0.25">
      <c r="A14" s="304" t="s">
        <v>85</v>
      </c>
      <c r="B14" s="305">
        <f>_xlfn.XLOOKUP(Catalogo[[#This Row],[Finca]], Fincas[Nombre], Fincas[ID])</f>
        <v>2</v>
      </c>
      <c r="C14" s="304" t="s">
        <v>675</v>
      </c>
      <c r="D14" s="304" t="s">
        <v>655</v>
      </c>
      <c r="E14" s="304"/>
      <c r="F14" s="304" t="s">
        <v>615</v>
      </c>
      <c r="G14" s="304" t="s">
        <v>613</v>
      </c>
      <c r="H14" s="306" t="s">
        <v>244</v>
      </c>
      <c r="I14" s="336"/>
      <c r="J14" s="330" t="s">
        <v>33</v>
      </c>
      <c r="K1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L14" s="306" t="s">
        <v>311</v>
      </c>
      <c r="M14" s="306">
        <v>125</v>
      </c>
      <c r="N14" s="303">
        <v>0.4</v>
      </c>
      <c r="O14" s="307">
        <f>IFERROR(_xlfn.LET(_xlpm.boxType, J14, _xlpm.tallos, M14, _xlpm.cost, N14, _xlpm.precio, P14,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0.41806331471135938</v>
      </c>
      <c r="P14" s="323">
        <v>1.79</v>
      </c>
      <c r="Q14" s="303" t="s">
        <v>726</v>
      </c>
      <c r="R1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S14" s="303">
        <v>0.4</v>
      </c>
      <c r="T14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5" spans="1:21" ht="15.75" thickBot="1" x14ac:dyDescent="0.3">
      <c r="A15" s="304" t="s">
        <v>85</v>
      </c>
      <c r="B15" s="305">
        <f>_xlfn.XLOOKUP(Catalogo[[#This Row],[Finca]], Fincas[Nombre], Fincas[ID])</f>
        <v>2</v>
      </c>
      <c r="C15" s="304" t="s">
        <v>675</v>
      </c>
      <c r="D15" s="304" t="s">
        <v>655</v>
      </c>
      <c r="E15" s="304"/>
      <c r="F15" s="304" t="s">
        <v>615</v>
      </c>
      <c r="G15" s="304" t="s">
        <v>613</v>
      </c>
      <c r="H15" s="306" t="s">
        <v>244</v>
      </c>
      <c r="I15" s="336"/>
      <c r="J15" s="330" t="s">
        <v>43</v>
      </c>
      <c r="K1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5" s="306" t="s">
        <v>312</v>
      </c>
      <c r="M15" s="306">
        <v>250</v>
      </c>
      <c r="N15" s="303">
        <v>0.4</v>
      </c>
      <c r="O15" s="307">
        <f>IFERROR(_xlfn.LET(_xlpm.boxType, J15, _xlpm.tallos, M15, _xlpm.cost, N15, _xlpm.precio, P15,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0.38896648044692728</v>
      </c>
      <c r="P15" s="323">
        <v>1.79</v>
      </c>
      <c r="Q15" s="303" t="s">
        <v>727</v>
      </c>
      <c r="R1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5" s="303">
        <v>0.4</v>
      </c>
      <c r="T15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6" spans="1:21" x14ac:dyDescent="0.25">
      <c r="A16" s="308" t="s">
        <v>85</v>
      </c>
      <c r="B16" s="309">
        <f>_xlfn.XLOOKUP(Catalogo[[#This Row],[Finca]], Fincas[Nombre], Fincas[ID])</f>
        <v>2</v>
      </c>
      <c r="C16" s="308" t="s">
        <v>675</v>
      </c>
      <c r="D16" s="308" t="s">
        <v>655</v>
      </c>
      <c r="E16" s="308"/>
      <c r="F16" s="308" t="s">
        <v>615</v>
      </c>
      <c r="G16" s="308" t="s">
        <v>613</v>
      </c>
      <c r="H16" s="310" t="s">
        <v>245</v>
      </c>
      <c r="I16" s="335"/>
      <c r="J16" s="329" t="s">
        <v>33</v>
      </c>
      <c r="K16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L16" s="310" t="s">
        <v>310</v>
      </c>
      <c r="M16" s="310">
        <v>100</v>
      </c>
      <c r="N16" s="312">
        <v>0.45</v>
      </c>
      <c r="O16" s="311">
        <f>IFERROR(_xlfn.LET(_xlpm.boxType, J16, _xlpm.tallos, M16, _xlpm.cost, N16, _xlpm.precio, P16,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0.34413580246913578</v>
      </c>
      <c r="P16" s="322">
        <v>1.89</v>
      </c>
      <c r="Q16" s="312" t="s">
        <v>726</v>
      </c>
      <c r="R16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S16" s="312">
        <v>0.45</v>
      </c>
      <c r="T16" s="31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U16" s="314"/>
    </row>
    <row r="17" spans="1:21" x14ac:dyDescent="0.25">
      <c r="A17" s="304" t="s">
        <v>85</v>
      </c>
      <c r="B17" s="305">
        <f>_xlfn.XLOOKUP(Catalogo[[#This Row],[Finca]], Fincas[Nombre], Fincas[ID])</f>
        <v>2</v>
      </c>
      <c r="C17" s="304" t="s">
        <v>675</v>
      </c>
      <c r="D17" s="304" t="s">
        <v>655</v>
      </c>
      <c r="E17" s="304"/>
      <c r="F17" s="304" t="s">
        <v>615</v>
      </c>
      <c r="G17" s="304" t="s">
        <v>613</v>
      </c>
      <c r="H17" s="306" t="s">
        <v>245</v>
      </c>
      <c r="I17" s="336"/>
      <c r="J17" s="330" t="s">
        <v>33</v>
      </c>
      <c r="K1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L17" s="306" t="s">
        <v>311</v>
      </c>
      <c r="M17" s="306">
        <v>125</v>
      </c>
      <c r="N17" s="303">
        <v>0.45</v>
      </c>
      <c r="O17" s="307">
        <f>IFERROR(_xlfn.LET(_xlpm.boxType, J17, _xlpm.tallos, M17, _xlpm.cost, N17, _xlpm.precio, P17,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0.415784832451499</v>
      </c>
      <c r="P17" s="323">
        <v>1.89</v>
      </c>
      <c r="Q17" s="303" t="s">
        <v>726</v>
      </c>
      <c r="R1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S17" s="303">
        <v>0.45</v>
      </c>
      <c r="T17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8" spans="1:21" ht="15.75" thickBot="1" x14ac:dyDescent="0.3">
      <c r="A18" s="315" t="s">
        <v>85</v>
      </c>
      <c r="B18" s="316">
        <f>_xlfn.XLOOKUP(Catalogo[[#This Row],[Finca]], Fincas[Nombre], Fincas[ID])</f>
        <v>2</v>
      </c>
      <c r="C18" s="315" t="s">
        <v>675</v>
      </c>
      <c r="D18" s="315" t="s">
        <v>655</v>
      </c>
      <c r="E18" s="315"/>
      <c r="F18" s="315" t="s">
        <v>615</v>
      </c>
      <c r="G18" s="315" t="s">
        <v>613</v>
      </c>
      <c r="H18" s="317" t="s">
        <v>245</v>
      </c>
      <c r="I18" s="337"/>
      <c r="J18" s="331" t="s">
        <v>43</v>
      </c>
      <c r="K18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8" s="317" t="s">
        <v>312</v>
      </c>
      <c r="M18" s="317">
        <v>250</v>
      </c>
      <c r="N18" s="319">
        <v>0.45</v>
      </c>
      <c r="O18" s="318">
        <f>IFERROR(_xlfn.LET(_xlpm.boxType, J18, _xlpm.tallos, M18, _xlpm.cost, N18, _xlpm.precio, P18,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0.38822751322751325</v>
      </c>
      <c r="P18" s="324">
        <v>1.89</v>
      </c>
      <c r="Q18" s="319" t="s">
        <v>727</v>
      </c>
      <c r="R18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8" s="319">
        <v>0.45</v>
      </c>
      <c r="T18" s="320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U18" s="321"/>
    </row>
    <row r="19" spans="1:21" x14ac:dyDescent="0.25">
      <c r="A19" s="304" t="s">
        <v>85</v>
      </c>
      <c r="B19" s="305">
        <f>_xlfn.XLOOKUP(Catalogo[[#This Row],[Finca]], Fincas[Nombre], Fincas[ID])</f>
        <v>2</v>
      </c>
      <c r="C19" s="304" t="s">
        <v>675</v>
      </c>
      <c r="D19" s="304" t="s">
        <v>655</v>
      </c>
      <c r="E19" s="304"/>
      <c r="F19" s="304" t="s">
        <v>615</v>
      </c>
      <c r="G19" s="304" t="s">
        <v>613</v>
      </c>
      <c r="H19" s="306" t="s">
        <v>246</v>
      </c>
      <c r="I19" s="336"/>
      <c r="J19" s="330" t="s">
        <v>33</v>
      </c>
      <c r="K1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L19" s="306" t="s">
        <v>311</v>
      </c>
      <c r="M19" s="306">
        <v>100</v>
      </c>
      <c r="N19" s="303">
        <v>0.5</v>
      </c>
      <c r="O19" s="307">
        <f>IFERROR(_xlfn.LET(_xlpm.boxType, J19, _xlpm.tallos, M19, _xlpm.cost, N19, _xlpm.precio, P19,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0.41019786910197864</v>
      </c>
      <c r="P19" s="323">
        <v>2.19</v>
      </c>
      <c r="Q19" s="303" t="s">
        <v>726</v>
      </c>
      <c r="R1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S19" s="303">
        <v>0.5</v>
      </c>
      <c r="T19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0" spans="1:21" x14ac:dyDescent="0.25">
      <c r="A20" s="304" t="s">
        <v>85</v>
      </c>
      <c r="B20" s="305">
        <f>_xlfn.XLOOKUP(Catalogo[[#This Row],[Finca]], Fincas[Nombre], Fincas[ID])</f>
        <v>2</v>
      </c>
      <c r="C20" s="304" t="s">
        <v>675</v>
      </c>
      <c r="D20" s="304" t="s">
        <v>655</v>
      </c>
      <c r="E20" s="304"/>
      <c r="F20" s="304" t="s">
        <v>615</v>
      </c>
      <c r="G20" s="304" t="s">
        <v>613</v>
      </c>
      <c r="H20" s="306" t="s">
        <v>246</v>
      </c>
      <c r="I20" s="336"/>
      <c r="J20" s="330" t="s">
        <v>43</v>
      </c>
      <c r="K2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L20" s="306" t="s">
        <v>313</v>
      </c>
      <c r="M20" s="306">
        <f>8*25</f>
        <v>200</v>
      </c>
      <c r="N20" s="303">
        <v>0.5</v>
      </c>
      <c r="O20" s="307">
        <f>IFERROR(_xlfn.LET(_xlpm.boxType, J20, _xlpm.tallos, M20, _xlpm.cost, N20, _xlpm.precio, P20,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0.37690258751902583</v>
      </c>
      <c r="P20" s="323">
        <v>2.19</v>
      </c>
      <c r="Q20" s="303" t="s">
        <v>727</v>
      </c>
      <c r="R2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S20" s="303">
        <v>0.5</v>
      </c>
      <c r="T20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1" spans="1:21" x14ac:dyDescent="0.25">
      <c r="A21" s="304" t="s">
        <v>85</v>
      </c>
      <c r="B21" s="305">
        <f>_xlfn.XLOOKUP(Catalogo[[#This Row],[Finca]], Fincas[Nombre], Fincas[ID])</f>
        <v>2</v>
      </c>
      <c r="C21" s="304" t="s">
        <v>675</v>
      </c>
      <c r="D21" s="304" t="s">
        <v>655</v>
      </c>
      <c r="E21" s="304"/>
      <c r="F21" s="304" t="s">
        <v>615</v>
      </c>
      <c r="G21" s="304" t="s">
        <v>613</v>
      </c>
      <c r="H21" s="306" t="s">
        <v>246</v>
      </c>
      <c r="I21" s="336"/>
      <c r="J21" s="305" t="s">
        <v>43</v>
      </c>
      <c r="K2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1" s="306" t="s">
        <v>312</v>
      </c>
      <c r="M21" s="306">
        <v>250</v>
      </c>
      <c r="N21" s="303">
        <v>0.5</v>
      </c>
      <c r="O21" s="307">
        <f>IFERROR(_xlfn.LET(_xlpm.boxType, J21, _xlpm.tallos, M21, _xlpm.cost, N21, _xlpm.precio, P21,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0.4482496194824962</v>
      </c>
      <c r="P21" s="323">
        <v>2.19</v>
      </c>
      <c r="Q21" s="303" t="s">
        <v>727</v>
      </c>
      <c r="R2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1" s="303">
        <v>0.5</v>
      </c>
      <c r="T21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2" spans="1:21" x14ac:dyDescent="0.25">
      <c r="A22" s="304"/>
      <c r="B22" s="305">
        <f>_xlfn.XLOOKUP(Catalogo[[#This Row],[Finca]], Fincas[Nombre], Fincas[ID])</f>
        <v>0</v>
      </c>
      <c r="C22" s="304"/>
      <c r="D22" s="304"/>
      <c r="E22" s="304"/>
      <c r="F22" s="304"/>
      <c r="G22" s="304"/>
      <c r="H22" s="338"/>
      <c r="I22" s="336"/>
      <c r="J22" s="305"/>
      <c r="K2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22" s="306"/>
      <c r="M22" s="306"/>
      <c r="N22" s="303"/>
      <c r="O22" s="307" t="str">
        <f>IFERROR(_xlfn.LET(_xlpm.boxType, J22, _xlpm.tallos, M22, _xlpm.cost, N22, _xlpm.precio, P22,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22" s="323"/>
      <c r="Q22" s="303"/>
      <c r="R2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22" s="303"/>
      <c r="T22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3" spans="1:21" ht="15.75" thickBot="1" x14ac:dyDescent="0.3">
      <c r="A23" s="304"/>
      <c r="B23" s="305">
        <f>_xlfn.XLOOKUP(Catalogo[[#This Row],[Finca]], Fincas[Nombre], Fincas[ID])</f>
        <v>0</v>
      </c>
      <c r="C23" s="304"/>
      <c r="D23" s="304"/>
      <c r="E23" s="304"/>
      <c r="F23" s="304"/>
      <c r="G23" s="304"/>
      <c r="H23" s="338"/>
      <c r="I23" s="336"/>
      <c r="J23" s="305"/>
      <c r="K2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23" s="306"/>
      <c r="M23" s="306"/>
      <c r="N23" s="303"/>
      <c r="O23" s="307" t="str">
        <f>IFERROR(_xlfn.LET(_xlpm.boxType, J23, _xlpm.tallos, M23, _xlpm.cost, N23, _xlpm.precio, P23,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23" s="323"/>
      <c r="Q23" s="303"/>
      <c r="R2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23" s="303"/>
      <c r="T23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4" spans="1:21" x14ac:dyDescent="0.25">
      <c r="A24" s="308" t="s">
        <v>41</v>
      </c>
      <c r="B24" s="309">
        <f>_xlfn.XLOOKUP(Catalogo[[#This Row],[Finca]], Fincas[Nombre], Fincas[ID])</f>
        <v>38</v>
      </c>
      <c r="C24" s="308" t="s">
        <v>675</v>
      </c>
      <c r="D24" s="308" t="s">
        <v>734</v>
      </c>
      <c r="E24" s="308"/>
      <c r="F24" s="308" t="s">
        <v>618</v>
      </c>
      <c r="G24" s="308"/>
      <c r="H24" s="343" t="s">
        <v>241</v>
      </c>
      <c r="I24" s="335"/>
      <c r="J24" s="309" t="s">
        <v>32</v>
      </c>
      <c r="K24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4" s="310" t="s">
        <v>737</v>
      </c>
      <c r="M24" s="310">
        <v>50</v>
      </c>
      <c r="N24" s="312">
        <v>0.26</v>
      </c>
      <c r="O24" s="311">
        <f>IFERROR(_xlfn.LET(_xlpm.boxType, J24, _xlpm.tallos, M24, _xlpm.cost, N24, _xlpm.precio, P24,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24" s="322">
        <v>1.29</v>
      </c>
      <c r="Q24" s="312" t="s">
        <v>725</v>
      </c>
      <c r="R24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4" s="312">
        <v>0.26</v>
      </c>
      <c r="T24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24" s="314">
        <v>0.75</v>
      </c>
    </row>
    <row r="25" spans="1:21" x14ac:dyDescent="0.25">
      <c r="A25" s="304" t="s">
        <v>41</v>
      </c>
      <c r="B25" s="305">
        <f>_xlfn.XLOOKUP(Catalogo[[#This Row],[Finca]], Fincas[Nombre], Fincas[ID])</f>
        <v>38</v>
      </c>
      <c r="C25" s="304" t="s">
        <v>675</v>
      </c>
      <c r="D25" s="304" t="s">
        <v>734</v>
      </c>
      <c r="E25" s="304"/>
      <c r="F25" s="304" t="s">
        <v>618</v>
      </c>
      <c r="G25" s="304"/>
      <c r="H25" s="338" t="s">
        <v>241</v>
      </c>
      <c r="I25" s="336"/>
      <c r="J25" s="305" t="s">
        <v>33</v>
      </c>
      <c r="K2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5" s="306" t="s">
        <v>738</v>
      </c>
      <c r="M25" s="306">
        <v>150</v>
      </c>
      <c r="N25" s="303">
        <v>0.26</v>
      </c>
      <c r="O25" s="307">
        <f>IFERROR(_xlfn.LET(_xlpm.boxType, J25, _xlpm.tallos, M25, _xlpm.cost, N25, _xlpm.precio, P25,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25" s="323">
        <v>1.19</v>
      </c>
      <c r="Q25" s="303" t="s">
        <v>726</v>
      </c>
      <c r="R2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5" s="303">
        <v>0.26</v>
      </c>
      <c r="T2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5" s="301">
        <v>0.69</v>
      </c>
    </row>
    <row r="26" spans="1:21" ht="15.75" thickBot="1" x14ac:dyDescent="0.3">
      <c r="A26" s="315" t="s">
        <v>41</v>
      </c>
      <c r="B26" s="316">
        <f>_xlfn.XLOOKUP(Catalogo[[#This Row],[Finca]], Fincas[Nombre], Fincas[ID])</f>
        <v>38</v>
      </c>
      <c r="C26" s="315" t="s">
        <v>675</v>
      </c>
      <c r="D26" s="315" t="s">
        <v>734</v>
      </c>
      <c r="E26" s="315"/>
      <c r="F26" s="315" t="s">
        <v>618</v>
      </c>
      <c r="G26" s="315"/>
      <c r="H26" s="344" t="s">
        <v>241</v>
      </c>
      <c r="I26" s="337"/>
      <c r="J26" s="316" t="s">
        <v>43</v>
      </c>
      <c r="K2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6" s="317" t="s">
        <v>342</v>
      </c>
      <c r="M26" s="317">
        <v>300</v>
      </c>
      <c r="N26" s="319">
        <v>0.26</v>
      </c>
      <c r="O26" s="318">
        <f>IFERROR(_xlfn.LET(_xlpm.boxType, J26, _xlpm.tallos, M26, _xlpm.cost, N26, _xlpm.precio, P26,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26" s="324">
        <v>1.19</v>
      </c>
      <c r="Q26" s="319" t="s">
        <v>727</v>
      </c>
      <c r="R2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6" s="319">
        <v>0.26</v>
      </c>
      <c r="T2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6" s="321">
        <v>0.69</v>
      </c>
    </row>
    <row r="27" spans="1:21" x14ac:dyDescent="0.25">
      <c r="A27" s="304" t="s">
        <v>41</v>
      </c>
      <c r="B27" s="305">
        <f>_xlfn.XLOOKUP(Catalogo[[#This Row],[Finca]], Fincas[Nombre], Fincas[ID])</f>
        <v>38</v>
      </c>
      <c r="C27" s="304" t="s">
        <v>675</v>
      </c>
      <c r="D27" s="304" t="s">
        <v>734</v>
      </c>
      <c r="E27" s="304"/>
      <c r="F27" s="304" t="s">
        <v>618</v>
      </c>
      <c r="G27" s="304"/>
      <c r="H27" s="338" t="s">
        <v>242</v>
      </c>
      <c r="I27" s="336"/>
      <c r="J27" s="305" t="s">
        <v>32</v>
      </c>
      <c r="K2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7" s="306" t="s">
        <v>737</v>
      </c>
      <c r="M27" s="306">
        <v>50</v>
      </c>
      <c r="N27" s="303">
        <v>0.36</v>
      </c>
      <c r="O27" s="307">
        <f>IFERROR(_xlfn.LET(_xlpm.boxType, J27, _xlpm.tallos, M27, _xlpm.cost, N27, _xlpm.precio, P27,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27" s="323">
        <v>1.49</v>
      </c>
      <c r="Q27" s="303" t="s">
        <v>725</v>
      </c>
      <c r="R2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7" s="303">
        <v>0.36</v>
      </c>
      <c r="T2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27" s="301">
        <v>0.85</v>
      </c>
    </row>
    <row r="28" spans="1:21" x14ac:dyDescent="0.25">
      <c r="A28" s="304" t="s">
        <v>41</v>
      </c>
      <c r="B28" s="305">
        <f>_xlfn.XLOOKUP(Catalogo[[#This Row],[Finca]], Fincas[Nombre], Fincas[ID])</f>
        <v>38</v>
      </c>
      <c r="C28" s="304" t="s">
        <v>675</v>
      </c>
      <c r="D28" s="304" t="s">
        <v>734</v>
      </c>
      <c r="E28" s="304"/>
      <c r="F28" s="304" t="s">
        <v>618</v>
      </c>
      <c r="G28" s="304"/>
      <c r="H28" s="338" t="s">
        <v>242</v>
      </c>
      <c r="I28" s="336"/>
      <c r="J28" s="305" t="s">
        <v>33</v>
      </c>
      <c r="K2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8" s="306" t="s">
        <v>738</v>
      </c>
      <c r="M28" s="306">
        <v>125</v>
      </c>
      <c r="N28" s="303">
        <v>0.36</v>
      </c>
      <c r="O28" s="307">
        <f>IFERROR(_xlfn.LET(_xlpm.boxType, J28, _xlpm.tallos, M28, _xlpm.cost, N28, _xlpm.precio, P28,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28" s="323">
        <v>1.39</v>
      </c>
      <c r="Q28" s="303" t="s">
        <v>726</v>
      </c>
      <c r="R2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8" s="303">
        <v>0.36</v>
      </c>
      <c r="T2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8" s="301">
        <v>0.79</v>
      </c>
    </row>
    <row r="29" spans="1:21" ht="15.75" thickBot="1" x14ac:dyDescent="0.3">
      <c r="A29" s="304" t="s">
        <v>41</v>
      </c>
      <c r="B29" s="305">
        <f>_xlfn.XLOOKUP(Catalogo[[#This Row],[Finca]], Fincas[Nombre], Fincas[ID])</f>
        <v>38</v>
      </c>
      <c r="C29" s="304" t="s">
        <v>675</v>
      </c>
      <c r="D29" s="304" t="s">
        <v>734</v>
      </c>
      <c r="E29" s="304"/>
      <c r="F29" s="304" t="s">
        <v>618</v>
      </c>
      <c r="G29" s="304"/>
      <c r="H29" s="338" t="s">
        <v>242</v>
      </c>
      <c r="I29" s="336"/>
      <c r="J29" s="305" t="s">
        <v>43</v>
      </c>
      <c r="K2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9" s="306" t="s">
        <v>342</v>
      </c>
      <c r="M29" s="306">
        <v>250</v>
      </c>
      <c r="N29" s="303">
        <v>0.36</v>
      </c>
      <c r="O29" s="307">
        <f>IFERROR(_xlfn.LET(_xlpm.boxType, J29, _xlpm.tallos, M29, _xlpm.cost, N29, _xlpm.precio, P29,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29" s="323">
        <v>1.39</v>
      </c>
      <c r="Q29" s="303" t="s">
        <v>727</v>
      </c>
      <c r="R2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9" s="303">
        <v>0.36</v>
      </c>
      <c r="T2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9" s="301">
        <v>0.79</v>
      </c>
    </row>
    <row r="30" spans="1:21" x14ac:dyDescent="0.25">
      <c r="A30" s="308" t="s">
        <v>41</v>
      </c>
      <c r="B30" s="309">
        <f>_xlfn.XLOOKUP(Catalogo[[#This Row],[Finca]], Fincas[Nombre], Fincas[ID])</f>
        <v>38</v>
      </c>
      <c r="C30" s="308" t="s">
        <v>675</v>
      </c>
      <c r="D30" s="308" t="s">
        <v>734</v>
      </c>
      <c r="E30" s="308"/>
      <c r="F30" s="308" t="s">
        <v>618</v>
      </c>
      <c r="G30" s="308"/>
      <c r="H30" s="343" t="s">
        <v>243</v>
      </c>
      <c r="I30" s="335"/>
      <c r="J30" s="309" t="s">
        <v>32</v>
      </c>
      <c r="K30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0" s="310" t="s">
        <v>737</v>
      </c>
      <c r="M30" s="310">
        <v>50</v>
      </c>
      <c r="N30" s="312">
        <v>0.42</v>
      </c>
      <c r="O30" s="311">
        <f>IFERROR(_xlfn.LET(_xlpm.boxType, J30, _xlpm.tallos, M30, _xlpm.cost, N30, _xlpm.precio, P30,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0" s="322">
        <v>1.59</v>
      </c>
      <c r="Q30" s="312" t="s">
        <v>725</v>
      </c>
      <c r="R30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0" s="312">
        <v>0.42</v>
      </c>
      <c r="T30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0" s="314">
        <v>0.99</v>
      </c>
    </row>
    <row r="31" spans="1:21" x14ac:dyDescent="0.25">
      <c r="A31" s="304" t="s">
        <v>41</v>
      </c>
      <c r="B31" s="305">
        <f>_xlfn.XLOOKUP(Catalogo[[#This Row],[Finca]], Fincas[Nombre], Fincas[ID])</f>
        <v>38</v>
      </c>
      <c r="C31" s="304" t="s">
        <v>675</v>
      </c>
      <c r="D31" s="304" t="s">
        <v>734</v>
      </c>
      <c r="E31" s="304"/>
      <c r="F31" s="304" t="s">
        <v>618</v>
      </c>
      <c r="G31" s="304"/>
      <c r="H31" s="338" t="s">
        <v>243</v>
      </c>
      <c r="I31" s="336"/>
      <c r="J31" s="305" t="s">
        <v>33</v>
      </c>
      <c r="K3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1" s="306" t="s">
        <v>738</v>
      </c>
      <c r="M31" s="306">
        <v>100</v>
      </c>
      <c r="N31" s="303">
        <v>0.42</v>
      </c>
      <c r="O31" s="307">
        <f>IFERROR(_xlfn.LET(_xlpm.boxType, J31, _xlpm.tallos, M31, _xlpm.cost, N31, _xlpm.precio, P31,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31" s="323">
        <v>1.59</v>
      </c>
      <c r="Q31" s="303" t="s">
        <v>726</v>
      </c>
      <c r="R3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1" s="303">
        <v>0.42</v>
      </c>
      <c r="T3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1" s="301">
        <v>0.89</v>
      </c>
    </row>
    <row r="32" spans="1:21" ht="15.75" thickBot="1" x14ac:dyDescent="0.3">
      <c r="A32" s="315" t="s">
        <v>41</v>
      </c>
      <c r="B32" s="316">
        <f>_xlfn.XLOOKUP(Catalogo[[#This Row],[Finca]], Fincas[Nombre], Fincas[ID])</f>
        <v>38</v>
      </c>
      <c r="C32" s="315" t="s">
        <v>675</v>
      </c>
      <c r="D32" s="315" t="s">
        <v>734</v>
      </c>
      <c r="E32" s="315"/>
      <c r="F32" s="315" t="s">
        <v>618</v>
      </c>
      <c r="G32" s="315"/>
      <c r="H32" s="344" t="s">
        <v>243</v>
      </c>
      <c r="I32" s="337"/>
      <c r="J32" s="316" t="s">
        <v>43</v>
      </c>
      <c r="K3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2" s="317" t="s">
        <v>342</v>
      </c>
      <c r="M32" s="317">
        <v>200</v>
      </c>
      <c r="N32" s="319">
        <v>0.42</v>
      </c>
      <c r="O32" s="318">
        <f>IFERROR(_xlfn.LET(_xlpm.boxType, J32, _xlpm.tallos, M32, _xlpm.cost, N32, _xlpm.precio, P32,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2" s="324">
        <v>1.59</v>
      </c>
      <c r="Q32" s="319" t="s">
        <v>727</v>
      </c>
      <c r="R3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2" s="319">
        <v>0.42</v>
      </c>
      <c r="T3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2" s="321">
        <v>0.89</v>
      </c>
    </row>
    <row r="33" spans="1:21" x14ac:dyDescent="0.25">
      <c r="A33" s="308" t="s">
        <v>41</v>
      </c>
      <c r="B33" s="309">
        <f>_xlfn.XLOOKUP(Catalogo[[#This Row],[Finca]], Fincas[Nombre], Fincas[ID])</f>
        <v>38</v>
      </c>
      <c r="C33" s="308" t="s">
        <v>675</v>
      </c>
      <c r="D33" s="308" t="s">
        <v>748</v>
      </c>
      <c r="E33" s="308"/>
      <c r="F33" s="308" t="s">
        <v>615</v>
      </c>
      <c r="G33" s="308"/>
      <c r="H33" s="343" t="s">
        <v>241</v>
      </c>
      <c r="I33" s="335"/>
      <c r="J33" s="309" t="s">
        <v>32</v>
      </c>
      <c r="K33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3" s="310" t="s">
        <v>737</v>
      </c>
      <c r="M33" s="310">
        <v>50</v>
      </c>
      <c r="N33" s="312">
        <v>0.26</v>
      </c>
      <c r="O33" s="311">
        <f>IFERROR(_xlfn.LET(_xlpm.boxType, J33, _xlpm.tallos, M33, _xlpm.cost, N33, _xlpm.precio, P33,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33" s="322">
        <v>1.29</v>
      </c>
      <c r="Q33" s="312" t="s">
        <v>725</v>
      </c>
      <c r="R33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3" s="312">
        <v>0.26</v>
      </c>
      <c r="T33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33" s="314">
        <v>0.75</v>
      </c>
    </row>
    <row r="34" spans="1:21" x14ac:dyDescent="0.25">
      <c r="A34" s="304" t="s">
        <v>41</v>
      </c>
      <c r="B34" s="305">
        <f>_xlfn.XLOOKUP(Catalogo[[#This Row],[Finca]], Fincas[Nombre], Fincas[ID])</f>
        <v>38</v>
      </c>
      <c r="C34" s="304" t="s">
        <v>675</v>
      </c>
      <c r="D34" s="304" t="s">
        <v>748</v>
      </c>
      <c r="E34" s="304"/>
      <c r="F34" s="304" t="s">
        <v>615</v>
      </c>
      <c r="G34" s="304"/>
      <c r="H34" s="338" t="s">
        <v>241</v>
      </c>
      <c r="I34" s="336"/>
      <c r="J34" s="305" t="s">
        <v>33</v>
      </c>
      <c r="K3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4" s="306" t="s">
        <v>738</v>
      </c>
      <c r="M34" s="306">
        <v>150</v>
      </c>
      <c r="N34" s="303">
        <v>0.26</v>
      </c>
      <c r="O34" s="307">
        <f>IFERROR(_xlfn.LET(_xlpm.boxType, J34, _xlpm.tallos, M34, _xlpm.cost, N34, _xlpm.precio, P34,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34" s="323">
        <v>1.19</v>
      </c>
      <c r="Q34" s="303" t="s">
        <v>726</v>
      </c>
      <c r="R3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4" s="303">
        <v>0.26</v>
      </c>
      <c r="T3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4" s="301">
        <v>0.69</v>
      </c>
    </row>
    <row r="35" spans="1:21" ht="15.75" thickBot="1" x14ac:dyDescent="0.3">
      <c r="A35" s="315" t="s">
        <v>41</v>
      </c>
      <c r="B35" s="316">
        <f>_xlfn.XLOOKUP(Catalogo[[#This Row],[Finca]], Fincas[Nombre], Fincas[ID])</f>
        <v>38</v>
      </c>
      <c r="C35" s="315" t="s">
        <v>675</v>
      </c>
      <c r="D35" s="315" t="s">
        <v>748</v>
      </c>
      <c r="E35" s="315"/>
      <c r="F35" s="315" t="s">
        <v>615</v>
      </c>
      <c r="G35" s="315"/>
      <c r="H35" s="344" t="s">
        <v>241</v>
      </c>
      <c r="I35" s="337"/>
      <c r="J35" s="316" t="s">
        <v>43</v>
      </c>
      <c r="K35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5" s="317" t="s">
        <v>342</v>
      </c>
      <c r="M35" s="317">
        <v>300</v>
      </c>
      <c r="N35" s="319">
        <v>0.26</v>
      </c>
      <c r="O35" s="318">
        <f>IFERROR(_xlfn.LET(_xlpm.boxType, J35, _xlpm.tallos, M35, _xlpm.cost, N35, _xlpm.precio, P35,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35" s="324">
        <v>1.19</v>
      </c>
      <c r="Q35" s="319" t="s">
        <v>727</v>
      </c>
      <c r="R35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5" s="319">
        <v>0.26</v>
      </c>
      <c r="T35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5" s="321">
        <v>0.69</v>
      </c>
    </row>
    <row r="36" spans="1:21" x14ac:dyDescent="0.25">
      <c r="A36" s="304" t="s">
        <v>41</v>
      </c>
      <c r="B36" s="305">
        <f>_xlfn.XLOOKUP(Catalogo[[#This Row],[Finca]], Fincas[Nombre], Fincas[ID])</f>
        <v>38</v>
      </c>
      <c r="C36" s="304" t="s">
        <v>675</v>
      </c>
      <c r="D36" s="304" t="s">
        <v>748</v>
      </c>
      <c r="E36" s="304"/>
      <c r="F36" s="304" t="s">
        <v>615</v>
      </c>
      <c r="G36" s="304"/>
      <c r="H36" s="338" t="s">
        <v>242</v>
      </c>
      <c r="I36" s="336"/>
      <c r="J36" s="305" t="s">
        <v>32</v>
      </c>
      <c r="K3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6" s="306" t="s">
        <v>737</v>
      </c>
      <c r="M36" s="306">
        <v>50</v>
      </c>
      <c r="N36" s="303">
        <v>0.36</v>
      </c>
      <c r="O36" s="307">
        <f>IFERROR(_xlfn.LET(_xlpm.boxType, J36, _xlpm.tallos, M36, _xlpm.cost, N36, _xlpm.precio, P36,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36" s="323">
        <v>1.49</v>
      </c>
      <c r="Q36" s="303" t="s">
        <v>725</v>
      </c>
      <c r="R3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6" s="303">
        <v>0.36</v>
      </c>
      <c r="T3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36" s="301">
        <v>0.85</v>
      </c>
    </row>
    <row r="37" spans="1:21" x14ac:dyDescent="0.25">
      <c r="A37" s="304" t="s">
        <v>41</v>
      </c>
      <c r="B37" s="305">
        <f>_xlfn.XLOOKUP(Catalogo[[#This Row],[Finca]], Fincas[Nombre], Fincas[ID])</f>
        <v>38</v>
      </c>
      <c r="C37" s="304" t="s">
        <v>675</v>
      </c>
      <c r="D37" s="304" t="s">
        <v>748</v>
      </c>
      <c r="E37" s="304"/>
      <c r="F37" s="304" t="s">
        <v>615</v>
      </c>
      <c r="G37" s="304"/>
      <c r="H37" s="338" t="s">
        <v>242</v>
      </c>
      <c r="I37" s="336"/>
      <c r="J37" s="305" t="s">
        <v>33</v>
      </c>
      <c r="K3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7" s="306" t="s">
        <v>738</v>
      </c>
      <c r="M37" s="306">
        <v>125</v>
      </c>
      <c r="N37" s="303">
        <v>0.36</v>
      </c>
      <c r="O37" s="307">
        <f>IFERROR(_xlfn.LET(_xlpm.boxType, J37, _xlpm.tallos, M37, _xlpm.cost, N37, _xlpm.precio, P37,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7" s="323">
        <v>1.39</v>
      </c>
      <c r="Q37" s="303" t="s">
        <v>726</v>
      </c>
      <c r="R3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7" s="303">
        <v>0.36</v>
      </c>
      <c r="T3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7" s="301">
        <v>0.79</v>
      </c>
    </row>
    <row r="38" spans="1:21" ht="15.75" thickBot="1" x14ac:dyDescent="0.3">
      <c r="A38" s="304" t="s">
        <v>41</v>
      </c>
      <c r="B38" s="305">
        <f>_xlfn.XLOOKUP(Catalogo[[#This Row],[Finca]], Fincas[Nombre], Fincas[ID])</f>
        <v>38</v>
      </c>
      <c r="C38" s="304" t="s">
        <v>675</v>
      </c>
      <c r="D38" s="304" t="s">
        <v>748</v>
      </c>
      <c r="E38" s="304"/>
      <c r="F38" s="304" t="s">
        <v>615</v>
      </c>
      <c r="G38" s="304"/>
      <c r="H38" s="338" t="s">
        <v>242</v>
      </c>
      <c r="I38" s="336"/>
      <c r="J38" s="305" t="s">
        <v>43</v>
      </c>
      <c r="K3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8" s="306" t="s">
        <v>342</v>
      </c>
      <c r="M38" s="306">
        <v>250</v>
      </c>
      <c r="N38" s="303">
        <v>0.36</v>
      </c>
      <c r="O38" s="307">
        <f>IFERROR(_xlfn.LET(_xlpm.boxType, J38, _xlpm.tallos, M38, _xlpm.cost, N38, _xlpm.precio, P38,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38" s="323">
        <v>1.39</v>
      </c>
      <c r="Q38" s="303" t="s">
        <v>727</v>
      </c>
      <c r="R3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8" s="303">
        <v>0.36</v>
      </c>
      <c r="T3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8" s="301">
        <v>0.79</v>
      </c>
    </row>
    <row r="39" spans="1:21" x14ac:dyDescent="0.25">
      <c r="A39" s="308" t="s">
        <v>41</v>
      </c>
      <c r="B39" s="309">
        <f>_xlfn.XLOOKUP(Catalogo[[#This Row],[Finca]], Fincas[Nombre], Fincas[ID])</f>
        <v>38</v>
      </c>
      <c r="C39" s="308" t="s">
        <v>675</v>
      </c>
      <c r="D39" s="308" t="s">
        <v>748</v>
      </c>
      <c r="E39" s="308"/>
      <c r="F39" s="308" t="s">
        <v>615</v>
      </c>
      <c r="G39" s="308"/>
      <c r="H39" s="343" t="s">
        <v>243</v>
      </c>
      <c r="I39" s="335"/>
      <c r="J39" s="309" t="s">
        <v>32</v>
      </c>
      <c r="K39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9" s="310" t="s">
        <v>737</v>
      </c>
      <c r="M39" s="310">
        <v>50</v>
      </c>
      <c r="N39" s="312">
        <v>0.42</v>
      </c>
      <c r="O39" s="311">
        <f>IFERROR(_xlfn.LET(_xlpm.boxType, J39, _xlpm.tallos, M39, _xlpm.cost, N39, _xlpm.precio, P39,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9" s="322">
        <v>1.59</v>
      </c>
      <c r="Q39" s="312" t="s">
        <v>725</v>
      </c>
      <c r="R39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9" s="312">
        <v>0.42</v>
      </c>
      <c r="T39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9" s="314">
        <v>0.99</v>
      </c>
    </row>
    <row r="40" spans="1:21" x14ac:dyDescent="0.25">
      <c r="A40" s="304" t="s">
        <v>41</v>
      </c>
      <c r="B40" s="305">
        <f>_xlfn.XLOOKUP(Catalogo[[#This Row],[Finca]], Fincas[Nombre], Fincas[ID])</f>
        <v>38</v>
      </c>
      <c r="C40" s="304" t="s">
        <v>675</v>
      </c>
      <c r="D40" s="304" t="s">
        <v>748</v>
      </c>
      <c r="E40" s="304"/>
      <c r="F40" s="304" t="s">
        <v>615</v>
      </c>
      <c r="G40" s="304"/>
      <c r="H40" s="338" t="s">
        <v>243</v>
      </c>
      <c r="I40" s="336"/>
      <c r="J40" s="305" t="s">
        <v>33</v>
      </c>
      <c r="K4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0" s="306" t="s">
        <v>738</v>
      </c>
      <c r="M40" s="306">
        <v>100</v>
      </c>
      <c r="N40" s="303">
        <v>0.42</v>
      </c>
      <c r="O40" s="307">
        <f>IFERROR(_xlfn.LET(_xlpm.boxType, J40, _xlpm.tallos, M40, _xlpm.cost, N40, _xlpm.precio, P40,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40" s="323">
        <v>1.59</v>
      </c>
      <c r="Q40" s="303" t="s">
        <v>726</v>
      </c>
      <c r="R4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0" s="303">
        <v>0.42</v>
      </c>
      <c r="T4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40" s="301">
        <v>0.89</v>
      </c>
    </row>
    <row r="41" spans="1:21" ht="15.75" thickBot="1" x14ac:dyDescent="0.3">
      <c r="A41" s="315" t="s">
        <v>41</v>
      </c>
      <c r="B41" s="316">
        <f>_xlfn.XLOOKUP(Catalogo[[#This Row],[Finca]], Fincas[Nombre], Fincas[ID])</f>
        <v>38</v>
      </c>
      <c r="C41" s="315" t="s">
        <v>675</v>
      </c>
      <c r="D41" s="315" t="s">
        <v>748</v>
      </c>
      <c r="E41" s="315"/>
      <c r="F41" s="315" t="s">
        <v>615</v>
      </c>
      <c r="G41" s="315"/>
      <c r="H41" s="344" t="s">
        <v>243</v>
      </c>
      <c r="I41" s="337"/>
      <c r="J41" s="316" t="s">
        <v>43</v>
      </c>
      <c r="K41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1" s="317" t="s">
        <v>342</v>
      </c>
      <c r="M41" s="317">
        <v>200</v>
      </c>
      <c r="N41" s="319">
        <v>0.42</v>
      </c>
      <c r="O41" s="318">
        <f>IFERROR(_xlfn.LET(_xlpm.boxType, J41, _xlpm.tallos, M41, _xlpm.cost, N41, _xlpm.precio, P41,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41" s="324">
        <v>1.59</v>
      </c>
      <c r="Q41" s="319" t="s">
        <v>727</v>
      </c>
      <c r="R41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1" s="319">
        <v>0.42</v>
      </c>
      <c r="T41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41" s="321">
        <v>0.89</v>
      </c>
    </row>
    <row r="42" spans="1:21" x14ac:dyDescent="0.25">
      <c r="A42" s="308" t="s">
        <v>41</v>
      </c>
      <c r="B42" s="309">
        <f>_xlfn.XLOOKUP(Catalogo[[#This Row],[Finca]], Fincas[Nombre], Fincas[ID])</f>
        <v>38</v>
      </c>
      <c r="C42" s="308" t="s">
        <v>675</v>
      </c>
      <c r="D42" s="308" t="s">
        <v>749</v>
      </c>
      <c r="E42" s="308"/>
      <c r="F42" s="308" t="s">
        <v>618</v>
      </c>
      <c r="G42" s="308"/>
      <c r="H42" s="343" t="s">
        <v>241</v>
      </c>
      <c r="I42" s="335"/>
      <c r="J42" s="309" t="s">
        <v>32</v>
      </c>
      <c r="K42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2" s="310" t="s">
        <v>737</v>
      </c>
      <c r="M42" s="310">
        <v>50</v>
      </c>
      <c r="N42" s="312">
        <v>0.26</v>
      </c>
      <c r="O42" s="311">
        <f>IFERROR(_xlfn.LET(_xlpm.boxType, J42, _xlpm.tallos, M42, _xlpm.cost, N42, _xlpm.precio, P42,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42" s="322">
        <v>1.29</v>
      </c>
      <c r="Q42" s="312" t="s">
        <v>725</v>
      </c>
      <c r="R42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2" s="312">
        <v>0.26</v>
      </c>
      <c r="T42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42" s="314">
        <v>0.75</v>
      </c>
    </row>
    <row r="43" spans="1:21" x14ac:dyDescent="0.25">
      <c r="A43" s="304" t="s">
        <v>41</v>
      </c>
      <c r="B43" s="305">
        <f>_xlfn.XLOOKUP(Catalogo[[#This Row],[Finca]], Fincas[Nombre], Fincas[ID])</f>
        <v>38</v>
      </c>
      <c r="C43" s="304" t="s">
        <v>675</v>
      </c>
      <c r="D43" s="304" t="s">
        <v>749</v>
      </c>
      <c r="E43" s="304"/>
      <c r="F43" s="304" t="s">
        <v>618</v>
      </c>
      <c r="G43" s="304"/>
      <c r="H43" s="338" t="s">
        <v>241</v>
      </c>
      <c r="I43" s="336"/>
      <c r="J43" s="305" t="s">
        <v>33</v>
      </c>
      <c r="K4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3" s="306" t="s">
        <v>738</v>
      </c>
      <c r="M43" s="306">
        <v>150</v>
      </c>
      <c r="N43" s="303">
        <v>0.26</v>
      </c>
      <c r="O43" s="307">
        <f>IFERROR(_xlfn.LET(_xlpm.boxType, J43, _xlpm.tallos, M43, _xlpm.cost, N43, _xlpm.precio, P43,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43" s="323">
        <v>1.19</v>
      </c>
      <c r="Q43" s="303" t="s">
        <v>726</v>
      </c>
      <c r="R4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3" s="303">
        <v>0.26</v>
      </c>
      <c r="T4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43" s="301">
        <v>0.69</v>
      </c>
    </row>
    <row r="44" spans="1:21" ht="15.75" thickBot="1" x14ac:dyDescent="0.3">
      <c r="A44" s="315" t="s">
        <v>41</v>
      </c>
      <c r="B44" s="316">
        <f>_xlfn.XLOOKUP(Catalogo[[#This Row],[Finca]], Fincas[Nombre], Fincas[ID])</f>
        <v>38</v>
      </c>
      <c r="C44" s="315" t="s">
        <v>675</v>
      </c>
      <c r="D44" s="315" t="s">
        <v>749</v>
      </c>
      <c r="E44" s="315"/>
      <c r="F44" s="315" t="s">
        <v>618</v>
      </c>
      <c r="G44" s="315"/>
      <c r="H44" s="344" t="s">
        <v>241</v>
      </c>
      <c r="I44" s="337"/>
      <c r="J44" s="316" t="s">
        <v>43</v>
      </c>
      <c r="K44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4" s="317" t="s">
        <v>342</v>
      </c>
      <c r="M44" s="317">
        <v>300</v>
      </c>
      <c r="N44" s="319">
        <v>0.26</v>
      </c>
      <c r="O44" s="318">
        <f>IFERROR(_xlfn.LET(_xlpm.boxType, J44, _xlpm.tallos, M44, _xlpm.cost, N44, _xlpm.precio, P44,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44" s="324">
        <v>1.19</v>
      </c>
      <c r="Q44" s="319" t="s">
        <v>727</v>
      </c>
      <c r="R44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4" s="319">
        <v>0.26</v>
      </c>
      <c r="T44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44" s="321">
        <v>0.69</v>
      </c>
    </row>
    <row r="45" spans="1:21" x14ac:dyDescent="0.25">
      <c r="A45" s="304" t="s">
        <v>41</v>
      </c>
      <c r="B45" s="305">
        <f>_xlfn.XLOOKUP(Catalogo[[#This Row],[Finca]], Fincas[Nombre], Fincas[ID])</f>
        <v>38</v>
      </c>
      <c r="C45" s="304" t="s">
        <v>675</v>
      </c>
      <c r="D45" s="304" t="s">
        <v>749</v>
      </c>
      <c r="E45" s="304"/>
      <c r="F45" s="304" t="s">
        <v>618</v>
      </c>
      <c r="G45" s="304"/>
      <c r="H45" s="338" t="s">
        <v>242</v>
      </c>
      <c r="I45" s="336"/>
      <c r="J45" s="305" t="s">
        <v>32</v>
      </c>
      <c r="K4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5" s="306" t="s">
        <v>737</v>
      </c>
      <c r="M45" s="306">
        <v>50</v>
      </c>
      <c r="N45" s="303">
        <v>0.36</v>
      </c>
      <c r="O45" s="307">
        <f>IFERROR(_xlfn.LET(_xlpm.boxType, J45, _xlpm.tallos, M45, _xlpm.cost, N45, _xlpm.precio, P45,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45" s="323">
        <v>1.49</v>
      </c>
      <c r="Q45" s="303" t="s">
        <v>725</v>
      </c>
      <c r="R4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5" s="303">
        <v>0.36</v>
      </c>
      <c r="T4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45" s="301">
        <v>0.85</v>
      </c>
    </row>
    <row r="46" spans="1:21" x14ac:dyDescent="0.25">
      <c r="A46" s="304" t="s">
        <v>41</v>
      </c>
      <c r="B46" s="305">
        <f>_xlfn.XLOOKUP(Catalogo[[#This Row],[Finca]], Fincas[Nombre], Fincas[ID])</f>
        <v>38</v>
      </c>
      <c r="C46" s="304" t="s">
        <v>675</v>
      </c>
      <c r="D46" s="304" t="s">
        <v>749</v>
      </c>
      <c r="E46" s="304"/>
      <c r="F46" s="304" t="s">
        <v>618</v>
      </c>
      <c r="G46" s="304"/>
      <c r="H46" s="338" t="s">
        <v>242</v>
      </c>
      <c r="I46" s="336"/>
      <c r="J46" s="305" t="s">
        <v>33</v>
      </c>
      <c r="K4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6" s="306" t="s">
        <v>738</v>
      </c>
      <c r="M46" s="306">
        <v>125</v>
      </c>
      <c r="N46" s="303">
        <v>0.36</v>
      </c>
      <c r="O46" s="307">
        <f>IFERROR(_xlfn.LET(_xlpm.boxType, J46, _xlpm.tallos, M46, _xlpm.cost, N46, _xlpm.precio, P46,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46" s="323">
        <v>1.39</v>
      </c>
      <c r="Q46" s="303" t="s">
        <v>726</v>
      </c>
      <c r="R4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6" s="303">
        <v>0.36</v>
      </c>
      <c r="T4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46" s="301">
        <v>0.79</v>
      </c>
    </row>
    <row r="47" spans="1:21" ht="15.75" thickBot="1" x14ac:dyDescent="0.3">
      <c r="A47" s="304" t="s">
        <v>41</v>
      </c>
      <c r="B47" s="305">
        <f>_xlfn.XLOOKUP(Catalogo[[#This Row],[Finca]], Fincas[Nombre], Fincas[ID])</f>
        <v>38</v>
      </c>
      <c r="C47" s="304" t="s">
        <v>675</v>
      </c>
      <c r="D47" s="304" t="s">
        <v>749</v>
      </c>
      <c r="E47" s="304"/>
      <c r="F47" s="304" t="s">
        <v>618</v>
      </c>
      <c r="G47" s="304"/>
      <c r="H47" s="338" t="s">
        <v>242</v>
      </c>
      <c r="I47" s="336"/>
      <c r="J47" s="305" t="s">
        <v>43</v>
      </c>
      <c r="K4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7" s="306" t="s">
        <v>342</v>
      </c>
      <c r="M47" s="306">
        <v>250</v>
      </c>
      <c r="N47" s="303">
        <v>0.36</v>
      </c>
      <c r="O47" s="307">
        <f>IFERROR(_xlfn.LET(_xlpm.boxType, J47, _xlpm.tallos, M47, _xlpm.cost, N47, _xlpm.precio, P47,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47" s="323">
        <v>1.39</v>
      </c>
      <c r="Q47" s="303" t="s">
        <v>727</v>
      </c>
      <c r="R4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7" s="303">
        <v>0.36</v>
      </c>
      <c r="T4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47" s="301">
        <v>0.79</v>
      </c>
    </row>
    <row r="48" spans="1:21" x14ac:dyDescent="0.25">
      <c r="A48" s="308" t="s">
        <v>41</v>
      </c>
      <c r="B48" s="309">
        <f>_xlfn.XLOOKUP(Catalogo[[#This Row],[Finca]], Fincas[Nombre], Fincas[ID])</f>
        <v>38</v>
      </c>
      <c r="C48" s="308" t="s">
        <v>675</v>
      </c>
      <c r="D48" s="308" t="s">
        <v>749</v>
      </c>
      <c r="E48" s="308"/>
      <c r="F48" s="308" t="s">
        <v>618</v>
      </c>
      <c r="G48" s="308"/>
      <c r="H48" s="343" t="s">
        <v>243</v>
      </c>
      <c r="I48" s="335"/>
      <c r="J48" s="309" t="s">
        <v>32</v>
      </c>
      <c r="K48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8" s="310" t="s">
        <v>737</v>
      </c>
      <c r="M48" s="310">
        <v>50</v>
      </c>
      <c r="N48" s="312">
        <v>0.42</v>
      </c>
      <c r="O48" s="311">
        <f>IFERROR(_xlfn.LET(_xlpm.boxType, J48, _xlpm.tallos, M48, _xlpm.cost, N48, _xlpm.precio, P48,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48" s="322">
        <v>1.59</v>
      </c>
      <c r="Q48" s="312" t="s">
        <v>725</v>
      </c>
      <c r="R48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8" s="312">
        <v>0.42</v>
      </c>
      <c r="T48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48" s="314">
        <v>0.99</v>
      </c>
    </row>
    <row r="49" spans="1:21" x14ac:dyDescent="0.25">
      <c r="A49" s="304" t="s">
        <v>41</v>
      </c>
      <c r="B49" s="305">
        <f>_xlfn.XLOOKUP(Catalogo[[#This Row],[Finca]], Fincas[Nombre], Fincas[ID])</f>
        <v>38</v>
      </c>
      <c r="C49" s="304" t="s">
        <v>675</v>
      </c>
      <c r="D49" s="304" t="s">
        <v>749</v>
      </c>
      <c r="E49" s="304"/>
      <c r="F49" s="304" t="s">
        <v>618</v>
      </c>
      <c r="G49" s="304"/>
      <c r="H49" s="338" t="s">
        <v>243</v>
      </c>
      <c r="I49" s="336"/>
      <c r="J49" s="305" t="s">
        <v>33</v>
      </c>
      <c r="K4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9" s="306" t="s">
        <v>738</v>
      </c>
      <c r="M49" s="306">
        <v>100</v>
      </c>
      <c r="N49" s="303">
        <v>0.42</v>
      </c>
      <c r="O49" s="307">
        <f>IFERROR(_xlfn.LET(_xlpm.boxType, J49, _xlpm.tallos, M49, _xlpm.cost, N49, _xlpm.precio, P49,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49" s="323">
        <v>1.59</v>
      </c>
      <c r="Q49" s="303" t="s">
        <v>726</v>
      </c>
      <c r="R4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9" s="303">
        <v>0.42</v>
      </c>
      <c r="T4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49" s="301">
        <v>0.89</v>
      </c>
    </row>
    <row r="50" spans="1:21" ht="15.75" thickBot="1" x14ac:dyDescent="0.3">
      <c r="A50" s="315" t="s">
        <v>41</v>
      </c>
      <c r="B50" s="316">
        <f>_xlfn.XLOOKUP(Catalogo[[#This Row],[Finca]], Fincas[Nombre], Fincas[ID])</f>
        <v>38</v>
      </c>
      <c r="C50" s="315" t="s">
        <v>675</v>
      </c>
      <c r="D50" s="315" t="s">
        <v>749</v>
      </c>
      <c r="E50" s="315"/>
      <c r="F50" s="315" t="s">
        <v>618</v>
      </c>
      <c r="G50" s="315"/>
      <c r="H50" s="344" t="s">
        <v>243</v>
      </c>
      <c r="I50" s="337"/>
      <c r="J50" s="316" t="s">
        <v>43</v>
      </c>
      <c r="K50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0" s="317" t="s">
        <v>342</v>
      </c>
      <c r="M50" s="317">
        <v>200</v>
      </c>
      <c r="N50" s="319">
        <v>0.42</v>
      </c>
      <c r="O50" s="318">
        <f>IFERROR(_xlfn.LET(_xlpm.boxType, J50, _xlpm.tallos, M50, _xlpm.cost, N50, _xlpm.precio, P50,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50" s="324">
        <v>1.59</v>
      </c>
      <c r="Q50" s="319" t="s">
        <v>727</v>
      </c>
      <c r="R50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0" s="319">
        <v>0.42</v>
      </c>
      <c r="T50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50" s="321">
        <v>0.89</v>
      </c>
    </row>
    <row r="51" spans="1:21" x14ac:dyDescent="0.25">
      <c r="A51" s="308" t="s">
        <v>41</v>
      </c>
      <c r="B51" s="309">
        <f>_xlfn.XLOOKUP(Catalogo[[#This Row],[Finca]], Fincas[Nombre], Fincas[ID])</f>
        <v>38</v>
      </c>
      <c r="C51" s="308" t="s">
        <v>675</v>
      </c>
      <c r="D51" s="308" t="s">
        <v>750</v>
      </c>
      <c r="E51" s="308"/>
      <c r="F51" s="308" t="s">
        <v>610</v>
      </c>
      <c r="G51" s="308"/>
      <c r="H51" s="343" t="s">
        <v>241</v>
      </c>
      <c r="I51" s="335"/>
      <c r="J51" s="309" t="s">
        <v>32</v>
      </c>
      <c r="K51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1" s="310" t="s">
        <v>737</v>
      </c>
      <c r="M51" s="310">
        <v>50</v>
      </c>
      <c r="N51" s="312">
        <v>0.26</v>
      </c>
      <c r="O51" s="311">
        <f>IFERROR(_xlfn.LET(_xlpm.boxType, J51, _xlpm.tallos, M51, _xlpm.cost, N51, _xlpm.precio, P51,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51" s="322">
        <v>1.29</v>
      </c>
      <c r="Q51" s="312" t="s">
        <v>725</v>
      </c>
      <c r="R51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1" s="312">
        <v>0.26</v>
      </c>
      <c r="T51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51" s="314">
        <v>0.75</v>
      </c>
    </row>
    <row r="52" spans="1:21" x14ac:dyDescent="0.25">
      <c r="A52" s="304" t="s">
        <v>41</v>
      </c>
      <c r="B52" s="305">
        <f>_xlfn.XLOOKUP(Catalogo[[#This Row],[Finca]], Fincas[Nombre], Fincas[ID])</f>
        <v>38</v>
      </c>
      <c r="C52" s="304" t="s">
        <v>675</v>
      </c>
      <c r="D52" s="304" t="s">
        <v>750</v>
      </c>
      <c r="E52" s="304"/>
      <c r="F52" s="304" t="s">
        <v>610</v>
      </c>
      <c r="G52" s="304"/>
      <c r="H52" s="338" t="s">
        <v>241</v>
      </c>
      <c r="I52" s="336"/>
      <c r="J52" s="305" t="s">
        <v>33</v>
      </c>
      <c r="K5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2" s="306" t="s">
        <v>738</v>
      </c>
      <c r="M52" s="306">
        <v>150</v>
      </c>
      <c r="N52" s="303">
        <v>0.26</v>
      </c>
      <c r="O52" s="307">
        <f>IFERROR(_xlfn.LET(_xlpm.boxType, J52, _xlpm.tallos, M52, _xlpm.cost, N52, _xlpm.precio, P52,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52" s="323">
        <v>1.19</v>
      </c>
      <c r="Q52" s="303" t="s">
        <v>726</v>
      </c>
      <c r="R5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2" s="303">
        <v>0.26</v>
      </c>
      <c r="T5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52" s="301">
        <v>0.69</v>
      </c>
    </row>
    <row r="53" spans="1:21" ht="15.75" thickBot="1" x14ac:dyDescent="0.3">
      <c r="A53" s="315" t="s">
        <v>41</v>
      </c>
      <c r="B53" s="316">
        <f>_xlfn.XLOOKUP(Catalogo[[#This Row],[Finca]], Fincas[Nombre], Fincas[ID])</f>
        <v>38</v>
      </c>
      <c r="C53" s="315" t="s">
        <v>675</v>
      </c>
      <c r="D53" s="315" t="s">
        <v>750</v>
      </c>
      <c r="E53" s="315"/>
      <c r="F53" s="315" t="s">
        <v>610</v>
      </c>
      <c r="G53" s="315"/>
      <c r="H53" s="344" t="s">
        <v>241</v>
      </c>
      <c r="I53" s="337"/>
      <c r="J53" s="316" t="s">
        <v>43</v>
      </c>
      <c r="K53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3" s="317" t="s">
        <v>342</v>
      </c>
      <c r="M53" s="317">
        <v>300</v>
      </c>
      <c r="N53" s="319">
        <v>0.26</v>
      </c>
      <c r="O53" s="318">
        <f>IFERROR(_xlfn.LET(_xlpm.boxType, J53, _xlpm.tallos, M53, _xlpm.cost, N53, _xlpm.precio, P53,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53" s="324">
        <v>1.19</v>
      </c>
      <c r="Q53" s="319" t="s">
        <v>727</v>
      </c>
      <c r="R53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3" s="319">
        <v>0.26</v>
      </c>
      <c r="T53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53" s="321">
        <v>0.69</v>
      </c>
    </row>
    <row r="54" spans="1:21" x14ac:dyDescent="0.25">
      <c r="A54" s="304" t="s">
        <v>41</v>
      </c>
      <c r="B54" s="305">
        <f>_xlfn.XLOOKUP(Catalogo[[#This Row],[Finca]], Fincas[Nombre], Fincas[ID])</f>
        <v>38</v>
      </c>
      <c r="C54" s="304" t="s">
        <v>675</v>
      </c>
      <c r="D54" s="304" t="s">
        <v>750</v>
      </c>
      <c r="E54" s="304"/>
      <c r="F54" s="304" t="s">
        <v>610</v>
      </c>
      <c r="G54" s="304"/>
      <c r="H54" s="338" t="s">
        <v>242</v>
      </c>
      <c r="I54" s="336"/>
      <c r="J54" s="305" t="s">
        <v>32</v>
      </c>
      <c r="K5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4" s="306" t="s">
        <v>737</v>
      </c>
      <c r="M54" s="306">
        <v>50</v>
      </c>
      <c r="N54" s="303">
        <v>0.36</v>
      </c>
      <c r="O54" s="307">
        <f>IFERROR(_xlfn.LET(_xlpm.boxType, J54, _xlpm.tallos, M54, _xlpm.cost, N54, _xlpm.precio, P54,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54" s="323">
        <v>1.49</v>
      </c>
      <c r="Q54" s="303" t="s">
        <v>725</v>
      </c>
      <c r="R5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4" s="303">
        <v>0.36</v>
      </c>
      <c r="T5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54" s="301">
        <v>0.85</v>
      </c>
    </row>
    <row r="55" spans="1:21" x14ac:dyDescent="0.25">
      <c r="A55" s="304" t="s">
        <v>41</v>
      </c>
      <c r="B55" s="305">
        <f>_xlfn.XLOOKUP(Catalogo[[#This Row],[Finca]], Fincas[Nombre], Fincas[ID])</f>
        <v>38</v>
      </c>
      <c r="C55" s="304" t="s">
        <v>675</v>
      </c>
      <c r="D55" s="304" t="s">
        <v>750</v>
      </c>
      <c r="E55" s="304"/>
      <c r="F55" s="304" t="s">
        <v>610</v>
      </c>
      <c r="G55" s="304"/>
      <c r="H55" s="338" t="s">
        <v>242</v>
      </c>
      <c r="I55" s="336"/>
      <c r="J55" s="305" t="s">
        <v>33</v>
      </c>
      <c r="K5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5" s="306" t="s">
        <v>738</v>
      </c>
      <c r="M55" s="306">
        <v>125</v>
      </c>
      <c r="N55" s="303">
        <v>0.36</v>
      </c>
      <c r="O55" s="307">
        <f>IFERROR(_xlfn.LET(_xlpm.boxType, J55, _xlpm.tallos, M55, _xlpm.cost, N55, _xlpm.precio, P55,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55" s="323">
        <v>1.39</v>
      </c>
      <c r="Q55" s="303" t="s">
        <v>726</v>
      </c>
      <c r="R5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5" s="303">
        <v>0.36</v>
      </c>
      <c r="T5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55" s="301">
        <v>0.79</v>
      </c>
    </row>
    <row r="56" spans="1:21" ht="15.75" thickBot="1" x14ac:dyDescent="0.3">
      <c r="A56" s="304" t="s">
        <v>41</v>
      </c>
      <c r="B56" s="305">
        <f>_xlfn.XLOOKUP(Catalogo[[#This Row],[Finca]], Fincas[Nombre], Fincas[ID])</f>
        <v>38</v>
      </c>
      <c r="C56" s="304" t="s">
        <v>675</v>
      </c>
      <c r="D56" s="304" t="s">
        <v>750</v>
      </c>
      <c r="E56" s="304"/>
      <c r="F56" s="304" t="s">
        <v>610</v>
      </c>
      <c r="G56" s="304"/>
      <c r="H56" s="338" t="s">
        <v>242</v>
      </c>
      <c r="I56" s="336"/>
      <c r="J56" s="305" t="s">
        <v>43</v>
      </c>
      <c r="K5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6" s="306" t="s">
        <v>342</v>
      </c>
      <c r="M56" s="306">
        <v>250</v>
      </c>
      <c r="N56" s="303">
        <v>0.36</v>
      </c>
      <c r="O56" s="307">
        <f>IFERROR(_xlfn.LET(_xlpm.boxType, J56, _xlpm.tallos, M56, _xlpm.cost, N56, _xlpm.precio, P56,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56" s="323">
        <v>1.39</v>
      </c>
      <c r="Q56" s="303" t="s">
        <v>727</v>
      </c>
      <c r="R5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6" s="303">
        <v>0.36</v>
      </c>
      <c r="T5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56" s="301">
        <v>0.79</v>
      </c>
    </row>
    <row r="57" spans="1:21" x14ac:dyDescent="0.25">
      <c r="A57" s="308" t="s">
        <v>41</v>
      </c>
      <c r="B57" s="309">
        <f>_xlfn.XLOOKUP(Catalogo[[#This Row],[Finca]], Fincas[Nombre], Fincas[ID])</f>
        <v>38</v>
      </c>
      <c r="C57" s="308" t="s">
        <v>675</v>
      </c>
      <c r="D57" s="308" t="s">
        <v>750</v>
      </c>
      <c r="E57" s="308"/>
      <c r="F57" s="308" t="s">
        <v>610</v>
      </c>
      <c r="G57" s="308"/>
      <c r="H57" s="343" t="s">
        <v>243</v>
      </c>
      <c r="I57" s="335"/>
      <c r="J57" s="309" t="s">
        <v>32</v>
      </c>
      <c r="K57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7" s="310" t="s">
        <v>737</v>
      </c>
      <c r="M57" s="310">
        <v>50</v>
      </c>
      <c r="N57" s="312">
        <v>0.42</v>
      </c>
      <c r="O57" s="311">
        <f>IFERROR(_xlfn.LET(_xlpm.boxType, J57, _xlpm.tallos, M57, _xlpm.cost, N57, _xlpm.precio, P57,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57" s="322">
        <v>1.59</v>
      </c>
      <c r="Q57" s="312" t="s">
        <v>725</v>
      </c>
      <c r="R57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7" s="312">
        <v>0.42</v>
      </c>
      <c r="T57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57" s="314">
        <v>0.99</v>
      </c>
    </row>
    <row r="58" spans="1:21" x14ac:dyDescent="0.25">
      <c r="A58" s="304" t="s">
        <v>41</v>
      </c>
      <c r="B58" s="305">
        <f>_xlfn.XLOOKUP(Catalogo[[#This Row],[Finca]], Fincas[Nombre], Fincas[ID])</f>
        <v>38</v>
      </c>
      <c r="C58" s="304" t="s">
        <v>675</v>
      </c>
      <c r="D58" s="304" t="s">
        <v>750</v>
      </c>
      <c r="E58" s="304"/>
      <c r="F58" s="304" t="s">
        <v>610</v>
      </c>
      <c r="G58" s="304"/>
      <c r="H58" s="338" t="s">
        <v>243</v>
      </c>
      <c r="I58" s="336"/>
      <c r="J58" s="305" t="s">
        <v>33</v>
      </c>
      <c r="K5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8" s="306" t="s">
        <v>738</v>
      </c>
      <c r="M58" s="306">
        <v>100</v>
      </c>
      <c r="N58" s="303">
        <v>0.42</v>
      </c>
      <c r="O58" s="307">
        <f>IFERROR(_xlfn.LET(_xlpm.boxType, J58, _xlpm.tallos, M58, _xlpm.cost, N58, _xlpm.precio, P58,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58" s="323">
        <v>1.59</v>
      </c>
      <c r="Q58" s="303" t="s">
        <v>726</v>
      </c>
      <c r="R5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8" s="303">
        <v>0.42</v>
      </c>
      <c r="T5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58" s="301">
        <v>0.89</v>
      </c>
    </row>
    <row r="59" spans="1:21" ht="15.75" thickBot="1" x14ac:dyDescent="0.3">
      <c r="A59" s="315" t="s">
        <v>41</v>
      </c>
      <c r="B59" s="316">
        <f>_xlfn.XLOOKUP(Catalogo[[#This Row],[Finca]], Fincas[Nombre], Fincas[ID])</f>
        <v>38</v>
      </c>
      <c r="C59" s="315" t="s">
        <v>675</v>
      </c>
      <c r="D59" s="315" t="s">
        <v>750</v>
      </c>
      <c r="E59" s="315"/>
      <c r="F59" s="315" t="s">
        <v>610</v>
      </c>
      <c r="G59" s="315"/>
      <c r="H59" s="344" t="s">
        <v>243</v>
      </c>
      <c r="I59" s="337"/>
      <c r="J59" s="316" t="s">
        <v>43</v>
      </c>
      <c r="K59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9" s="317" t="s">
        <v>342</v>
      </c>
      <c r="M59" s="317">
        <v>200</v>
      </c>
      <c r="N59" s="319">
        <v>0.42</v>
      </c>
      <c r="O59" s="318">
        <f>IFERROR(_xlfn.LET(_xlpm.boxType, J59, _xlpm.tallos, M59, _xlpm.cost, N59, _xlpm.precio, P59,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59" s="324">
        <v>1.59</v>
      </c>
      <c r="Q59" s="319" t="s">
        <v>727</v>
      </c>
      <c r="R59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9" s="319">
        <v>0.42</v>
      </c>
      <c r="T59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59" s="321">
        <v>0.89</v>
      </c>
    </row>
    <row r="60" spans="1:21" x14ac:dyDescent="0.25">
      <c r="A60" s="308" t="s">
        <v>41</v>
      </c>
      <c r="B60" s="309">
        <f>_xlfn.XLOOKUP(Catalogo[[#This Row],[Finca]], Fincas[Nombre], Fincas[ID])</f>
        <v>38</v>
      </c>
      <c r="C60" s="308" t="s">
        <v>675</v>
      </c>
      <c r="D60" s="308" t="s">
        <v>751</v>
      </c>
      <c r="E60" s="308"/>
      <c r="F60" s="308" t="s">
        <v>616</v>
      </c>
      <c r="G60" s="308"/>
      <c r="H60" s="343" t="s">
        <v>241</v>
      </c>
      <c r="I60" s="335"/>
      <c r="J60" s="309" t="s">
        <v>32</v>
      </c>
      <c r="K60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60" s="310" t="s">
        <v>737</v>
      </c>
      <c r="M60" s="310">
        <v>50</v>
      </c>
      <c r="N60" s="312">
        <v>0.26</v>
      </c>
      <c r="O60" s="311">
        <f>IFERROR(_xlfn.LET(_xlpm.boxType, J60, _xlpm.tallos, M60, _xlpm.cost, N60, _xlpm.precio, P60,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60" s="322">
        <v>1.29</v>
      </c>
      <c r="Q60" s="312" t="s">
        <v>725</v>
      </c>
      <c r="R60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60" s="312">
        <v>0.26</v>
      </c>
      <c r="T60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60" s="314">
        <v>0.75</v>
      </c>
    </row>
    <row r="61" spans="1:21" x14ac:dyDescent="0.25">
      <c r="A61" s="304" t="s">
        <v>41</v>
      </c>
      <c r="B61" s="305">
        <f>_xlfn.XLOOKUP(Catalogo[[#This Row],[Finca]], Fincas[Nombre], Fincas[ID])</f>
        <v>38</v>
      </c>
      <c r="C61" s="304" t="s">
        <v>675</v>
      </c>
      <c r="D61" s="304" t="s">
        <v>751</v>
      </c>
      <c r="E61" s="304"/>
      <c r="F61" s="304" t="s">
        <v>616</v>
      </c>
      <c r="G61" s="304"/>
      <c r="H61" s="338" t="s">
        <v>241</v>
      </c>
      <c r="I61" s="336"/>
      <c r="J61" s="305" t="s">
        <v>33</v>
      </c>
      <c r="K6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61" s="306" t="s">
        <v>738</v>
      </c>
      <c r="M61" s="306">
        <v>150</v>
      </c>
      <c r="N61" s="303">
        <v>0.26</v>
      </c>
      <c r="O61" s="307">
        <f>IFERROR(_xlfn.LET(_xlpm.boxType, J61, _xlpm.tallos, M61, _xlpm.cost, N61, _xlpm.precio, P61,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61" s="323">
        <v>1.19</v>
      </c>
      <c r="Q61" s="303" t="s">
        <v>726</v>
      </c>
      <c r="R6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61" s="303">
        <v>0.26</v>
      </c>
      <c r="T6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61" s="301">
        <v>0.69</v>
      </c>
    </row>
    <row r="62" spans="1:21" ht="15.75" thickBot="1" x14ac:dyDescent="0.3">
      <c r="A62" s="315" t="s">
        <v>41</v>
      </c>
      <c r="B62" s="316">
        <f>_xlfn.XLOOKUP(Catalogo[[#This Row],[Finca]], Fincas[Nombre], Fincas[ID])</f>
        <v>38</v>
      </c>
      <c r="C62" s="315" t="s">
        <v>675</v>
      </c>
      <c r="D62" s="315" t="s">
        <v>751</v>
      </c>
      <c r="E62" s="315"/>
      <c r="F62" s="315" t="s">
        <v>616</v>
      </c>
      <c r="G62" s="315"/>
      <c r="H62" s="344" t="s">
        <v>241</v>
      </c>
      <c r="I62" s="337"/>
      <c r="J62" s="316" t="s">
        <v>43</v>
      </c>
      <c r="K6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62" s="317" t="s">
        <v>342</v>
      </c>
      <c r="M62" s="317">
        <v>300</v>
      </c>
      <c r="N62" s="319">
        <v>0.26</v>
      </c>
      <c r="O62" s="318">
        <f>IFERROR(_xlfn.LET(_xlpm.boxType, J62, _xlpm.tallos, M62, _xlpm.cost, N62, _xlpm.precio, P62,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62" s="324">
        <v>1.19</v>
      </c>
      <c r="Q62" s="319" t="s">
        <v>727</v>
      </c>
      <c r="R6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62" s="319">
        <v>0.26</v>
      </c>
      <c r="T6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62" s="321">
        <v>0.69</v>
      </c>
    </row>
    <row r="63" spans="1:21" x14ac:dyDescent="0.25">
      <c r="A63" s="304" t="s">
        <v>41</v>
      </c>
      <c r="B63" s="305">
        <f>_xlfn.XLOOKUP(Catalogo[[#This Row],[Finca]], Fincas[Nombre], Fincas[ID])</f>
        <v>38</v>
      </c>
      <c r="C63" s="304" t="s">
        <v>675</v>
      </c>
      <c r="D63" s="304" t="s">
        <v>751</v>
      </c>
      <c r="E63" s="304"/>
      <c r="F63" s="304" t="s">
        <v>616</v>
      </c>
      <c r="G63" s="304"/>
      <c r="H63" s="338" t="s">
        <v>242</v>
      </c>
      <c r="I63" s="336"/>
      <c r="J63" s="305" t="s">
        <v>32</v>
      </c>
      <c r="K6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63" s="306" t="s">
        <v>737</v>
      </c>
      <c r="M63" s="306">
        <v>50</v>
      </c>
      <c r="N63" s="303">
        <v>0.36</v>
      </c>
      <c r="O63" s="307">
        <f>IFERROR(_xlfn.LET(_xlpm.boxType, J63, _xlpm.tallos, M63, _xlpm.cost, N63, _xlpm.precio, P63,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63" s="323">
        <v>1.49</v>
      </c>
      <c r="Q63" s="303" t="s">
        <v>725</v>
      </c>
      <c r="R6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63" s="303">
        <v>0.36</v>
      </c>
      <c r="T6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63" s="301">
        <v>0.85</v>
      </c>
    </row>
    <row r="64" spans="1:21" x14ac:dyDescent="0.25">
      <c r="A64" s="304" t="s">
        <v>41</v>
      </c>
      <c r="B64" s="305">
        <f>_xlfn.XLOOKUP(Catalogo[[#This Row],[Finca]], Fincas[Nombre], Fincas[ID])</f>
        <v>38</v>
      </c>
      <c r="C64" s="304" t="s">
        <v>675</v>
      </c>
      <c r="D64" s="304" t="s">
        <v>751</v>
      </c>
      <c r="E64" s="304"/>
      <c r="F64" s="304" t="s">
        <v>616</v>
      </c>
      <c r="G64" s="304"/>
      <c r="H64" s="338" t="s">
        <v>242</v>
      </c>
      <c r="I64" s="336"/>
      <c r="J64" s="305" t="s">
        <v>33</v>
      </c>
      <c r="K6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64" s="306" t="s">
        <v>738</v>
      </c>
      <c r="M64" s="306">
        <v>125</v>
      </c>
      <c r="N64" s="303">
        <v>0.36</v>
      </c>
      <c r="O64" s="307">
        <f>IFERROR(_xlfn.LET(_xlpm.boxType, J64, _xlpm.tallos, M64, _xlpm.cost, N64, _xlpm.precio, P64,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64" s="323">
        <v>1.39</v>
      </c>
      <c r="Q64" s="303" t="s">
        <v>726</v>
      </c>
      <c r="R6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64" s="303">
        <v>0.36</v>
      </c>
      <c r="T6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64" s="301">
        <v>0.79</v>
      </c>
    </row>
    <row r="65" spans="1:21" ht="15.75" thickBot="1" x14ac:dyDescent="0.3">
      <c r="A65" s="304" t="s">
        <v>41</v>
      </c>
      <c r="B65" s="305">
        <f>_xlfn.XLOOKUP(Catalogo[[#This Row],[Finca]], Fincas[Nombre], Fincas[ID])</f>
        <v>38</v>
      </c>
      <c r="C65" s="304" t="s">
        <v>675</v>
      </c>
      <c r="D65" s="304" t="s">
        <v>751</v>
      </c>
      <c r="E65" s="304"/>
      <c r="F65" s="304" t="s">
        <v>616</v>
      </c>
      <c r="G65" s="304"/>
      <c r="H65" s="338" t="s">
        <v>242</v>
      </c>
      <c r="I65" s="336"/>
      <c r="J65" s="305" t="s">
        <v>43</v>
      </c>
      <c r="K6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65" s="306" t="s">
        <v>342</v>
      </c>
      <c r="M65" s="306">
        <v>250</v>
      </c>
      <c r="N65" s="303">
        <v>0.36</v>
      </c>
      <c r="O65" s="307">
        <f>IFERROR(_xlfn.LET(_xlpm.boxType, J65, _xlpm.tallos, M65, _xlpm.cost, N65, _xlpm.precio, P65,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65" s="323">
        <v>1.39</v>
      </c>
      <c r="Q65" s="303" t="s">
        <v>727</v>
      </c>
      <c r="R6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65" s="303">
        <v>0.36</v>
      </c>
      <c r="T6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65" s="301">
        <v>0.79</v>
      </c>
    </row>
    <row r="66" spans="1:21" x14ac:dyDescent="0.25">
      <c r="A66" s="308" t="s">
        <v>41</v>
      </c>
      <c r="B66" s="309">
        <f>_xlfn.XLOOKUP(Catalogo[[#This Row],[Finca]], Fincas[Nombre], Fincas[ID])</f>
        <v>38</v>
      </c>
      <c r="C66" s="308" t="s">
        <v>675</v>
      </c>
      <c r="D66" s="308" t="s">
        <v>751</v>
      </c>
      <c r="E66" s="308"/>
      <c r="F66" s="308" t="s">
        <v>616</v>
      </c>
      <c r="G66" s="308"/>
      <c r="H66" s="343" t="s">
        <v>243</v>
      </c>
      <c r="I66" s="335"/>
      <c r="J66" s="309" t="s">
        <v>32</v>
      </c>
      <c r="K66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66" s="310" t="s">
        <v>737</v>
      </c>
      <c r="M66" s="310">
        <v>50</v>
      </c>
      <c r="N66" s="312">
        <v>0.42</v>
      </c>
      <c r="O66" s="311">
        <f>IFERROR(_xlfn.LET(_xlpm.boxType, J66, _xlpm.tallos, M66, _xlpm.cost, N66, _xlpm.precio, P66,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66" s="322">
        <v>1.59</v>
      </c>
      <c r="Q66" s="312" t="s">
        <v>725</v>
      </c>
      <c r="R66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66" s="312">
        <v>0.42</v>
      </c>
      <c r="T66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66" s="314">
        <v>0.99</v>
      </c>
    </row>
    <row r="67" spans="1:21" x14ac:dyDescent="0.25">
      <c r="A67" s="304" t="s">
        <v>41</v>
      </c>
      <c r="B67" s="305">
        <f>_xlfn.XLOOKUP(Catalogo[[#This Row],[Finca]], Fincas[Nombre], Fincas[ID])</f>
        <v>38</v>
      </c>
      <c r="C67" s="304" t="s">
        <v>675</v>
      </c>
      <c r="D67" s="304" t="s">
        <v>751</v>
      </c>
      <c r="E67" s="304"/>
      <c r="F67" s="304" t="s">
        <v>616</v>
      </c>
      <c r="G67" s="304"/>
      <c r="H67" s="338" t="s">
        <v>243</v>
      </c>
      <c r="I67" s="336"/>
      <c r="J67" s="305" t="s">
        <v>33</v>
      </c>
      <c r="K6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67" s="306" t="s">
        <v>738</v>
      </c>
      <c r="M67" s="306">
        <v>100</v>
      </c>
      <c r="N67" s="303">
        <v>0.42</v>
      </c>
      <c r="O67" s="307">
        <f>IFERROR(_xlfn.LET(_xlpm.boxType, J67, _xlpm.tallos, M67, _xlpm.cost, N67, _xlpm.precio, P67,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67" s="323">
        <v>1.59</v>
      </c>
      <c r="Q67" s="303" t="s">
        <v>726</v>
      </c>
      <c r="R6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67" s="303">
        <v>0.42</v>
      </c>
      <c r="T6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67" s="301">
        <v>0.89</v>
      </c>
    </row>
    <row r="68" spans="1:21" ht="15.75" thickBot="1" x14ac:dyDescent="0.3">
      <c r="A68" s="315" t="s">
        <v>41</v>
      </c>
      <c r="B68" s="316">
        <f>_xlfn.XLOOKUP(Catalogo[[#This Row],[Finca]], Fincas[Nombre], Fincas[ID])</f>
        <v>38</v>
      </c>
      <c r="C68" s="315" t="s">
        <v>675</v>
      </c>
      <c r="D68" s="315" t="s">
        <v>751</v>
      </c>
      <c r="E68" s="315"/>
      <c r="F68" s="315" t="s">
        <v>616</v>
      </c>
      <c r="G68" s="315"/>
      <c r="H68" s="344" t="s">
        <v>243</v>
      </c>
      <c r="I68" s="337"/>
      <c r="J68" s="316" t="s">
        <v>43</v>
      </c>
      <c r="K68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68" s="317" t="s">
        <v>342</v>
      </c>
      <c r="M68" s="317">
        <v>200</v>
      </c>
      <c r="N68" s="319">
        <v>0.42</v>
      </c>
      <c r="O68" s="318">
        <f>IFERROR(_xlfn.LET(_xlpm.boxType, J68, _xlpm.tallos, M68, _xlpm.cost, N68, _xlpm.precio, P68,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68" s="324">
        <v>1.59</v>
      </c>
      <c r="Q68" s="319" t="s">
        <v>727</v>
      </c>
      <c r="R68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68" s="319">
        <v>0.42</v>
      </c>
      <c r="T68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68" s="321">
        <v>0.89</v>
      </c>
    </row>
    <row r="69" spans="1:21" x14ac:dyDescent="0.25">
      <c r="A69" s="308" t="s">
        <v>41</v>
      </c>
      <c r="B69" s="309">
        <f>_xlfn.XLOOKUP(Catalogo[[#This Row],[Finca]], Fincas[Nombre], Fincas[ID])</f>
        <v>38</v>
      </c>
      <c r="C69" s="308" t="s">
        <v>675</v>
      </c>
      <c r="D69" s="308" t="s">
        <v>752</v>
      </c>
      <c r="E69" s="308"/>
      <c r="F69" s="308" t="s">
        <v>615</v>
      </c>
      <c r="G69" s="308"/>
      <c r="H69" s="343" t="s">
        <v>241</v>
      </c>
      <c r="I69" s="335"/>
      <c r="J69" s="309" t="s">
        <v>32</v>
      </c>
      <c r="K69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69" s="310" t="s">
        <v>737</v>
      </c>
      <c r="M69" s="310">
        <v>50</v>
      </c>
      <c r="N69" s="312">
        <v>0.26</v>
      </c>
      <c r="O69" s="311">
        <f>IFERROR(_xlfn.LET(_xlpm.boxType, J69, _xlpm.tallos, M69, _xlpm.cost, N69, _xlpm.precio, P69,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69" s="322">
        <v>1.29</v>
      </c>
      <c r="Q69" s="312" t="s">
        <v>725</v>
      </c>
      <c r="R69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69" s="312">
        <v>0.26</v>
      </c>
      <c r="T69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69" s="314">
        <v>0.75</v>
      </c>
    </row>
    <row r="70" spans="1:21" x14ac:dyDescent="0.25">
      <c r="A70" s="304" t="s">
        <v>41</v>
      </c>
      <c r="B70" s="305">
        <f>_xlfn.XLOOKUP(Catalogo[[#This Row],[Finca]], Fincas[Nombre], Fincas[ID])</f>
        <v>38</v>
      </c>
      <c r="C70" s="304" t="s">
        <v>675</v>
      </c>
      <c r="D70" s="304" t="s">
        <v>752</v>
      </c>
      <c r="E70" s="304"/>
      <c r="F70" s="304" t="s">
        <v>615</v>
      </c>
      <c r="G70" s="304"/>
      <c r="H70" s="338" t="s">
        <v>241</v>
      </c>
      <c r="I70" s="336"/>
      <c r="J70" s="305" t="s">
        <v>33</v>
      </c>
      <c r="K7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70" s="306" t="s">
        <v>738</v>
      </c>
      <c r="M70" s="306">
        <v>150</v>
      </c>
      <c r="N70" s="303">
        <v>0.26</v>
      </c>
      <c r="O70" s="307">
        <f>IFERROR(_xlfn.LET(_xlpm.boxType, J70, _xlpm.tallos, M70, _xlpm.cost, N70, _xlpm.precio, P70,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70" s="323">
        <v>1.19</v>
      </c>
      <c r="Q70" s="303" t="s">
        <v>726</v>
      </c>
      <c r="R7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70" s="303">
        <v>0.26</v>
      </c>
      <c r="T7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70" s="301">
        <v>0.69</v>
      </c>
    </row>
    <row r="71" spans="1:21" ht="15.75" thickBot="1" x14ac:dyDescent="0.3">
      <c r="A71" s="315" t="s">
        <v>41</v>
      </c>
      <c r="B71" s="316">
        <f>_xlfn.XLOOKUP(Catalogo[[#This Row],[Finca]], Fincas[Nombre], Fincas[ID])</f>
        <v>38</v>
      </c>
      <c r="C71" s="315" t="s">
        <v>675</v>
      </c>
      <c r="D71" s="315" t="s">
        <v>752</v>
      </c>
      <c r="E71" s="315"/>
      <c r="F71" s="315" t="s">
        <v>615</v>
      </c>
      <c r="G71" s="315"/>
      <c r="H71" s="344" t="s">
        <v>241</v>
      </c>
      <c r="I71" s="337"/>
      <c r="J71" s="316" t="s">
        <v>43</v>
      </c>
      <c r="K71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71" s="317" t="s">
        <v>342</v>
      </c>
      <c r="M71" s="317">
        <v>300</v>
      </c>
      <c r="N71" s="319">
        <v>0.26</v>
      </c>
      <c r="O71" s="318">
        <f>IFERROR(_xlfn.LET(_xlpm.boxType, J71, _xlpm.tallos, M71, _xlpm.cost, N71, _xlpm.precio, P71,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71" s="324">
        <v>1.19</v>
      </c>
      <c r="Q71" s="319" t="s">
        <v>727</v>
      </c>
      <c r="R71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71" s="319">
        <v>0.26</v>
      </c>
      <c r="T71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71" s="321">
        <v>0.69</v>
      </c>
    </row>
    <row r="72" spans="1:21" x14ac:dyDescent="0.25">
      <c r="A72" s="304" t="s">
        <v>41</v>
      </c>
      <c r="B72" s="305">
        <f>_xlfn.XLOOKUP(Catalogo[[#This Row],[Finca]], Fincas[Nombre], Fincas[ID])</f>
        <v>38</v>
      </c>
      <c r="C72" s="304" t="s">
        <v>675</v>
      </c>
      <c r="D72" s="304" t="s">
        <v>752</v>
      </c>
      <c r="E72" s="304"/>
      <c r="F72" s="304" t="s">
        <v>615</v>
      </c>
      <c r="G72" s="304"/>
      <c r="H72" s="338" t="s">
        <v>242</v>
      </c>
      <c r="I72" s="336"/>
      <c r="J72" s="305" t="s">
        <v>32</v>
      </c>
      <c r="K7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72" s="306" t="s">
        <v>737</v>
      </c>
      <c r="M72" s="306">
        <v>50</v>
      </c>
      <c r="N72" s="303">
        <v>0.36</v>
      </c>
      <c r="O72" s="307">
        <f>IFERROR(_xlfn.LET(_xlpm.boxType, J72, _xlpm.tallos, M72, _xlpm.cost, N72, _xlpm.precio, P72,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72" s="323">
        <v>1.49</v>
      </c>
      <c r="Q72" s="303" t="s">
        <v>725</v>
      </c>
      <c r="R7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72" s="303">
        <v>0.36</v>
      </c>
      <c r="T7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72" s="301">
        <v>0.85</v>
      </c>
    </row>
    <row r="73" spans="1:21" x14ac:dyDescent="0.25">
      <c r="A73" s="304" t="s">
        <v>41</v>
      </c>
      <c r="B73" s="305">
        <f>_xlfn.XLOOKUP(Catalogo[[#This Row],[Finca]], Fincas[Nombre], Fincas[ID])</f>
        <v>38</v>
      </c>
      <c r="C73" s="304" t="s">
        <v>675</v>
      </c>
      <c r="D73" s="304" t="s">
        <v>752</v>
      </c>
      <c r="E73" s="304"/>
      <c r="F73" s="304" t="s">
        <v>615</v>
      </c>
      <c r="G73" s="304"/>
      <c r="H73" s="338" t="s">
        <v>242</v>
      </c>
      <c r="I73" s="336"/>
      <c r="J73" s="305" t="s">
        <v>33</v>
      </c>
      <c r="K7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73" s="306" t="s">
        <v>738</v>
      </c>
      <c r="M73" s="306">
        <v>125</v>
      </c>
      <c r="N73" s="303">
        <v>0.36</v>
      </c>
      <c r="O73" s="307">
        <f>IFERROR(_xlfn.LET(_xlpm.boxType, J73, _xlpm.tallos, M73, _xlpm.cost, N73, _xlpm.precio, P73,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73" s="323">
        <v>1.39</v>
      </c>
      <c r="Q73" s="303" t="s">
        <v>726</v>
      </c>
      <c r="R7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73" s="303">
        <v>0.36</v>
      </c>
      <c r="T7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73" s="301">
        <v>0.79</v>
      </c>
    </row>
    <row r="74" spans="1:21" ht="15.75" thickBot="1" x14ac:dyDescent="0.3">
      <c r="A74" s="304" t="s">
        <v>41</v>
      </c>
      <c r="B74" s="305">
        <f>_xlfn.XLOOKUP(Catalogo[[#This Row],[Finca]], Fincas[Nombre], Fincas[ID])</f>
        <v>38</v>
      </c>
      <c r="C74" s="304" t="s">
        <v>675</v>
      </c>
      <c r="D74" s="304" t="s">
        <v>752</v>
      </c>
      <c r="E74" s="304"/>
      <c r="F74" s="304" t="s">
        <v>615</v>
      </c>
      <c r="G74" s="304"/>
      <c r="H74" s="338" t="s">
        <v>242</v>
      </c>
      <c r="I74" s="336"/>
      <c r="J74" s="305" t="s">
        <v>43</v>
      </c>
      <c r="K7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74" s="306" t="s">
        <v>342</v>
      </c>
      <c r="M74" s="306">
        <v>250</v>
      </c>
      <c r="N74" s="303">
        <v>0.36</v>
      </c>
      <c r="O74" s="307">
        <f>IFERROR(_xlfn.LET(_xlpm.boxType, J74, _xlpm.tallos, M74, _xlpm.cost, N74, _xlpm.precio, P74,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74" s="323">
        <v>1.39</v>
      </c>
      <c r="Q74" s="303" t="s">
        <v>727</v>
      </c>
      <c r="R7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74" s="303">
        <v>0.36</v>
      </c>
      <c r="T7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74" s="301">
        <v>0.79</v>
      </c>
    </row>
    <row r="75" spans="1:21" x14ac:dyDescent="0.25">
      <c r="A75" s="308" t="s">
        <v>41</v>
      </c>
      <c r="B75" s="309">
        <f>_xlfn.XLOOKUP(Catalogo[[#This Row],[Finca]], Fincas[Nombre], Fincas[ID])</f>
        <v>38</v>
      </c>
      <c r="C75" s="308" t="s">
        <v>675</v>
      </c>
      <c r="D75" s="308" t="s">
        <v>752</v>
      </c>
      <c r="E75" s="308"/>
      <c r="F75" s="308" t="s">
        <v>615</v>
      </c>
      <c r="G75" s="308"/>
      <c r="H75" s="343" t="s">
        <v>243</v>
      </c>
      <c r="I75" s="335"/>
      <c r="J75" s="309" t="s">
        <v>32</v>
      </c>
      <c r="K75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75" s="310" t="s">
        <v>737</v>
      </c>
      <c r="M75" s="310">
        <v>50</v>
      </c>
      <c r="N75" s="312">
        <v>0.42</v>
      </c>
      <c r="O75" s="311">
        <f>IFERROR(_xlfn.LET(_xlpm.boxType, J75, _xlpm.tallos, M75, _xlpm.cost, N75, _xlpm.precio, P75,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75" s="322">
        <v>1.59</v>
      </c>
      <c r="Q75" s="312" t="s">
        <v>725</v>
      </c>
      <c r="R75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75" s="312">
        <v>0.42</v>
      </c>
      <c r="T75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75" s="314">
        <v>0.99</v>
      </c>
    </row>
    <row r="76" spans="1:21" x14ac:dyDescent="0.25">
      <c r="A76" s="304" t="s">
        <v>41</v>
      </c>
      <c r="B76" s="305">
        <f>_xlfn.XLOOKUP(Catalogo[[#This Row],[Finca]], Fincas[Nombre], Fincas[ID])</f>
        <v>38</v>
      </c>
      <c r="C76" s="304" t="s">
        <v>675</v>
      </c>
      <c r="D76" s="304" t="s">
        <v>752</v>
      </c>
      <c r="E76" s="304"/>
      <c r="F76" s="304" t="s">
        <v>615</v>
      </c>
      <c r="G76" s="304"/>
      <c r="H76" s="338" t="s">
        <v>243</v>
      </c>
      <c r="I76" s="336"/>
      <c r="J76" s="305" t="s">
        <v>33</v>
      </c>
      <c r="K7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76" s="306" t="s">
        <v>738</v>
      </c>
      <c r="M76" s="306">
        <v>100</v>
      </c>
      <c r="N76" s="303">
        <v>0.42</v>
      </c>
      <c r="O76" s="307">
        <f>IFERROR(_xlfn.LET(_xlpm.boxType, J76, _xlpm.tallos, M76, _xlpm.cost, N76, _xlpm.precio, P76,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76" s="323">
        <v>1.59</v>
      </c>
      <c r="Q76" s="303" t="s">
        <v>726</v>
      </c>
      <c r="R7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76" s="303">
        <v>0.42</v>
      </c>
      <c r="T7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76" s="301">
        <v>0.89</v>
      </c>
    </row>
    <row r="77" spans="1:21" ht="15.75" thickBot="1" x14ac:dyDescent="0.3">
      <c r="A77" s="315" t="s">
        <v>41</v>
      </c>
      <c r="B77" s="316">
        <f>_xlfn.XLOOKUP(Catalogo[[#This Row],[Finca]], Fincas[Nombre], Fincas[ID])</f>
        <v>38</v>
      </c>
      <c r="C77" s="315" t="s">
        <v>675</v>
      </c>
      <c r="D77" s="315" t="s">
        <v>752</v>
      </c>
      <c r="E77" s="315"/>
      <c r="F77" s="315" t="s">
        <v>615</v>
      </c>
      <c r="G77" s="315"/>
      <c r="H77" s="344" t="s">
        <v>243</v>
      </c>
      <c r="I77" s="337"/>
      <c r="J77" s="316" t="s">
        <v>43</v>
      </c>
      <c r="K77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77" s="317" t="s">
        <v>342</v>
      </c>
      <c r="M77" s="317">
        <v>200</v>
      </c>
      <c r="N77" s="319">
        <v>0.42</v>
      </c>
      <c r="O77" s="318">
        <f>IFERROR(_xlfn.LET(_xlpm.boxType, J77, _xlpm.tallos, M77, _xlpm.cost, N77, _xlpm.precio, P77,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77" s="324">
        <v>1.59</v>
      </c>
      <c r="Q77" s="319" t="s">
        <v>727</v>
      </c>
      <c r="R77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77" s="319">
        <v>0.42</v>
      </c>
      <c r="T77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77" s="321">
        <v>0.89</v>
      </c>
    </row>
    <row r="78" spans="1:21" x14ac:dyDescent="0.25">
      <c r="A78" s="308" t="s">
        <v>41</v>
      </c>
      <c r="B78" s="309">
        <f>_xlfn.XLOOKUP(Catalogo[[#This Row],[Finca]], Fincas[Nombre], Fincas[ID])</f>
        <v>38</v>
      </c>
      <c r="C78" s="308" t="s">
        <v>675</v>
      </c>
      <c r="D78" s="308" t="s">
        <v>753</v>
      </c>
      <c r="E78" s="308"/>
      <c r="F78" s="308" t="s">
        <v>613</v>
      </c>
      <c r="G78" s="308"/>
      <c r="H78" s="343" t="s">
        <v>241</v>
      </c>
      <c r="I78" s="335"/>
      <c r="J78" s="309" t="s">
        <v>32</v>
      </c>
      <c r="K78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78" s="310" t="s">
        <v>737</v>
      </c>
      <c r="M78" s="310">
        <v>50</v>
      </c>
      <c r="N78" s="312">
        <v>0.26</v>
      </c>
      <c r="O78" s="311">
        <f>IFERROR(_xlfn.LET(_xlpm.boxType, J78, _xlpm.tallos, M78, _xlpm.cost, N78, _xlpm.precio, P78,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78" s="322">
        <v>1.29</v>
      </c>
      <c r="Q78" s="312" t="s">
        <v>725</v>
      </c>
      <c r="R78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78" s="312">
        <v>0.26</v>
      </c>
      <c r="T78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78" s="314">
        <v>0.75</v>
      </c>
    </row>
    <row r="79" spans="1:21" x14ac:dyDescent="0.25">
      <c r="A79" s="304" t="s">
        <v>41</v>
      </c>
      <c r="B79" s="305">
        <f>_xlfn.XLOOKUP(Catalogo[[#This Row],[Finca]], Fincas[Nombre], Fincas[ID])</f>
        <v>38</v>
      </c>
      <c r="C79" s="304" t="s">
        <v>675</v>
      </c>
      <c r="D79" s="304" t="s">
        <v>753</v>
      </c>
      <c r="E79" s="304"/>
      <c r="F79" s="304" t="s">
        <v>613</v>
      </c>
      <c r="G79" s="304"/>
      <c r="H79" s="338" t="s">
        <v>241</v>
      </c>
      <c r="I79" s="336"/>
      <c r="J79" s="305" t="s">
        <v>33</v>
      </c>
      <c r="K7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79" s="306" t="s">
        <v>738</v>
      </c>
      <c r="M79" s="306">
        <v>150</v>
      </c>
      <c r="N79" s="303">
        <v>0.26</v>
      </c>
      <c r="O79" s="307">
        <f>IFERROR(_xlfn.LET(_xlpm.boxType, J79, _xlpm.tallos, M79, _xlpm.cost, N79, _xlpm.precio, P79,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79" s="323">
        <v>1.19</v>
      </c>
      <c r="Q79" s="303" t="s">
        <v>726</v>
      </c>
      <c r="R7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79" s="303">
        <v>0.26</v>
      </c>
      <c r="T7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79" s="301">
        <v>0.69</v>
      </c>
    </row>
    <row r="80" spans="1:21" ht="15.75" thickBot="1" x14ac:dyDescent="0.3">
      <c r="A80" s="315" t="s">
        <v>41</v>
      </c>
      <c r="B80" s="316">
        <f>_xlfn.XLOOKUP(Catalogo[[#This Row],[Finca]], Fincas[Nombre], Fincas[ID])</f>
        <v>38</v>
      </c>
      <c r="C80" s="315" t="s">
        <v>675</v>
      </c>
      <c r="D80" s="315" t="s">
        <v>753</v>
      </c>
      <c r="E80" s="315"/>
      <c r="F80" s="315" t="s">
        <v>613</v>
      </c>
      <c r="G80" s="315"/>
      <c r="H80" s="344" t="s">
        <v>241</v>
      </c>
      <c r="I80" s="337"/>
      <c r="J80" s="316" t="s">
        <v>43</v>
      </c>
      <c r="K80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80" s="317" t="s">
        <v>342</v>
      </c>
      <c r="M80" s="317">
        <v>300</v>
      </c>
      <c r="N80" s="319">
        <v>0.26</v>
      </c>
      <c r="O80" s="318">
        <f>IFERROR(_xlfn.LET(_xlpm.boxType, J80, _xlpm.tallos, M80, _xlpm.cost, N80, _xlpm.precio, P80,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80" s="324">
        <v>1.19</v>
      </c>
      <c r="Q80" s="319" t="s">
        <v>727</v>
      </c>
      <c r="R80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80" s="319">
        <v>0.26</v>
      </c>
      <c r="T80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80" s="321">
        <v>0.69</v>
      </c>
    </row>
    <row r="81" spans="1:21" x14ac:dyDescent="0.25">
      <c r="A81" s="304" t="s">
        <v>41</v>
      </c>
      <c r="B81" s="305">
        <f>_xlfn.XLOOKUP(Catalogo[[#This Row],[Finca]], Fincas[Nombre], Fincas[ID])</f>
        <v>38</v>
      </c>
      <c r="C81" s="304" t="s">
        <v>675</v>
      </c>
      <c r="D81" s="304" t="s">
        <v>753</v>
      </c>
      <c r="E81" s="304"/>
      <c r="F81" s="304" t="s">
        <v>613</v>
      </c>
      <c r="G81" s="304"/>
      <c r="H81" s="338" t="s">
        <v>242</v>
      </c>
      <c r="I81" s="336"/>
      <c r="J81" s="305" t="s">
        <v>32</v>
      </c>
      <c r="K8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81" s="306" t="s">
        <v>737</v>
      </c>
      <c r="M81" s="306">
        <v>50</v>
      </c>
      <c r="N81" s="303">
        <v>0.36</v>
      </c>
      <c r="O81" s="307">
        <f>IFERROR(_xlfn.LET(_xlpm.boxType, J81, _xlpm.tallos, M81, _xlpm.cost, N81, _xlpm.precio, P81,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81" s="323">
        <v>1.49</v>
      </c>
      <c r="Q81" s="303" t="s">
        <v>725</v>
      </c>
      <c r="R8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81" s="303">
        <v>0.36</v>
      </c>
      <c r="T8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81" s="301">
        <v>0.85</v>
      </c>
    </row>
    <row r="82" spans="1:21" x14ac:dyDescent="0.25">
      <c r="A82" s="304" t="s">
        <v>41</v>
      </c>
      <c r="B82" s="305">
        <f>_xlfn.XLOOKUP(Catalogo[[#This Row],[Finca]], Fincas[Nombre], Fincas[ID])</f>
        <v>38</v>
      </c>
      <c r="C82" s="304" t="s">
        <v>675</v>
      </c>
      <c r="D82" s="304" t="s">
        <v>753</v>
      </c>
      <c r="E82" s="304"/>
      <c r="F82" s="304" t="s">
        <v>613</v>
      </c>
      <c r="G82" s="304"/>
      <c r="H82" s="338" t="s">
        <v>242</v>
      </c>
      <c r="I82" s="336"/>
      <c r="J82" s="305" t="s">
        <v>33</v>
      </c>
      <c r="K8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82" s="306" t="s">
        <v>738</v>
      </c>
      <c r="M82" s="306">
        <v>125</v>
      </c>
      <c r="N82" s="303">
        <v>0.36</v>
      </c>
      <c r="O82" s="307">
        <f>IFERROR(_xlfn.LET(_xlpm.boxType, J82, _xlpm.tallos, M82, _xlpm.cost, N82, _xlpm.precio, P82,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82" s="323">
        <v>1.39</v>
      </c>
      <c r="Q82" s="303" t="s">
        <v>726</v>
      </c>
      <c r="R8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82" s="303">
        <v>0.36</v>
      </c>
      <c r="T8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82" s="301">
        <v>0.79</v>
      </c>
    </row>
    <row r="83" spans="1:21" ht="15.75" thickBot="1" x14ac:dyDescent="0.3">
      <c r="A83" s="304" t="s">
        <v>41</v>
      </c>
      <c r="B83" s="305">
        <f>_xlfn.XLOOKUP(Catalogo[[#This Row],[Finca]], Fincas[Nombre], Fincas[ID])</f>
        <v>38</v>
      </c>
      <c r="C83" s="304" t="s">
        <v>675</v>
      </c>
      <c r="D83" s="304" t="s">
        <v>753</v>
      </c>
      <c r="E83" s="304"/>
      <c r="F83" s="304" t="s">
        <v>613</v>
      </c>
      <c r="G83" s="304"/>
      <c r="H83" s="338" t="s">
        <v>242</v>
      </c>
      <c r="I83" s="336"/>
      <c r="J83" s="305" t="s">
        <v>43</v>
      </c>
      <c r="K8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83" s="306" t="s">
        <v>342</v>
      </c>
      <c r="M83" s="306">
        <v>250</v>
      </c>
      <c r="N83" s="303">
        <v>0.36</v>
      </c>
      <c r="O83" s="307">
        <f>IFERROR(_xlfn.LET(_xlpm.boxType, J83, _xlpm.tallos, M83, _xlpm.cost, N83, _xlpm.precio, P83,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83" s="323">
        <v>1.39</v>
      </c>
      <c r="Q83" s="303" t="s">
        <v>727</v>
      </c>
      <c r="R8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83" s="303">
        <v>0.36</v>
      </c>
      <c r="T8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83" s="301">
        <v>0.79</v>
      </c>
    </row>
    <row r="84" spans="1:21" x14ac:dyDescent="0.25">
      <c r="A84" s="308" t="s">
        <v>41</v>
      </c>
      <c r="B84" s="309">
        <f>_xlfn.XLOOKUP(Catalogo[[#This Row],[Finca]], Fincas[Nombre], Fincas[ID])</f>
        <v>38</v>
      </c>
      <c r="C84" s="308" t="s">
        <v>675</v>
      </c>
      <c r="D84" s="308" t="s">
        <v>753</v>
      </c>
      <c r="E84" s="308"/>
      <c r="F84" s="308" t="s">
        <v>613</v>
      </c>
      <c r="G84" s="308"/>
      <c r="H84" s="343" t="s">
        <v>243</v>
      </c>
      <c r="I84" s="335"/>
      <c r="J84" s="309" t="s">
        <v>32</v>
      </c>
      <c r="K84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84" s="310" t="s">
        <v>737</v>
      </c>
      <c r="M84" s="310">
        <v>50</v>
      </c>
      <c r="N84" s="312">
        <v>0.42</v>
      </c>
      <c r="O84" s="311">
        <f>IFERROR(_xlfn.LET(_xlpm.boxType, J84, _xlpm.tallos, M84, _xlpm.cost, N84, _xlpm.precio, P84,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84" s="322">
        <v>1.59</v>
      </c>
      <c r="Q84" s="312" t="s">
        <v>725</v>
      </c>
      <c r="R84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84" s="312">
        <v>0.42</v>
      </c>
      <c r="T84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84" s="314">
        <v>0.99</v>
      </c>
    </row>
    <row r="85" spans="1:21" x14ac:dyDescent="0.25">
      <c r="A85" s="304" t="s">
        <v>41</v>
      </c>
      <c r="B85" s="305">
        <f>_xlfn.XLOOKUP(Catalogo[[#This Row],[Finca]], Fincas[Nombre], Fincas[ID])</f>
        <v>38</v>
      </c>
      <c r="C85" s="304" t="s">
        <v>675</v>
      </c>
      <c r="D85" s="304" t="s">
        <v>753</v>
      </c>
      <c r="E85" s="304"/>
      <c r="F85" s="304" t="s">
        <v>613</v>
      </c>
      <c r="G85" s="304"/>
      <c r="H85" s="338" t="s">
        <v>243</v>
      </c>
      <c r="I85" s="336"/>
      <c r="J85" s="305" t="s">
        <v>33</v>
      </c>
      <c r="K8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85" s="306" t="s">
        <v>738</v>
      </c>
      <c r="M85" s="306">
        <v>100</v>
      </c>
      <c r="N85" s="303">
        <v>0.42</v>
      </c>
      <c r="O85" s="307">
        <f>IFERROR(_xlfn.LET(_xlpm.boxType, J85, _xlpm.tallos, M85, _xlpm.cost, N85, _xlpm.precio, P85,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85" s="323">
        <v>1.59</v>
      </c>
      <c r="Q85" s="303" t="s">
        <v>726</v>
      </c>
      <c r="R8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85" s="303">
        <v>0.42</v>
      </c>
      <c r="T8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85" s="301">
        <v>0.89</v>
      </c>
    </row>
    <row r="86" spans="1:21" ht="15.75" thickBot="1" x14ac:dyDescent="0.3">
      <c r="A86" s="315" t="s">
        <v>41</v>
      </c>
      <c r="B86" s="316">
        <f>_xlfn.XLOOKUP(Catalogo[[#This Row],[Finca]], Fincas[Nombre], Fincas[ID])</f>
        <v>38</v>
      </c>
      <c r="C86" s="315" t="s">
        <v>675</v>
      </c>
      <c r="D86" s="315" t="s">
        <v>753</v>
      </c>
      <c r="E86" s="315"/>
      <c r="F86" s="315" t="s">
        <v>613</v>
      </c>
      <c r="G86" s="315"/>
      <c r="H86" s="344" t="s">
        <v>243</v>
      </c>
      <c r="I86" s="337"/>
      <c r="J86" s="316" t="s">
        <v>43</v>
      </c>
      <c r="K8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86" s="317" t="s">
        <v>342</v>
      </c>
      <c r="M86" s="317">
        <v>200</v>
      </c>
      <c r="N86" s="319">
        <v>0.42</v>
      </c>
      <c r="O86" s="318">
        <f>IFERROR(_xlfn.LET(_xlpm.boxType, J86, _xlpm.tallos, M86, _xlpm.cost, N86, _xlpm.precio, P86,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86" s="324">
        <v>1.59</v>
      </c>
      <c r="Q86" s="319" t="s">
        <v>727</v>
      </c>
      <c r="R8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86" s="319">
        <v>0.42</v>
      </c>
      <c r="T8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86" s="321">
        <v>0.89</v>
      </c>
    </row>
    <row r="87" spans="1:21" x14ac:dyDescent="0.25">
      <c r="A87" s="308" t="s">
        <v>41</v>
      </c>
      <c r="B87" s="309">
        <f>_xlfn.XLOOKUP(Catalogo[[#This Row],[Finca]], Fincas[Nombre], Fincas[ID])</f>
        <v>38</v>
      </c>
      <c r="C87" s="308" t="s">
        <v>675</v>
      </c>
      <c r="D87" s="308" t="s">
        <v>754</v>
      </c>
      <c r="E87" s="308"/>
      <c r="F87" s="308" t="s">
        <v>615</v>
      </c>
      <c r="G87" s="308"/>
      <c r="H87" s="343" t="s">
        <v>241</v>
      </c>
      <c r="I87" s="335"/>
      <c r="J87" s="309" t="s">
        <v>32</v>
      </c>
      <c r="K87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87" s="310" t="s">
        <v>737</v>
      </c>
      <c r="M87" s="310">
        <v>50</v>
      </c>
      <c r="N87" s="312">
        <v>0.26</v>
      </c>
      <c r="O87" s="311">
        <f>IFERROR(_xlfn.LET(_xlpm.boxType, J87, _xlpm.tallos, M87, _xlpm.cost, N87, _xlpm.precio, P87,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87" s="322">
        <v>1.29</v>
      </c>
      <c r="Q87" s="312" t="s">
        <v>725</v>
      </c>
      <c r="R87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87" s="312">
        <v>0.26</v>
      </c>
      <c r="T87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87" s="314">
        <v>0.75</v>
      </c>
    </row>
    <row r="88" spans="1:21" x14ac:dyDescent="0.25">
      <c r="A88" s="304" t="s">
        <v>41</v>
      </c>
      <c r="B88" s="305">
        <f>_xlfn.XLOOKUP(Catalogo[[#This Row],[Finca]], Fincas[Nombre], Fincas[ID])</f>
        <v>38</v>
      </c>
      <c r="C88" s="304" t="s">
        <v>675</v>
      </c>
      <c r="D88" s="304" t="s">
        <v>754</v>
      </c>
      <c r="E88" s="304"/>
      <c r="F88" s="304" t="s">
        <v>615</v>
      </c>
      <c r="G88" s="304"/>
      <c r="H88" s="338" t="s">
        <v>241</v>
      </c>
      <c r="I88" s="336"/>
      <c r="J88" s="305" t="s">
        <v>33</v>
      </c>
      <c r="K8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88" s="306" t="s">
        <v>738</v>
      </c>
      <c r="M88" s="306">
        <v>150</v>
      </c>
      <c r="N88" s="303">
        <v>0.26</v>
      </c>
      <c r="O88" s="307">
        <f>IFERROR(_xlfn.LET(_xlpm.boxType, J88, _xlpm.tallos, M88, _xlpm.cost, N88, _xlpm.precio, P88,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88" s="323">
        <v>1.19</v>
      </c>
      <c r="Q88" s="303" t="s">
        <v>726</v>
      </c>
      <c r="R8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88" s="303">
        <v>0.26</v>
      </c>
      <c r="T8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88" s="301">
        <v>0.69</v>
      </c>
    </row>
    <row r="89" spans="1:21" ht="15.75" thickBot="1" x14ac:dyDescent="0.3">
      <c r="A89" s="315" t="s">
        <v>41</v>
      </c>
      <c r="B89" s="316">
        <f>_xlfn.XLOOKUP(Catalogo[[#This Row],[Finca]], Fincas[Nombre], Fincas[ID])</f>
        <v>38</v>
      </c>
      <c r="C89" s="315" t="s">
        <v>675</v>
      </c>
      <c r="D89" s="315" t="s">
        <v>754</v>
      </c>
      <c r="E89" s="315"/>
      <c r="F89" s="315" t="s">
        <v>615</v>
      </c>
      <c r="G89" s="315"/>
      <c r="H89" s="344" t="s">
        <v>241</v>
      </c>
      <c r="I89" s="337"/>
      <c r="J89" s="316" t="s">
        <v>43</v>
      </c>
      <c r="K89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89" s="317" t="s">
        <v>342</v>
      </c>
      <c r="M89" s="317">
        <v>300</v>
      </c>
      <c r="N89" s="319">
        <v>0.26</v>
      </c>
      <c r="O89" s="318">
        <f>IFERROR(_xlfn.LET(_xlpm.boxType, J89, _xlpm.tallos, M89, _xlpm.cost, N89, _xlpm.precio, P89,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89" s="324">
        <v>1.19</v>
      </c>
      <c r="Q89" s="319" t="s">
        <v>727</v>
      </c>
      <c r="R89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89" s="319">
        <v>0.26</v>
      </c>
      <c r="T89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89" s="321">
        <v>0.69</v>
      </c>
    </row>
    <row r="90" spans="1:21" x14ac:dyDescent="0.25">
      <c r="A90" s="304" t="s">
        <v>41</v>
      </c>
      <c r="B90" s="305">
        <f>_xlfn.XLOOKUP(Catalogo[[#This Row],[Finca]], Fincas[Nombre], Fincas[ID])</f>
        <v>38</v>
      </c>
      <c r="C90" s="304" t="s">
        <v>675</v>
      </c>
      <c r="D90" s="304" t="s">
        <v>754</v>
      </c>
      <c r="E90" s="304"/>
      <c r="F90" s="304" t="s">
        <v>615</v>
      </c>
      <c r="G90" s="304"/>
      <c r="H90" s="338" t="s">
        <v>242</v>
      </c>
      <c r="I90" s="336"/>
      <c r="J90" s="305" t="s">
        <v>32</v>
      </c>
      <c r="K9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90" s="306" t="s">
        <v>737</v>
      </c>
      <c r="M90" s="306">
        <v>50</v>
      </c>
      <c r="N90" s="303">
        <v>0.36</v>
      </c>
      <c r="O90" s="307">
        <f>IFERROR(_xlfn.LET(_xlpm.boxType, J90, _xlpm.tallos, M90, _xlpm.cost, N90, _xlpm.precio, P90,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90" s="323">
        <v>1.49</v>
      </c>
      <c r="Q90" s="303" t="s">
        <v>725</v>
      </c>
      <c r="R9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90" s="303">
        <v>0.36</v>
      </c>
      <c r="T9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90" s="301">
        <v>0.85</v>
      </c>
    </row>
    <row r="91" spans="1:21" x14ac:dyDescent="0.25">
      <c r="A91" s="304" t="s">
        <v>41</v>
      </c>
      <c r="B91" s="305">
        <f>_xlfn.XLOOKUP(Catalogo[[#This Row],[Finca]], Fincas[Nombre], Fincas[ID])</f>
        <v>38</v>
      </c>
      <c r="C91" s="304" t="s">
        <v>675</v>
      </c>
      <c r="D91" s="304" t="s">
        <v>754</v>
      </c>
      <c r="E91" s="304"/>
      <c r="F91" s="304" t="s">
        <v>615</v>
      </c>
      <c r="G91" s="304"/>
      <c r="H91" s="338" t="s">
        <v>242</v>
      </c>
      <c r="I91" s="336"/>
      <c r="J91" s="305" t="s">
        <v>33</v>
      </c>
      <c r="K9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91" s="306" t="s">
        <v>738</v>
      </c>
      <c r="M91" s="306">
        <v>125</v>
      </c>
      <c r="N91" s="303">
        <v>0.36</v>
      </c>
      <c r="O91" s="307">
        <f>IFERROR(_xlfn.LET(_xlpm.boxType, J91, _xlpm.tallos, M91, _xlpm.cost, N91, _xlpm.precio, P91,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91" s="323">
        <v>1.39</v>
      </c>
      <c r="Q91" s="303" t="s">
        <v>726</v>
      </c>
      <c r="R9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91" s="303">
        <v>0.36</v>
      </c>
      <c r="T9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91" s="301">
        <v>0.79</v>
      </c>
    </row>
    <row r="92" spans="1:21" ht="15.75" thickBot="1" x14ac:dyDescent="0.3">
      <c r="A92" s="304" t="s">
        <v>41</v>
      </c>
      <c r="B92" s="305">
        <f>_xlfn.XLOOKUP(Catalogo[[#This Row],[Finca]], Fincas[Nombre], Fincas[ID])</f>
        <v>38</v>
      </c>
      <c r="C92" s="304" t="s">
        <v>675</v>
      </c>
      <c r="D92" s="304" t="s">
        <v>754</v>
      </c>
      <c r="E92" s="304"/>
      <c r="F92" s="304" t="s">
        <v>615</v>
      </c>
      <c r="G92" s="304"/>
      <c r="H92" s="338" t="s">
        <v>242</v>
      </c>
      <c r="I92" s="336"/>
      <c r="J92" s="305" t="s">
        <v>43</v>
      </c>
      <c r="K9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92" s="306" t="s">
        <v>342</v>
      </c>
      <c r="M92" s="306">
        <v>250</v>
      </c>
      <c r="N92" s="303">
        <v>0.36</v>
      </c>
      <c r="O92" s="307">
        <f>IFERROR(_xlfn.LET(_xlpm.boxType, J92, _xlpm.tallos, M92, _xlpm.cost, N92, _xlpm.precio, P92,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92" s="323">
        <v>1.39</v>
      </c>
      <c r="Q92" s="303" t="s">
        <v>727</v>
      </c>
      <c r="R9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92" s="303">
        <v>0.36</v>
      </c>
      <c r="T9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92" s="301">
        <v>0.79</v>
      </c>
    </row>
    <row r="93" spans="1:21" x14ac:dyDescent="0.25">
      <c r="A93" s="308" t="s">
        <v>41</v>
      </c>
      <c r="B93" s="309">
        <f>_xlfn.XLOOKUP(Catalogo[[#This Row],[Finca]], Fincas[Nombre], Fincas[ID])</f>
        <v>38</v>
      </c>
      <c r="C93" s="308" t="s">
        <v>675</v>
      </c>
      <c r="D93" s="308" t="s">
        <v>754</v>
      </c>
      <c r="E93" s="308"/>
      <c r="F93" s="308" t="s">
        <v>615</v>
      </c>
      <c r="G93" s="308"/>
      <c r="H93" s="343" t="s">
        <v>243</v>
      </c>
      <c r="I93" s="335"/>
      <c r="J93" s="309" t="s">
        <v>32</v>
      </c>
      <c r="K93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93" s="310" t="s">
        <v>737</v>
      </c>
      <c r="M93" s="310">
        <v>50</v>
      </c>
      <c r="N93" s="312">
        <v>0.42</v>
      </c>
      <c r="O93" s="311">
        <f>IFERROR(_xlfn.LET(_xlpm.boxType, J93, _xlpm.tallos, M93, _xlpm.cost, N93, _xlpm.precio, P93,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93" s="322">
        <v>1.59</v>
      </c>
      <c r="Q93" s="312" t="s">
        <v>725</v>
      </c>
      <c r="R93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93" s="312">
        <v>0.42</v>
      </c>
      <c r="T93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93" s="314">
        <v>0.99</v>
      </c>
    </row>
    <row r="94" spans="1:21" x14ac:dyDescent="0.25">
      <c r="A94" s="304" t="s">
        <v>41</v>
      </c>
      <c r="B94" s="305">
        <f>_xlfn.XLOOKUP(Catalogo[[#This Row],[Finca]], Fincas[Nombre], Fincas[ID])</f>
        <v>38</v>
      </c>
      <c r="C94" s="304" t="s">
        <v>675</v>
      </c>
      <c r="D94" s="304" t="s">
        <v>754</v>
      </c>
      <c r="E94" s="304"/>
      <c r="F94" s="304" t="s">
        <v>615</v>
      </c>
      <c r="G94" s="304"/>
      <c r="H94" s="338" t="s">
        <v>243</v>
      </c>
      <c r="I94" s="336"/>
      <c r="J94" s="305" t="s">
        <v>33</v>
      </c>
      <c r="K9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94" s="306" t="s">
        <v>738</v>
      </c>
      <c r="M94" s="306">
        <v>100</v>
      </c>
      <c r="N94" s="303">
        <v>0.42</v>
      </c>
      <c r="O94" s="307">
        <f>IFERROR(_xlfn.LET(_xlpm.boxType, J94, _xlpm.tallos, M94, _xlpm.cost, N94, _xlpm.precio, P94,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94" s="323">
        <v>1.59</v>
      </c>
      <c r="Q94" s="303" t="s">
        <v>726</v>
      </c>
      <c r="R9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94" s="303">
        <v>0.42</v>
      </c>
      <c r="T9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94" s="301">
        <v>0.89</v>
      </c>
    </row>
    <row r="95" spans="1:21" ht="15.75" thickBot="1" x14ac:dyDescent="0.3">
      <c r="A95" s="315" t="s">
        <v>41</v>
      </c>
      <c r="B95" s="316">
        <f>_xlfn.XLOOKUP(Catalogo[[#This Row],[Finca]], Fincas[Nombre], Fincas[ID])</f>
        <v>38</v>
      </c>
      <c r="C95" s="315" t="s">
        <v>675</v>
      </c>
      <c r="D95" s="315" t="s">
        <v>754</v>
      </c>
      <c r="E95" s="315"/>
      <c r="F95" s="315" t="s">
        <v>615</v>
      </c>
      <c r="G95" s="315"/>
      <c r="H95" s="344" t="s">
        <v>243</v>
      </c>
      <c r="I95" s="337"/>
      <c r="J95" s="316" t="s">
        <v>43</v>
      </c>
      <c r="K95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95" s="317" t="s">
        <v>342</v>
      </c>
      <c r="M95" s="317">
        <v>200</v>
      </c>
      <c r="N95" s="319">
        <v>0.42</v>
      </c>
      <c r="O95" s="318">
        <f>IFERROR(_xlfn.LET(_xlpm.boxType, J95, _xlpm.tallos, M95, _xlpm.cost, N95, _xlpm.precio, P95,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95" s="324">
        <v>1.59</v>
      </c>
      <c r="Q95" s="319" t="s">
        <v>727</v>
      </c>
      <c r="R95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95" s="319">
        <v>0.42</v>
      </c>
      <c r="T95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95" s="321">
        <v>0.89</v>
      </c>
    </row>
    <row r="96" spans="1:21" x14ac:dyDescent="0.25">
      <c r="A96" s="308" t="s">
        <v>41</v>
      </c>
      <c r="B96" s="309">
        <f>_xlfn.XLOOKUP(Catalogo[[#This Row],[Finca]], Fincas[Nombre], Fincas[ID])</f>
        <v>38</v>
      </c>
      <c r="C96" s="308" t="s">
        <v>675</v>
      </c>
      <c r="D96" s="308" t="s">
        <v>755</v>
      </c>
      <c r="E96" s="308"/>
      <c r="F96" s="308" t="s">
        <v>610</v>
      </c>
      <c r="G96" s="308"/>
      <c r="H96" s="343" t="s">
        <v>241</v>
      </c>
      <c r="I96" s="335"/>
      <c r="J96" s="309" t="s">
        <v>32</v>
      </c>
      <c r="K96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96" s="310" t="s">
        <v>737</v>
      </c>
      <c r="M96" s="310">
        <v>50</v>
      </c>
      <c r="N96" s="312">
        <v>0.26</v>
      </c>
      <c r="O96" s="311">
        <f>IFERROR(_xlfn.LET(_xlpm.boxType, J96, _xlpm.tallos, M96, _xlpm.cost, N96, _xlpm.precio, P96,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96" s="322">
        <v>1.29</v>
      </c>
      <c r="Q96" s="312" t="s">
        <v>725</v>
      </c>
      <c r="R96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96" s="312">
        <v>0.26</v>
      </c>
      <c r="T96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96" s="314">
        <v>0.75</v>
      </c>
    </row>
    <row r="97" spans="1:21" x14ac:dyDescent="0.25">
      <c r="A97" s="304" t="s">
        <v>41</v>
      </c>
      <c r="B97" s="305">
        <f>_xlfn.XLOOKUP(Catalogo[[#This Row],[Finca]], Fincas[Nombre], Fincas[ID])</f>
        <v>38</v>
      </c>
      <c r="C97" s="304" t="s">
        <v>675</v>
      </c>
      <c r="D97" s="304" t="s">
        <v>755</v>
      </c>
      <c r="E97" s="304"/>
      <c r="F97" s="304" t="s">
        <v>610</v>
      </c>
      <c r="G97" s="304"/>
      <c r="H97" s="338" t="s">
        <v>241</v>
      </c>
      <c r="I97" s="336"/>
      <c r="J97" s="305" t="s">
        <v>33</v>
      </c>
      <c r="K9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97" s="306" t="s">
        <v>738</v>
      </c>
      <c r="M97" s="306">
        <v>150</v>
      </c>
      <c r="N97" s="303">
        <v>0.26</v>
      </c>
      <c r="O97" s="307">
        <f>IFERROR(_xlfn.LET(_xlpm.boxType, J97, _xlpm.tallos, M97, _xlpm.cost, N97, _xlpm.precio, P97,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97" s="323">
        <v>1.19</v>
      </c>
      <c r="Q97" s="303" t="s">
        <v>726</v>
      </c>
      <c r="R9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97" s="303">
        <v>0.26</v>
      </c>
      <c r="T9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97" s="301">
        <v>0.69</v>
      </c>
    </row>
    <row r="98" spans="1:21" ht="15.75" thickBot="1" x14ac:dyDescent="0.3">
      <c r="A98" s="315" t="s">
        <v>41</v>
      </c>
      <c r="B98" s="316">
        <f>_xlfn.XLOOKUP(Catalogo[[#This Row],[Finca]], Fincas[Nombre], Fincas[ID])</f>
        <v>38</v>
      </c>
      <c r="C98" s="315" t="s">
        <v>675</v>
      </c>
      <c r="D98" s="315" t="s">
        <v>755</v>
      </c>
      <c r="E98" s="315"/>
      <c r="F98" s="315" t="s">
        <v>610</v>
      </c>
      <c r="G98" s="315"/>
      <c r="H98" s="344" t="s">
        <v>241</v>
      </c>
      <c r="I98" s="337"/>
      <c r="J98" s="316" t="s">
        <v>43</v>
      </c>
      <c r="K98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98" s="317" t="s">
        <v>342</v>
      </c>
      <c r="M98" s="317">
        <v>300</v>
      </c>
      <c r="N98" s="319">
        <v>0.26</v>
      </c>
      <c r="O98" s="318">
        <f>IFERROR(_xlfn.LET(_xlpm.boxType, J98, _xlpm.tallos, M98, _xlpm.cost, N98, _xlpm.precio, P98,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98" s="324">
        <v>1.19</v>
      </c>
      <c r="Q98" s="319" t="s">
        <v>727</v>
      </c>
      <c r="R98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98" s="319">
        <v>0.26</v>
      </c>
      <c r="T98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98" s="321">
        <v>0.69</v>
      </c>
    </row>
    <row r="99" spans="1:21" x14ac:dyDescent="0.25">
      <c r="A99" s="304" t="s">
        <v>41</v>
      </c>
      <c r="B99" s="305">
        <f>_xlfn.XLOOKUP(Catalogo[[#This Row],[Finca]], Fincas[Nombre], Fincas[ID])</f>
        <v>38</v>
      </c>
      <c r="C99" s="304" t="s">
        <v>675</v>
      </c>
      <c r="D99" s="304" t="s">
        <v>755</v>
      </c>
      <c r="E99" s="304"/>
      <c r="F99" s="304" t="s">
        <v>610</v>
      </c>
      <c r="G99" s="304"/>
      <c r="H99" s="338" t="s">
        <v>242</v>
      </c>
      <c r="I99" s="336"/>
      <c r="J99" s="305" t="s">
        <v>32</v>
      </c>
      <c r="K9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99" s="306" t="s">
        <v>737</v>
      </c>
      <c r="M99" s="306">
        <v>50</v>
      </c>
      <c r="N99" s="303">
        <v>0.36</v>
      </c>
      <c r="O99" s="307">
        <f>IFERROR(_xlfn.LET(_xlpm.boxType, J99, _xlpm.tallos, M99, _xlpm.cost, N99, _xlpm.precio, P99,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99" s="323">
        <v>1.49</v>
      </c>
      <c r="Q99" s="303" t="s">
        <v>725</v>
      </c>
      <c r="R9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99" s="303">
        <v>0.36</v>
      </c>
      <c r="T9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99" s="301">
        <v>0.85</v>
      </c>
    </row>
    <row r="100" spans="1:21" x14ac:dyDescent="0.25">
      <c r="A100" s="304" t="s">
        <v>41</v>
      </c>
      <c r="B100" s="305">
        <f>_xlfn.XLOOKUP(Catalogo[[#This Row],[Finca]], Fincas[Nombre], Fincas[ID])</f>
        <v>38</v>
      </c>
      <c r="C100" s="304" t="s">
        <v>675</v>
      </c>
      <c r="D100" s="304" t="s">
        <v>755</v>
      </c>
      <c r="E100" s="304"/>
      <c r="F100" s="304" t="s">
        <v>610</v>
      </c>
      <c r="G100" s="304"/>
      <c r="H100" s="338" t="s">
        <v>242</v>
      </c>
      <c r="I100" s="336"/>
      <c r="J100" s="305" t="s">
        <v>33</v>
      </c>
      <c r="K10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00" s="306" t="s">
        <v>738</v>
      </c>
      <c r="M100" s="306">
        <v>125</v>
      </c>
      <c r="N100" s="303">
        <v>0.36</v>
      </c>
      <c r="O100" s="307">
        <f>IFERROR(_xlfn.LET(_xlpm.boxType, J100, _xlpm.tallos, M100, _xlpm.cost, N100, _xlpm.precio, P100,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100" s="323">
        <v>1.39</v>
      </c>
      <c r="Q100" s="303" t="s">
        <v>726</v>
      </c>
      <c r="R10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00" s="303">
        <v>0.36</v>
      </c>
      <c r="T10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00" s="301">
        <v>0.79</v>
      </c>
    </row>
    <row r="101" spans="1:21" ht="15.75" thickBot="1" x14ac:dyDescent="0.3">
      <c r="A101" s="304" t="s">
        <v>41</v>
      </c>
      <c r="B101" s="305">
        <f>_xlfn.XLOOKUP(Catalogo[[#This Row],[Finca]], Fincas[Nombre], Fincas[ID])</f>
        <v>38</v>
      </c>
      <c r="C101" s="304" t="s">
        <v>675</v>
      </c>
      <c r="D101" s="304" t="s">
        <v>755</v>
      </c>
      <c r="E101" s="304"/>
      <c r="F101" s="304" t="s">
        <v>610</v>
      </c>
      <c r="G101" s="304"/>
      <c r="H101" s="338" t="s">
        <v>242</v>
      </c>
      <c r="I101" s="336"/>
      <c r="J101" s="305" t="s">
        <v>43</v>
      </c>
      <c r="K10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01" s="306" t="s">
        <v>342</v>
      </c>
      <c r="M101" s="306">
        <v>250</v>
      </c>
      <c r="N101" s="303">
        <v>0.36</v>
      </c>
      <c r="O101" s="307">
        <f>IFERROR(_xlfn.LET(_xlpm.boxType, J101, _xlpm.tallos, M101, _xlpm.cost, N101, _xlpm.precio, P101,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101" s="323">
        <v>1.39</v>
      </c>
      <c r="Q101" s="303" t="s">
        <v>727</v>
      </c>
      <c r="R10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01" s="303">
        <v>0.36</v>
      </c>
      <c r="T10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01" s="301">
        <v>0.79</v>
      </c>
    </row>
    <row r="102" spans="1:21" x14ac:dyDescent="0.25">
      <c r="A102" s="308" t="s">
        <v>41</v>
      </c>
      <c r="B102" s="309">
        <f>_xlfn.XLOOKUP(Catalogo[[#This Row],[Finca]], Fincas[Nombre], Fincas[ID])</f>
        <v>38</v>
      </c>
      <c r="C102" s="308" t="s">
        <v>675</v>
      </c>
      <c r="D102" s="308" t="s">
        <v>755</v>
      </c>
      <c r="E102" s="308"/>
      <c r="F102" s="308" t="s">
        <v>610</v>
      </c>
      <c r="G102" s="308"/>
      <c r="H102" s="343" t="s">
        <v>243</v>
      </c>
      <c r="I102" s="335"/>
      <c r="J102" s="309" t="s">
        <v>32</v>
      </c>
      <c r="K102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02" s="310" t="s">
        <v>737</v>
      </c>
      <c r="M102" s="310">
        <v>50</v>
      </c>
      <c r="N102" s="312">
        <v>0.42</v>
      </c>
      <c r="O102" s="311">
        <f>IFERROR(_xlfn.LET(_xlpm.boxType, J102, _xlpm.tallos, M102, _xlpm.cost, N102, _xlpm.precio, P102,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02" s="322">
        <v>1.59</v>
      </c>
      <c r="Q102" s="312" t="s">
        <v>725</v>
      </c>
      <c r="R102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02" s="312">
        <v>0.42</v>
      </c>
      <c r="T102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102" s="314">
        <v>0.99</v>
      </c>
    </row>
    <row r="103" spans="1:21" x14ac:dyDescent="0.25">
      <c r="A103" s="304" t="s">
        <v>41</v>
      </c>
      <c r="B103" s="305">
        <f>_xlfn.XLOOKUP(Catalogo[[#This Row],[Finca]], Fincas[Nombre], Fincas[ID])</f>
        <v>38</v>
      </c>
      <c r="C103" s="304" t="s">
        <v>675</v>
      </c>
      <c r="D103" s="304" t="s">
        <v>755</v>
      </c>
      <c r="E103" s="304"/>
      <c r="F103" s="304" t="s">
        <v>610</v>
      </c>
      <c r="G103" s="304"/>
      <c r="H103" s="338" t="s">
        <v>243</v>
      </c>
      <c r="I103" s="336"/>
      <c r="J103" s="305" t="s">
        <v>33</v>
      </c>
      <c r="K10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03" s="306" t="s">
        <v>738</v>
      </c>
      <c r="M103" s="306">
        <v>100</v>
      </c>
      <c r="N103" s="303">
        <v>0.42</v>
      </c>
      <c r="O103" s="307">
        <f>IFERROR(_xlfn.LET(_xlpm.boxType, J103, _xlpm.tallos, M103, _xlpm.cost, N103, _xlpm.precio, P103,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103" s="323">
        <v>1.59</v>
      </c>
      <c r="Q103" s="303" t="s">
        <v>726</v>
      </c>
      <c r="R10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03" s="303">
        <v>0.42</v>
      </c>
      <c r="T10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03" s="301">
        <v>0.89</v>
      </c>
    </row>
    <row r="104" spans="1:21" ht="15.75" thickBot="1" x14ac:dyDescent="0.3">
      <c r="A104" s="315" t="s">
        <v>41</v>
      </c>
      <c r="B104" s="316">
        <f>_xlfn.XLOOKUP(Catalogo[[#This Row],[Finca]], Fincas[Nombre], Fincas[ID])</f>
        <v>38</v>
      </c>
      <c r="C104" s="315" t="s">
        <v>675</v>
      </c>
      <c r="D104" s="315" t="s">
        <v>755</v>
      </c>
      <c r="E104" s="315"/>
      <c r="F104" s="315" t="s">
        <v>610</v>
      </c>
      <c r="G104" s="315"/>
      <c r="H104" s="344" t="s">
        <v>243</v>
      </c>
      <c r="I104" s="337"/>
      <c r="J104" s="316" t="s">
        <v>43</v>
      </c>
      <c r="K104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04" s="317" t="s">
        <v>342</v>
      </c>
      <c r="M104" s="317">
        <v>200</v>
      </c>
      <c r="N104" s="319">
        <v>0.42</v>
      </c>
      <c r="O104" s="318">
        <f>IFERROR(_xlfn.LET(_xlpm.boxType, J104, _xlpm.tallos, M104, _xlpm.cost, N104, _xlpm.precio, P104,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04" s="324">
        <v>1.59</v>
      </c>
      <c r="Q104" s="319" t="s">
        <v>727</v>
      </c>
      <c r="R104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04" s="319">
        <v>0.42</v>
      </c>
      <c r="T104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04" s="321">
        <v>0.89</v>
      </c>
    </row>
    <row r="105" spans="1:21" x14ac:dyDescent="0.25">
      <c r="A105" s="308" t="s">
        <v>41</v>
      </c>
      <c r="B105" s="309">
        <f>_xlfn.XLOOKUP(Catalogo[[#This Row],[Finca]], Fincas[Nombre], Fincas[ID])</f>
        <v>38</v>
      </c>
      <c r="C105" s="308" t="s">
        <v>675</v>
      </c>
      <c r="D105" s="308" t="s">
        <v>756</v>
      </c>
      <c r="E105" s="308"/>
      <c r="F105" s="308" t="s">
        <v>610</v>
      </c>
      <c r="G105" s="308"/>
      <c r="H105" s="343" t="s">
        <v>241</v>
      </c>
      <c r="I105" s="335"/>
      <c r="J105" s="309" t="s">
        <v>32</v>
      </c>
      <c r="K105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05" s="310" t="s">
        <v>737</v>
      </c>
      <c r="M105" s="310">
        <v>50</v>
      </c>
      <c r="N105" s="312">
        <v>0.26</v>
      </c>
      <c r="O105" s="311">
        <f>IFERROR(_xlfn.LET(_xlpm.boxType, J105, _xlpm.tallos, M105, _xlpm.cost, N105, _xlpm.precio, P105,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105" s="322">
        <v>1.29</v>
      </c>
      <c r="Q105" s="312" t="s">
        <v>725</v>
      </c>
      <c r="R105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05" s="312">
        <v>0.26</v>
      </c>
      <c r="T105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105" s="314">
        <v>0.75</v>
      </c>
    </row>
    <row r="106" spans="1:21" x14ac:dyDescent="0.25">
      <c r="A106" s="304" t="s">
        <v>41</v>
      </c>
      <c r="B106" s="305">
        <f>_xlfn.XLOOKUP(Catalogo[[#This Row],[Finca]], Fincas[Nombre], Fincas[ID])</f>
        <v>38</v>
      </c>
      <c r="C106" s="304" t="s">
        <v>675</v>
      </c>
      <c r="D106" s="304" t="s">
        <v>756</v>
      </c>
      <c r="E106" s="304"/>
      <c r="F106" s="304" t="s">
        <v>610</v>
      </c>
      <c r="G106" s="304"/>
      <c r="H106" s="338" t="s">
        <v>241</v>
      </c>
      <c r="I106" s="336"/>
      <c r="J106" s="305" t="s">
        <v>33</v>
      </c>
      <c r="K10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06" s="306" t="s">
        <v>738</v>
      </c>
      <c r="M106" s="306">
        <v>150</v>
      </c>
      <c r="N106" s="303">
        <v>0.26</v>
      </c>
      <c r="O106" s="307">
        <f>IFERROR(_xlfn.LET(_xlpm.boxType, J106, _xlpm.tallos, M106, _xlpm.cost, N106, _xlpm.precio, P106,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106" s="323">
        <v>1.19</v>
      </c>
      <c r="Q106" s="303" t="s">
        <v>726</v>
      </c>
      <c r="R10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06" s="303">
        <v>0.26</v>
      </c>
      <c r="T10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06" s="301">
        <v>0.69</v>
      </c>
    </row>
    <row r="107" spans="1:21" ht="15.75" thickBot="1" x14ac:dyDescent="0.3">
      <c r="A107" s="315" t="s">
        <v>41</v>
      </c>
      <c r="B107" s="316">
        <f>_xlfn.XLOOKUP(Catalogo[[#This Row],[Finca]], Fincas[Nombre], Fincas[ID])</f>
        <v>38</v>
      </c>
      <c r="C107" s="315" t="s">
        <v>675</v>
      </c>
      <c r="D107" s="315" t="s">
        <v>756</v>
      </c>
      <c r="E107" s="315"/>
      <c r="F107" s="315" t="s">
        <v>610</v>
      </c>
      <c r="G107" s="315"/>
      <c r="H107" s="344" t="s">
        <v>241</v>
      </c>
      <c r="I107" s="337"/>
      <c r="J107" s="316" t="s">
        <v>43</v>
      </c>
      <c r="K107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07" s="317" t="s">
        <v>342</v>
      </c>
      <c r="M107" s="317">
        <v>300</v>
      </c>
      <c r="N107" s="319">
        <v>0.26</v>
      </c>
      <c r="O107" s="318">
        <f>IFERROR(_xlfn.LET(_xlpm.boxType, J107, _xlpm.tallos, M107, _xlpm.cost, N107, _xlpm.precio, P107,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107" s="324">
        <v>1.19</v>
      </c>
      <c r="Q107" s="319" t="s">
        <v>727</v>
      </c>
      <c r="R107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07" s="319">
        <v>0.26</v>
      </c>
      <c r="T107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07" s="321">
        <v>0.69</v>
      </c>
    </row>
    <row r="108" spans="1:21" x14ac:dyDescent="0.25">
      <c r="A108" s="304" t="s">
        <v>41</v>
      </c>
      <c r="B108" s="305">
        <f>_xlfn.XLOOKUP(Catalogo[[#This Row],[Finca]], Fincas[Nombre], Fincas[ID])</f>
        <v>38</v>
      </c>
      <c r="C108" s="304" t="s">
        <v>675</v>
      </c>
      <c r="D108" s="304" t="s">
        <v>756</v>
      </c>
      <c r="E108" s="304"/>
      <c r="F108" s="304" t="s">
        <v>610</v>
      </c>
      <c r="G108" s="304"/>
      <c r="H108" s="338" t="s">
        <v>242</v>
      </c>
      <c r="I108" s="336"/>
      <c r="J108" s="305" t="s">
        <v>32</v>
      </c>
      <c r="K10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08" s="306" t="s">
        <v>737</v>
      </c>
      <c r="M108" s="306">
        <v>50</v>
      </c>
      <c r="N108" s="303">
        <v>0.36</v>
      </c>
      <c r="O108" s="307">
        <f>IFERROR(_xlfn.LET(_xlpm.boxType, J108, _xlpm.tallos, M108, _xlpm.cost, N108, _xlpm.precio, P108,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108" s="323">
        <v>1.49</v>
      </c>
      <c r="Q108" s="303" t="s">
        <v>725</v>
      </c>
      <c r="R10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08" s="303">
        <v>0.36</v>
      </c>
      <c r="T10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108" s="301">
        <v>0.85</v>
      </c>
    </row>
    <row r="109" spans="1:21" x14ac:dyDescent="0.25">
      <c r="A109" s="304" t="s">
        <v>41</v>
      </c>
      <c r="B109" s="305">
        <f>_xlfn.XLOOKUP(Catalogo[[#This Row],[Finca]], Fincas[Nombre], Fincas[ID])</f>
        <v>38</v>
      </c>
      <c r="C109" s="304" t="s">
        <v>675</v>
      </c>
      <c r="D109" s="304" t="s">
        <v>756</v>
      </c>
      <c r="E109" s="304"/>
      <c r="F109" s="304" t="s">
        <v>610</v>
      </c>
      <c r="G109" s="304"/>
      <c r="H109" s="338" t="s">
        <v>242</v>
      </c>
      <c r="I109" s="336"/>
      <c r="J109" s="305" t="s">
        <v>33</v>
      </c>
      <c r="K10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09" s="306" t="s">
        <v>738</v>
      </c>
      <c r="M109" s="306">
        <v>125</v>
      </c>
      <c r="N109" s="303">
        <v>0.36</v>
      </c>
      <c r="O109" s="307">
        <f>IFERROR(_xlfn.LET(_xlpm.boxType, J109, _xlpm.tallos, M109, _xlpm.cost, N109, _xlpm.precio, P109,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109" s="323">
        <v>1.39</v>
      </c>
      <c r="Q109" s="303" t="s">
        <v>726</v>
      </c>
      <c r="R10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09" s="303">
        <v>0.36</v>
      </c>
      <c r="T10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09" s="301">
        <v>0.79</v>
      </c>
    </row>
    <row r="110" spans="1:21" ht="15.75" thickBot="1" x14ac:dyDescent="0.3">
      <c r="A110" s="304" t="s">
        <v>41</v>
      </c>
      <c r="B110" s="305">
        <f>_xlfn.XLOOKUP(Catalogo[[#This Row],[Finca]], Fincas[Nombre], Fincas[ID])</f>
        <v>38</v>
      </c>
      <c r="C110" s="304" t="s">
        <v>675</v>
      </c>
      <c r="D110" s="304" t="s">
        <v>756</v>
      </c>
      <c r="E110" s="304"/>
      <c r="F110" s="304" t="s">
        <v>610</v>
      </c>
      <c r="G110" s="304"/>
      <c r="H110" s="338" t="s">
        <v>242</v>
      </c>
      <c r="I110" s="336"/>
      <c r="J110" s="305" t="s">
        <v>43</v>
      </c>
      <c r="K11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10" s="306" t="s">
        <v>342</v>
      </c>
      <c r="M110" s="306">
        <v>250</v>
      </c>
      <c r="N110" s="303">
        <v>0.36</v>
      </c>
      <c r="O110" s="307">
        <f>IFERROR(_xlfn.LET(_xlpm.boxType, J110, _xlpm.tallos, M110, _xlpm.cost, N110, _xlpm.precio, P110,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110" s="323">
        <v>1.39</v>
      </c>
      <c r="Q110" s="303" t="s">
        <v>727</v>
      </c>
      <c r="R11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10" s="303">
        <v>0.36</v>
      </c>
      <c r="T11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10" s="301">
        <v>0.79</v>
      </c>
    </row>
    <row r="111" spans="1:21" x14ac:dyDescent="0.25">
      <c r="A111" s="308" t="s">
        <v>41</v>
      </c>
      <c r="B111" s="309">
        <f>_xlfn.XLOOKUP(Catalogo[[#This Row],[Finca]], Fincas[Nombre], Fincas[ID])</f>
        <v>38</v>
      </c>
      <c r="C111" s="308" t="s">
        <v>675</v>
      </c>
      <c r="D111" s="308" t="s">
        <v>756</v>
      </c>
      <c r="E111" s="308"/>
      <c r="F111" s="308" t="s">
        <v>610</v>
      </c>
      <c r="G111" s="308"/>
      <c r="H111" s="343" t="s">
        <v>243</v>
      </c>
      <c r="I111" s="335"/>
      <c r="J111" s="309" t="s">
        <v>32</v>
      </c>
      <c r="K111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11" s="310" t="s">
        <v>737</v>
      </c>
      <c r="M111" s="310">
        <v>50</v>
      </c>
      <c r="N111" s="312">
        <v>0.42</v>
      </c>
      <c r="O111" s="311">
        <f>IFERROR(_xlfn.LET(_xlpm.boxType, J111, _xlpm.tallos, M111, _xlpm.cost, N111, _xlpm.precio, P111,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11" s="322">
        <v>1.59</v>
      </c>
      <c r="Q111" s="312" t="s">
        <v>725</v>
      </c>
      <c r="R111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11" s="312">
        <v>0.42</v>
      </c>
      <c r="T111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111" s="314">
        <v>0.99</v>
      </c>
    </row>
    <row r="112" spans="1:21" x14ac:dyDescent="0.25">
      <c r="A112" s="304" t="s">
        <v>41</v>
      </c>
      <c r="B112" s="305">
        <f>_xlfn.XLOOKUP(Catalogo[[#This Row],[Finca]], Fincas[Nombre], Fincas[ID])</f>
        <v>38</v>
      </c>
      <c r="C112" s="304" t="s">
        <v>675</v>
      </c>
      <c r="D112" s="304" t="s">
        <v>756</v>
      </c>
      <c r="E112" s="304"/>
      <c r="F112" s="304" t="s">
        <v>610</v>
      </c>
      <c r="G112" s="304"/>
      <c r="H112" s="338" t="s">
        <v>243</v>
      </c>
      <c r="I112" s="336"/>
      <c r="J112" s="305" t="s">
        <v>33</v>
      </c>
      <c r="K11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12" s="306" t="s">
        <v>738</v>
      </c>
      <c r="M112" s="306">
        <v>100</v>
      </c>
      <c r="N112" s="303">
        <v>0.42</v>
      </c>
      <c r="O112" s="307">
        <f>IFERROR(_xlfn.LET(_xlpm.boxType, J112, _xlpm.tallos, M112, _xlpm.cost, N112, _xlpm.precio, P112,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112" s="323">
        <v>1.59</v>
      </c>
      <c r="Q112" s="303" t="s">
        <v>726</v>
      </c>
      <c r="R11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12" s="303">
        <v>0.42</v>
      </c>
      <c r="T11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12" s="301">
        <v>0.89</v>
      </c>
    </row>
    <row r="113" spans="1:21" ht="15.75" thickBot="1" x14ac:dyDescent="0.3">
      <c r="A113" s="315" t="s">
        <v>41</v>
      </c>
      <c r="B113" s="316">
        <f>_xlfn.XLOOKUP(Catalogo[[#This Row],[Finca]], Fincas[Nombre], Fincas[ID])</f>
        <v>38</v>
      </c>
      <c r="C113" s="315" t="s">
        <v>675</v>
      </c>
      <c r="D113" s="315" t="s">
        <v>756</v>
      </c>
      <c r="E113" s="315"/>
      <c r="F113" s="315" t="s">
        <v>610</v>
      </c>
      <c r="G113" s="315"/>
      <c r="H113" s="344" t="s">
        <v>243</v>
      </c>
      <c r="I113" s="337"/>
      <c r="J113" s="316" t="s">
        <v>43</v>
      </c>
      <c r="K113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13" s="317" t="s">
        <v>342</v>
      </c>
      <c r="M113" s="317">
        <v>200</v>
      </c>
      <c r="N113" s="319">
        <v>0.42</v>
      </c>
      <c r="O113" s="318">
        <f>IFERROR(_xlfn.LET(_xlpm.boxType, J113, _xlpm.tallos, M113, _xlpm.cost, N113, _xlpm.precio, P113,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13" s="324">
        <v>1.59</v>
      </c>
      <c r="Q113" s="319" t="s">
        <v>727</v>
      </c>
      <c r="R113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13" s="319">
        <v>0.42</v>
      </c>
      <c r="T113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13" s="321">
        <v>0.89</v>
      </c>
    </row>
    <row r="114" spans="1:21" x14ac:dyDescent="0.25">
      <c r="A114" s="308" t="s">
        <v>41</v>
      </c>
      <c r="B114" s="309">
        <f>_xlfn.XLOOKUP(Catalogo[[#This Row],[Finca]], Fincas[Nombre], Fincas[ID])</f>
        <v>38</v>
      </c>
      <c r="C114" s="308" t="s">
        <v>675</v>
      </c>
      <c r="D114" s="308" t="s">
        <v>757</v>
      </c>
      <c r="E114" s="308"/>
      <c r="F114" s="308" t="s">
        <v>615</v>
      </c>
      <c r="G114" s="308" t="s">
        <v>611</v>
      </c>
      <c r="H114" s="343" t="s">
        <v>241</v>
      </c>
      <c r="I114" s="335"/>
      <c r="J114" s="309" t="s">
        <v>32</v>
      </c>
      <c r="K114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14" s="310" t="s">
        <v>737</v>
      </c>
      <c r="M114" s="310">
        <v>50</v>
      </c>
      <c r="N114" s="312">
        <v>0.26</v>
      </c>
      <c r="O114" s="311">
        <f>IFERROR(_xlfn.LET(_xlpm.boxType, J114, _xlpm.tallos, M114, _xlpm.cost, N114, _xlpm.precio, P114,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114" s="322">
        <v>1.29</v>
      </c>
      <c r="Q114" s="312" t="s">
        <v>725</v>
      </c>
      <c r="R114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14" s="312">
        <v>0.26</v>
      </c>
      <c r="T114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114" s="314">
        <v>0.75</v>
      </c>
    </row>
    <row r="115" spans="1:21" x14ac:dyDescent="0.25">
      <c r="A115" s="304" t="s">
        <v>41</v>
      </c>
      <c r="B115" s="305">
        <f>_xlfn.XLOOKUP(Catalogo[[#This Row],[Finca]], Fincas[Nombre], Fincas[ID])</f>
        <v>38</v>
      </c>
      <c r="C115" s="304" t="s">
        <v>675</v>
      </c>
      <c r="D115" s="304" t="s">
        <v>757</v>
      </c>
      <c r="E115" s="304"/>
      <c r="F115" s="304" t="s">
        <v>615</v>
      </c>
      <c r="G115" s="304" t="s">
        <v>611</v>
      </c>
      <c r="H115" s="338" t="s">
        <v>241</v>
      </c>
      <c r="I115" s="336"/>
      <c r="J115" s="305" t="s">
        <v>33</v>
      </c>
      <c r="K11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15" s="306" t="s">
        <v>738</v>
      </c>
      <c r="M115" s="306">
        <v>150</v>
      </c>
      <c r="N115" s="303">
        <v>0.26</v>
      </c>
      <c r="O115" s="307">
        <f>IFERROR(_xlfn.LET(_xlpm.boxType, J115, _xlpm.tallos, M115, _xlpm.cost, N115, _xlpm.precio, P115,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115" s="323">
        <v>1.19</v>
      </c>
      <c r="Q115" s="303" t="s">
        <v>726</v>
      </c>
      <c r="R11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15" s="303">
        <v>0.26</v>
      </c>
      <c r="T11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15" s="301">
        <v>0.69</v>
      </c>
    </row>
    <row r="116" spans="1:21" ht="15.75" thickBot="1" x14ac:dyDescent="0.3">
      <c r="A116" s="315" t="s">
        <v>41</v>
      </c>
      <c r="B116" s="316">
        <f>_xlfn.XLOOKUP(Catalogo[[#This Row],[Finca]], Fincas[Nombre], Fincas[ID])</f>
        <v>38</v>
      </c>
      <c r="C116" s="315" t="s">
        <v>675</v>
      </c>
      <c r="D116" s="315" t="s">
        <v>757</v>
      </c>
      <c r="E116" s="315"/>
      <c r="F116" s="315" t="s">
        <v>615</v>
      </c>
      <c r="G116" s="315" t="s">
        <v>611</v>
      </c>
      <c r="H116" s="344" t="s">
        <v>241</v>
      </c>
      <c r="I116" s="337"/>
      <c r="J116" s="316" t="s">
        <v>43</v>
      </c>
      <c r="K11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16" s="317" t="s">
        <v>342</v>
      </c>
      <c r="M116" s="317">
        <v>300</v>
      </c>
      <c r="N116" s="319">
        <v>0.26</v>
      </c>
      <c r="O116" s="318">
        <f>IFERROR(_xlfn.LET(_xlpm.boxType, J116, _xlpm.tallos, M116, _xlpm.cost, N116, _xlpm.precio, P116,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116" s="324">
        <v>1.19</v>
      </c>
      <c r="Q116" s="319" t="s">
        <v>727</v>
      </c>
      <c r="R11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16" s="319">
        <v>0.26</v>
      </c>
      <c r="T11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16" s="321">
        <v>0.69</v>
      </c>
    </row>
    <row r="117" spans="1:21" x14ac:dyDescent="0.25">
      <c r="A117" s="304" t="s">
        <v>41</v>
      </c>
      <c r="B117" s="305">
        <f>_xlfn.XLOOKUP(Catalogo[[#This Row],[Finca]], Fincas[Nombre], Fincas[ID])</f>
        <v>38</v>
      </c>
      <c r="C117" s="304" t="s">
        <v>675</v>
      </c>
      <c r="D117" s="304" t="s">
        <v>757</v>
      </c>
      <c r="E117" s="304"/>
      <c r="F117" s="304" t="s">
        <v>615</v>
      </c>
      <c r="G117" s="304" t="s">
        <v>611</v>
      </c>
      <c r="H117" s="338" t="s">
        <v>242</v>
      </c>
      <c r="I117" s="336"/>
      <c r="J117" s="305" t="s">
        <v>32</v>
      </c>
      <c r="K11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17" s="306" t="s">
        <v>737</v>
      </c>
      <c r="M117" s="306">
        <v>50</v>
      </c>
      <c r="N117" s="303">
        <v>0.36</v>
      </c>
      <c r="O117" s="307">
        <f>IFERROR(_xlfn.LET(_xlpm.boxType, J117, _xlpm.tallos, M117, _xlpm.cost, N117, _xlpm.precio, P117,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117" s="323">
        <v>1.49</v>
      </c>
      <c r="Q117" s="303" t="s">
        <v>725</v>
      </c>
      <c r="R11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17" s="303">
        <v>0.36</v>
      </c>
      <c r="T11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117" s="301">
        <v>0.85</v>
      </c>
    </row>
    <row r="118" spans="1:21" x14ac:dyDescent="0.25">
      <c r="A118" s="304" t="s">
        <v>41</v>
      </c>
      <c r="B118" s="305">
        <f>_xlfn.XLOOKUP(Catalogo[[#This Row],[Finca]], Fincas[Nombre], Fincas[ID])</f>
        <v>38</v>
      </c>
      <c r="C118" s="304" t="s">
        <v>675</v>
      </c>
      <c r="D118" s="304" t="s">
        <v>757</v>
      </c>
      <c r="E118" s="304"/>
      <c r="F118" s="304" t="s">
        <v>615</v>
      </c>
      <c r="G118" s="304" t="s">
        <v>611</v>
      </c>
      <c r="H118" s="338" t="s">
        <v>242</v>
      </c>
      <c r="I118" s="336"/>
      <c r="J118" s="305" t="s">
        <v>33</v>
      </c>
      <c r="K11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18" s="306" t="s">
        <v>738</v>
      </c>
      <c r="M118" s="306">
        <v>125</v>
      </c>
      <c r="N118" s="303">
        <v>0.36</v>
      </c>
      <c r="O118" s="307">
        <f>IFERROR(_xlfn.LET(_xlpm.boxType, J118, _xlpm.tallos, M118, _xlpm.cost, N118, _xlpm.precio, P118,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118" s="323">
        <v>1.39</v>
      </c>
      <c r="Q118" s="303" t="s">
        <v>726</v>
      </c>
      <c r="R11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18" s="303">
        <v>0.36</v>
      </c>
      <c r="T11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18" s="301">
        <v>0.79</v>
      </c>
    </row>
    <row r="119" spans="1:21" ht="15.75" thickBot="1" x14ac:dyDescent="0.3">
      <c r="A119" s="304" t="s">
        <v>41</v>
      </c>
      <c r="B119" s="305">
        <f>_xlfn.XLOOKUP(Catalogo[[#This Row],[Finca]], Fincas[Nombre], Fincas[ID])</f>
        <v>38</v>
      </c>
      <c r="C119" s="304" t="s">
        <v>675</v>
      </c>
      <c r="D119" s="304" t="s">
        <v>757</v>
      </c>
      <c r="E119" s="304"/>
      <c r="F119" s="304" t="s">
        <v>615</v>
      </c>
      <c r="G119" s="304" t="s">
        <v>611</v>
      </c>
      <c r="H119" s="338" t="s">
        <v>242</v>
      </c>
      <c r="I119" s="336"/>
      <c r="J119" s="305" t="s">
        <v>43</v>
      </c>
      <c r="K11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19" s="306" t="s">
        <v>342</v>
      </c>
      <c r="M119" s="306">
        <v>250</v>
      </c>
      <c r="N119" s="303">
        <v>0.36</v>
      </c>
      <c r="O119" s="307">
        <f>IFERROR(_xlfn.LET(_xlpm.boxType, J119, _xlpm.tallos, M119, _xlpm.cost, N119, _xlpm.precio, P119,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119" s="323">
        <v>1.39</v>
      </c>
      <c r="Q119" s="303" t="s">
        <v>727</v>
      </c>
      <c r="R11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19" s="303">
        <v>0.36</v>
      </c>
      <c r="T11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19" s="301">
        <v>0.79</v>
      </c>
    </row>
    <row r="120" spans="1:21" x14ac:dyDescent="0.25">
      <c r="A120" s="308" t="s">
        <v>41</v>
      </c>
      <c r="B120" s="309">
        <f>_xlfn.XLOOKUP(Catalogo[[#This Row],[Finca]], Fincas[Nombre], Fincas[ID])</f>
        <v>38</v>
      </c>
      <c r="C120" s="308" t="s">
        <v>675</v>
      </c>
      <c r="D120" s="308" t="s">
        <v>757</v>
      </c>
      <c r="E120" s="308"/>
      <c r="F120" s="308" t="s">
        <v>615</v>
      </c>
      <c r="G120" s="308" t="s">
        <v>611</v>
      </c>
      <c r="H120" s="343" t="s">
        <v>243</v>
      </c>
      <c r="I120" s="335"/>
      <c r="J120" s="309" t="s">
        <v>32</v>
      </c>
      <c r="K120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20" s="310" t="s">
        <v>737</v>
      </c>
      <c r="M120" s="310">
        <v>50</v>
      </c>
      <c r="N120" s="312">
        <v>0.42</v>
      </c>
      <c r="O120" s="311">
        <f>IFERROR(_xlfn.LET(_xlpm.boxType, J120, _xlpm.tallos, M120, _xlpm.cost, N120, _xlpm.precio, P120,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20" s="322">
        <v>1.59</v>
      </c>
      <c r="Q120" s="312" t="s">
        <v>725</v>
      </c>
      <c r="R120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20" s="312">
        <v>0.42</v>
      </c>
      <c r="T120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120" s="314">
        <v>0.99</v>
      </c>
    </row>
    <row r="121" spans="1:21" x14ac:dyDescent="0.25">
      <c r="A121" s="304" t="s">
        <v>41</v>
      </c>
      <c r="B121" s="305">
        <f>_xlfn.XLOOKUP(Catalogo[[#This Row],[Finca]], Fincas[Nombre], Fincas[ID])</f>
        <v>38</v>
      </c>
      <c r="C121" s="304" t="s">
        <v>675</v>
      </c>
      <c r="D121" s="304" t="s">
        <v>757</v>
      </c>
      <c r="E121" s="304"/>
      <c r="F121" s="304" t="s">
        <v>615</v>
      </c>
      <c r="G121" s="304" t="s">
        <v>611</v>
      </c>
      <c r="H121" s="338" t="s">
        <v>243</v>
      </c>
      <c r="I121" s="336"/>
      <c r="J121" s="305" t="s">
        <v>33</v>
      </c>
      <c r="K12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21" s="306" t="s">
        <v>738</v>
      </c>
      <c r="M121" s="306">
        <v>100</v>
      </c>
      <c r="N121" s="303">
        <v>0.42</v>
      </c>
      <c r="O121" s="307">
        <f>IFERROR(_xlfn.LET(_xlpm.boxType, J121, _xlpm.tallos, M121, _xlpm.cost, N121, _xlpm.precio, P121,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121" s="323">
        <v>1.59</v>
      </c>
      <c r="Q121" s="303" t="s">
        <v>726</v>
      </c>
      <c r="R12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21" s="303">
        <v>0.42</v>
      </c>
      <c r="T12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21" s="301">
        <v>0.89</v>
      </c>
    </row>
    <row r="122" spans="1:21" ht="15.75" thickBot="1" x14ac:dyDescent="0.3">
      <c r="A122" s="315" t="s">
        <v>41</v>
      </c>
      <c r="B122" s="316">
        <f>_xlfn.XLOOKUP(Catalogo[[#This Row],[Finca]], Fincas[Nombre], Fincas[ID])</f>
        <v>38</v>
      </c>
      <c r="C122" s="315" t="s">
        <v>675</v>
      </c>
      <c r="D122" s="315" t="s">
        <v>757</v>
      </c>
      <c r="E122" s="315"/>
      <c r="F122" s="315" t="s">
        <v>615</v>
      </c>
      <c r="G122" s="315" t="s">
        <v>611</v>
      </c>
      <c r="H122" s="344" t="s">
        <v>243</v>
      </c>
      <c r="I122" s="337"/>
      <c r="J122" s="316" t="s">
        <v>43</v>
      </c>
      <c r="K12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22" s="317" t="s">
        <v>342</v>
      </c>
      <c r="M122" s="317">
        <v>200</v>
      </c>
      <c r="N122" s="319">
        <v>0.42</v>
      </c>
      <c r="O122" s="318">
        <f>IFERROR(_xlfn.LET(_xlpm.boxType, J122, _xlpm.tallos, M122, _xlpm.cost, N122, _xlpm.precio, P122,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22" s="324">
        <v>1.59</v>
      </c>
      <c r="Q122" s="319" t="s">
        <v>727</v>
      </c>
      <c r="R12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22" s="319">
        <v>0.42</v>
      </c>
      <c r="T12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22" s="321">
        <v>0.89</v>
      </c>
    </row>
    <row r="123" spans="1:21" x14ac:dyDescent="0.25">
      <c r="A123" s="308" t="s">
        <v>41</v>
      </c>
      <c r="B123" s="309">
        <f>_xlfn.XLOOKUP(Catalogo[[#This Row],[Finca]], Fincas[Nombre], Fincas[ID])</f>
        <v>38</v>
      </c>
      <c r="C123" s="308" t="s">
        <v>675</v>
      </c>
      <c r="D123" s="308" t="s">
        <v>758</v>
      </c>
      <c r="E123" s="308"/>
      <c r="F123" s="308" t="s">
        <v>616</v>
      </c>
      <c r="G123" s="308"/>
      <c r="H123" s="343" t="s">
        <v>241</v>
      </c>
      <c r="I123" s="335"/>
      <c r="J123" s="309" t="s">
        <v>32</v>
      </c>
      <c r="K123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23" s="310" t="s">
        <v>737</v>
      </c>
      <c r="M123" s="310">
        <v>50</v>
      </c>
      <c r="N123" s="312">
        <v>0.26</v>
      </c>
      <c r="O123" s="311">
        <f>IFERROR(_xlfn.LET(_xlpm.boxType, J123, _xlpm.tallos, M123, _xlpm.cost, N123, _xlpm.precio, P123,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123" s="322">
        <v>1.29</v>
      </c>
      <c r="Q123" s="312" t="s">
        <v>725</v>
      </c>
      <c r="R123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23" s="312">
        <v>0.26</v>
      </c>
      <c r="T123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123" s="314">
        <v>0.75</v>
      </c>
    </row>
    <row r="124" spans="1:21" x14ac:dyDescent="0.25">
      <c r="A124" s="304" t="s">
        <v>41</v>
      </c>
      <c r="B124" s="305">
        <f>_xlfn.XLOOKUP(Catalogo[[#This Row],[Finca]], Fincas[Nombre], Fincas[ID])</f>
        <v>38</v>
      </c>
      <c r="C124" s="304" t="s">
        <v>675</v>
      </c>
      <c r="D124" s="304" t="s">
        <v>758</v>
      </c>
      <c r="E124" s="304"/>
      <c r="F124" s="304" t="s">
        <v>616</v>
      </c>
      <c r="G124" s="304"/>
      <c r="H124" s="338" t="s">
        <v>241</v>
      </c>
      <c r="I124" s="336"/>
      <c r="J124" s="305" t="s">
        <v>33</v>
      </c>
      <c r="K12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24" s="306" t="s">
        <v>738</v>
      </c>
      <c r="M124" s="306">
        <v>150</v>
      </c>
      <c r="N124" s="303">
        <v>0.26</v>
      </c>
      <c r="O124" s="307">
        <f>IFERROR(_xlfn.LET(_xlpm.boxType, J124, _xlpm.tallos, M124, _xlpm.cost, N124, _xlpm.precio, P124,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124" s="323">
        <v>1.19</v>
      </c>
      <c r="Q124" s="303" t="s">
        <v>726</v>
      </c>
      <c r="R12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24" s="303">
        <v>0.26</v>
      </c>
      <c r="T12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24" s="301">
        <v>0.69</v>
      </c>
    </row>
    <row r="125" spans="1:21" ht="15.75" thickBot="1" x14ac:dyDescent="0.3">
      <c r="A125" s="315" t="s">
        <v>41</v>
      </c>
      <c r="B125" s="316">
        <f>_xlfn.XLOOKUP(Catalogo[[#This Row],[Finca]], Fincas[Nombre], Fincas[ID])</f>
        <v>38</v>
      </c>
      <c r="C125" s="315" t="s">
        <v>675</v>
      </c>
      <c r="D125" s="315" t="s">
        <v>758</v>
      </c>
      <c r="E125" s="315"/>
      <c r="F125" s="315" t="s">
        <v>616</v>
      </c>
      <c r="G125" s="315"/>
      <c r="H125" s="344" t="s">
        <v>241</v>
      </c>
      <c r="I125" s="337"/>
      <c r="J125" s="316" t="s">
        <v>43</v>
      </c>
      <c r="K125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25" s="317" t="s">
        <v>342</v>
      </c>
      <c r="M125" s="317">
        <v>300</v>
      </c>
      <c r="N125" s="319">
        <v>0.26</v>
      </c>
      <c r="O125" s="318">
        <f>IFERROR(_xlfn.LET(_xlpm.boxType, J125, _xlpm.tallos, M125, _xlpm.cost, N125, _xlpm.precio, P125,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125" s="324">
        <v>1.19</v>
      </c>
      <c r="Q125" s="319" t="s">
        <v>727</v>
      </c>
      <c r="R125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25" s="319">
        <v>0.26</v>
      </c>
      <c r="T125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25" s="321">
        <v>0.69</v>
      </c>
    </row>
    <row r="126" spans="1:21" x14ac:dyDescent="0.25">
      <c r="A126" s="304" t="s">
        <v>41</v>
      </c>
      <c r="B126" s="305">
        <f>_xlfn.XLOOKUP(Catalogo[[#This Row],[Finca]], Fincas[Nombre], Fincas[ID])</f>
        <v>38</v>
      </c>
      <c r="C126" s="304" t="s">
        <v>675</v>
      </c>
      <c r="D126" s="304" t="s">
        <v>758</v>
      </c>
      <c r="E126" s="304"/>
      <c r="F126" s="304" t="s">
        <v>616</v>
      </c>
      <c r="G126" s="304"/>
      <c r="H126" s="338" t="s">
        <v>242</v>
      </c>
      <c r="I126" s="336"/>
      <c r="J126" s="305" t="s">
        <v>32</v>
      </c>
      <c r="K12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26" s="306" t="s">
        <v>737</v>
      </c>
      <c r="M126" s="306">
        <v>50</v>
      </c>
      <c r="N126" s="303">
        <v>0.36</v>
      </c>
      <c r="O126" s="307">
        <f>IFERROR(_xlfn.LET(_xlpm.boxType, J126, _xlpm.tallos, M126, _xlpm.cost, N126, _xlpm.precio, P126,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126" s="323">
        <v>1.49</v>
      </c>
      <c r="Q126" s="303" t="s">
        <v>725</v>
      </c>
      <c r="R12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26" s="303">
        <v>0.36</v>
      </c>
      <c r="T12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126" s="301">
        <v>0.85</v>
      </c>
    </row>
    <row r="127" spans="1:21" x14ac:dyDescent="0.25">
      <c r="A127" s="304" t="s">
        <v>41</v>
      </c>
      <c r="B127" s="305">
        <f>_xlfn.XLOOKUP(Catalogo[[#This Row],[Finca]], Fincas[Nombre], Fincas[ID])</f>
        <v>38</v>
      </c>
      <c r="C127" s="304" t="s">
        <v>675</v>
      </c>
      <c r="D127" s="304" t="s">
        <v>758</v>
      </c>
      <c r="E127" s="304"/>
      <c r="F127" s="304" t="s">
        <v>616</v>
      </c>
      <c r="G127" s="304"/>
      <c r="H127" s="338" t="s">
        <v>242</v>
      </c>
      <c r="I127" s="336"/>
      <c r="J127" s="305" t="s">
        <v>33</v>
      </c>
      <c r="K12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27" s="306" t="s">
        <v>738</v>
      </c>
      <c r="M127" s="306">
        <v>125</v>
      </c>
      <c r="N127" s="303">
        <v>0.36</v>
      </c>
      <c r="O127" s="307">
        <f>IFERROR(_xlfn.LET(_xlpm.boxType, J127, _xlpm.tallos, M127, _xlpm.cost, N127, _xlpm.precio, P127,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127" s="323">
        <v>1.39</v>
      </c>
      <c r="Q127" s="303" t="s">
        <v>726</v>
      </c>
      <c r="R12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27" s="303">
        <v>0.36</v>
      </c>
      <c r="T12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27" s="301">
        <v>0.79</v>
      </c>
    </row>
    <row r="128" spans="1:21" ht="15.75" thickBot="1" x14ac:dyDescent="0.3">
      <c r="A128" s="304" t="s">
        <v>41</v>
      </c>
      <c r="B128" s="305">
        <f>_xlfn.XLOOKUP(Catalogo[[#This Row],[Finca]], Fincas[Nombre], Fincas[ID])</f>
        <v>38</v>
      </c>
      <c r="C128" s="304" t="s">
        <v>675</v>
      </c>
      <c r="D128" s="304" t="s">
        <v>758</v>
      </c>
      <c r="E128" s="304"/>
      <c r="F128" s="304" t="s">
        <v>616</v>
      </c>
      <c r="G128" s="304"/>
      <c r="H128" s="338" t="s">
        <v>242</v>
      </c>
      <c r="I128" s="336"/>
      <c r="J128" s="305" t="s">
        <v>43</v>
      </c>
      <c r="K12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28" s="306" t="s">
        <v>342</v>
      </c>
      <c r="M128" s="306">
        <v>250</v>
      </c>
      <c r="N128" s="303">
        <v>0.36</v>
      </c>
      <c r="O128" s="307">
        <f>IFERROR(_xlfn.LET(_xlpm.boxType, J128, _xlpm.tallos, M128, _xlpm.cost, N128, _xlpm.precio, P128,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128" s="323">
        <v>1.39</v>
      </c>
      <c r="Q128" s="303" t="s">
        <v>727</v>
      </c>
      <c r="R12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28" s="303">
        <v>0.36</v>
      </c>
      <c r="T12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28" s="301">
        <v>0.79</v>
      </c>
    </row>
    <row r="129" spans="1:21" x14ac:dyDescent="0.25">
      <c r="A129" s="308" t="s">
        <v>41</v>
      </c>
      <c r="B129" s="309">
        <f>_xlfn.XLOOKUP(Catalogo[[#This Row],[Finca]], Fincas[Nombre], Fincas[ID])</f>
        <v>38</v>
      </c>
      <c r="C129" s="308" t="s">
        <v>675</v>
      </c>
      <c r="D129" s="308" t="s">
        <v>758</v>
      </c>
      <c r="E129" s="308"/>
      <c r="F129" s="308" t="s">
        <v>616</v>
      </c>
      <c r="G129" s="308"/>
      <c r="H129" s="343" t="s">
        <v>243</v>
      </c>
      <c r="I129" s="335"/>
      <c r="J129" s="309" t="s">
        <v>32</v>
      </c>
      <c r="K129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29" s="310" t="s">
        <v>737</v>
      </c>
      <c r="M129" s="310">
        <v>50</v>
      </c>
      <c r="N129" s="312">
        <v>0.42</v>
      </c>
      <c r="O129" s="311">
        <f>IFERROR(_xlfn.LET(_xlpm.boxType, J129, _xlpm.tallos, M129, _xlpm.cost, N129, _xlpm.precio, P129,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29" s="322">
        <v>1.59</v>
      </c>
      <c r="Q129" s="312" t="s">
        <v>725</v>
      </c>
      <c r="R129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29" s="312">
        <v>0.42</v>
      </c>
      <c r="T129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129" s="314">
        <v>0.99</v>
      </c>
    </row>
    <row r="130" spans="1:21" x14ac:dyDescent="0.25">
      <c r="A130" s="304" t="s">
        <v>41</v>
      </c>
      <c r="B130" s="305">
        <f>_xlfn.XLOOKUP(Catalogo[[#This Row],[Finca]], Fincas[Nombre], Fincas[ID])</f>
        <v>38</v>
      </c>
      <c r="C130" s="304" t="s">
        <v>675</v>
      </c>
      <c r="D130" s="304" t="s">
        <v>758</v>
      </c>
      <c r="E130" s="304"/>
      <c r="F130" s="304" t="s">
        <v>616</v>
      </c>
      <c r="G130" s="304"/>
      <c r="H130" s="338" t="s">
        <v>243</v>
      </c>
      <c r="I130" s="336"/>
      <c r="J130" s="305" t="s">
        <v>33</v>
      </c>
      <c r="K13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30" s="306" t="s">
        <v>738</v>
      </c>
      <c r="M130" s="306">
        <v>100</v>
      </c>
      <c r="N130" s="303">
        <v>0.42</v>
      </c>
      <c r="O130" s="307">
        <f>IFERROR(_xlfn.LET(_xlpm.boxType, J130, _xlpm.tallos, M130, _xlpm.cost, N130, _xlpm.precio, P130,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130" s="323">
        <v>1.59</v>
      </c>
      <c r="Q130" s="303" t="s">
        <v>726</v>
      </c>
      <c r="R13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30" s="303">
        <v>0.42</v>
      </c>
      <c r="T13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30" s="301">
        <v>0.89</v>
      </c>
    </row>
    <row r="131" spans="1:21" ht="15.75" thickBot="1" x14ac:dyDescent="0.3">
      <c r="A131" s="315" t="s">
        <v>41</v>
      </c>
      <c r="B131" s="316">
        <f>_xlfn.XLOOKUP(Catalogo[[#This Row],[Finca]], Fincas[Nombre], Fincas[ID])</f>
        <v>38</v>
      </c>
      <c r="C131" s="315" t="s">
        <v>675</v>
      </c>
      <c r="D131" s="315" t="s">
        <v>758</v>
      </c>
      <c r="E131" s="315"/>
      <c r="F131" s="315" t="s">
        <v>616</v>
      </c>
      <c r="G131" s="315"/>
      <c r="H131" s="344" t="s">
        <v>243</v>
      </c>
      <c r="I131" s="337"/>
      <c r="J131" s="316" t="s">
        <v>43</v>
      </c>
      <c r="K131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31" s="317" t="s">
        <v>342</v>
      </c>
      <c r="M131" s="317">
        <v>200</v>
      </c>
      <c r="N131" s="319">
        <v>0.42</v>
      </c>
      <c r="O131" s="318">
        <f>IFERROR(_xlfn.LET(_xlpm.boxType, J131, _xlpm.tallos, M131, _xlpm.cost, N131, _xlpm.precio, P131,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31" s="324">
        <v>1.59</v>
      </c>
      <c r="Q131" s="319" t="s">
        <v>727</v>
      </c>
      <c r="R131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31" s="319">
        <v>0.42</v>
      </c>
      <c r="T131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31" s="321">
        <v>0.89</v>
      </c>
    </row>
    <row r="132" spans="1:21" x14ac:dyDescent="0.25">
      <c r="A132" s="308" t="s">
        <v>41</v>
      </c>
      <c r="B132" s="309">
        <f>_xlfn.XLOOKUP(Catalogo[[#This Row],[Finca]], Fincas[Nombre], Fincas[ID])</f>
        <v>38</v>
      </c>
      <c r="C132" s="308" t="s">
        <v>675</v>
      </c>
      <c r="D132" s="308" t="s">
        <v>759</v>
      </c>
      <c r="E132" s="308"/>
      <c r="F132" s="308" t="s">
        <v>179</v>
      </c>
      <c r="G132" s="308"/>
      <c r="H132" s="343" t="s">
        <v>241</v>
      </c>
      <c r="I132" s="335"/>
      <c r="J132" s="309" t="s">
        <v>32</v>
      </c>
      <c r="K132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32" s="310" t="s">
        <v>737</v>
      </c>
      <c r="M132" s="310">
        <v>50</v>
      </c>
      <c r="N132" s="312">
        <v>0.26</v>
      </c>
      <c r="O132" s="311">
        <f>IFERROR(_xlfn.LET(_xlpm.boxType, J132, _xlpm.tallos, M132, _xlpm.cost, N132, _xlpm.precio, P132,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132" s="322">
        <v>1.29</v>
      </c>
      <c r="Q132" s="312" t="s">
        <v>725</v>
      </c>
      <c r="R132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32" s="312">
        <v>0.26</v>
      </c>
      <c r="T132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132" s="314">
        <v>0.75</v>
      </c>
    </row>
    <row r="133" spans="1:21" x14ac:dyDescent="0.25">
      <c r="A133" s="304" t="s">
        <v>41</v>
      </c>
      <c r="B133" s="305">
        <f>_xlfn.XLOOKUP(Catalogo[[#This Row],[Finca]], Fincas[Nombre], Fincas[ID])</f>
        <v>38</v>
      </c>
      <c r="C133" s="304" t="s">
        <v>675</v>
      </c>
      <c r="D133" s="304" t="s">
        <v>759</v>
      </c>
      <c r="E133" s="304"/>
      <c r="F133" s="304" t="s">
        <v>179</v>
      </c>
      <c r="G133" s="304"/>
      <c r="H133" s="338" t="s">
        <v>241</v>
      </c>
      <c r="I133" s="336"/>
      <c r="J133" s="305" t="s">
        <v>33</v>
      </c>
      <c r="K13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33" s="306" t="s">
        <v>738</v>
      </c>
      <c r="M133" s="306">
        <v>150</v>
      </c>
      <c r="N133" s="303">
        <v>0.26</v>
      </c>
      <c r="O133" s="307">
        <f>IFERROR(_xlfn.LET(_xlpm.boxType, J133, _xlpm.tallos, M133, _xlpm.cost, N133, _xlpm.precio, P133,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133" s="323">
        <v>1.19</v>
      </c>
      <c r="Q133" s="303" t="s">
        <v>726</v>
      </c>
      <c r="R13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33" s="303">
        <v>0.26</v>
      </c>
      <c r="T13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33" s="301">
        <v>0.69</v>
      </c>
    </row>
    <row r="134" spans="1:21" ht="15.75" thickBot="1" x14ac:dyDescent="0.3">
      <c r="A134" s="315" t="s">
        <v>41</v>
      </c>
      <c r="B134" s="316">
        <f>_xlfn.XLOOKUP(Catalogo[[#This Row],[Finca]], Fincas[Nombre], Fincas[ID])</f>
        <v>38</v>
      </c>
      <c r="C134" s="315" t="s">
        <v>675</v>
      </c>
      <c r="D134" s="315" t="s">
        <v>759</v>
      </c>
      <c r="E134" s="315"/>
      <c r="F134" s="315" t="s">
        <v>179</v>
      </c>
      <c r="G134" s="315"/>
      <c r="H134" s="344" t="s">
        <v>241</v>
      </c>
      <c r="I134" s="337"/>
      <c r="J134" s="316" t="s">
        <v>43</v>
      </c>
      <c r="K134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34" s="317" t="s">
        <v>342</v>
      </c>
      <c r="M134" s="317">
        <v>300</v>
      </c>
      <c r="N134" s="319">
        <v>0.26</v>
      </c>
      <c r="O134" s="318">
        <f>IFERROR(_xlfn.LET(_xlpm.boxType, J134, _xlpm.tallos, M134, _xlpm.cost, N134, _xlpm.precio, P134,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134" s="324">
        <v>1.19</v>
      </c>
      <c r="Q134" s="319" t="s">
        <v>727</v>
      </c>
      <c r="R134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34" s="319">
        <v>0.26</v>
      </c>
      <c r="T134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34" s="321">
        <v>0.69</v>
      </c>
    </row>
    <row r="135" spans="1:21" x14ac:dyDescent="0.25">
      <c r="A135" s="304" t="s">
        <v>41</v>
      </c>
      <c r="B135" s="305">
        <f>_xlfn.XLOOKUP(Catalogo[[#This Row],[Finca]], Fincas[Nombre], Fincas[ID])</f>
        <v>38</v>
      </c>
      <c r="C135" s="304" t="s">
        <v>675</v>
      </c>
      <c r="D135" s="304" t="s">
        <v>759</v>
      </c>
      <c r="E135" s="304"/>
      <c r="F135" s="304" t="s">
        <v>179</v>
      </c>
      <c r="G135" s="304"/>
      <c r="H135" s="338" t="s">
        <v>242</v>
      </c>
      <c r="I135" s="336"/>
      <c r="J135" s="305" t="s">
        <v>32</v>
      </c>
      <c r="K13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35" s="306" t="s">
        <v>737</v>
      </c>
      <c r="M135" s="306">
        <v>50</v>
      </c>
      <c r="N135" s="303">
        <v>0.36</v>
      </c>
      <c r="O135" s="307">
        <f>IFERROR(_xlfn.LET(_xlpm.boxType, J135, _xlpm.tallos, M135, _xlpm.cost, N135, _xlpm.precio, P135,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135" s="323">
        <v>1.49</v>
      </c>
      <c r="Q135" s="303" t="s">
        <v>725</v>
      </c>
      <c r="R13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35" s="303">
        <v>0.36</v>
      </c>
      <c r="T13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135" s="301">
        <v>0.85</v>
      </c>
    </row>
    <row r="136" spans="1:21" x14ac:dyDescent="0.25">
      <c r="A136" s="304" t="s">
        <v>41</v>
      </c>
      <c r="B136" s="305">
        <f>_xlfn.XLOOKUP(Catalogo[[#This Row],[Finca]], Fincas[Nombre], Fincas[ID])</f>
        <v>38</v>
      </c>
      <c r="C136" s="304" t="s">
        <v>675</v>
      </c>
      <c r="D136" s="304" t="s">
        <v>759</v>
      </c>
      <c r="E136" s="304"/>
      <c r="F136" s="304" t="s">
        <v>179</v>
      </c>
      <c r="G136" s="304"/>
      <c r="H136" s="338" t="s">
        <v>242</v>
      </c>
      <c r="I136" s="336"/>
      <c r="J136" s="305" t="s">
        <v>33</v>
      </c>
      <c r="K13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36" s="306" t="s">
        <v>738</v>
      </c>
      <c r="M136" s="306">
        <v>125</v>
      </c>
      <c r="N136" s="303">
        <v>0.36</v>
      </c>
      <c r="O136" s="307">
        <f>IFERROR(_xlfn.LET(_xlpm.boxType, J136, _xlpm.tallos, M136, _xlpm.cost, N136, _xlpm.precio, P136,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136" s="323">
        <v>1.39</v>
      </c>
      <c r="Q136" s="303" t="s">
        <v>726</v>
      </c>
      <c r="R13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36" s="303">
        <v>0.36</v>
      </c>
      <c r="T13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36" s="301">
        <v>0.79</v>
      </c>
    </row>
    <row r="137" spans="1:21" ht="15.75" thickBot="1" x14ac:dyDescent="0.3">
      <c r="A137" s="304" t="s">
        <v>41</v>
      </c>
      <c r="B137" s="305">
        <f>_xlfn.XLOOKUP(Catalogo[[#This Row],[Finca]], Fincas[Nombre], Fincas[ID])</f>
        <v>38</v>
      </c>
      <c r="C137" s="304" t="s">
        <v>675</v>
      </c>
      <c r="D137" s="304" t="s">
        <v>759</v>
      </c>
      <c r="E137" s="304"/>
      <c r="F137" s="304" t="s">
        <v>179</v>
      </c>
      <c r="G137" s="304"/>
      <c r="H137" s="338" t="s">
        <v>242</v>
      </c>
      <c r="I137" s="336"/>
      <c r="J137" s="305" t="s">
        <v>43</v>
      </c>
      <c r="K13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37" s="306" t="s">
        <v>342</v>
      </c>
      <c r="M137" s="306">
        <v>250</v>
      </c>
      <c r="N137" s="303">
        <v>0.36</v>
      </c>
      <c r="O137" s="307">
        <f>IFERROR(_xlfn.LET(_xlpm.boxType, J137, _xlpm.tallos, M137, _xlpm.cost, N137, _xlpm.precio, P137,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137" s="323">
        <v>1.39</v>
      </c>
      <c r="Q137" s="303" t="s">
        <v>727</v>
      </c>
      <c r="R13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37" s="303">
        <v>0.36</v>
      </c>
      <c r="T13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37" s="301">
        <v>0.79</v>
      </c>
    </row>
    <row r="138" spans="1:21" x14ac:dyDescent="0.25">
      <c r="A138" s="308" t="s">
        <v>41</v>
      </c>
      <c r="B138" s="309">
        <f>_xlfn.XLOOKUP(Catalogo[[#This Row],[Finca]], Fincas[Nombre], Fincas[ID])</f>
        <v>38</v>
      </c>
      <c r="C138" s="308" t="s">
        <v>675</v>
      </c>
      <c r="D138" s="308" t="s">
        <v>759</v>
      </c>
      <c r="E138" s="308"/>
      <c r="F138" s="308" t="s">
        <v>179</v>
      </c>
      <c r="G138" s="308"/>
      <c r="H138" s="343" t="s">
        <v>243</v>
      </c>
      <c r="I138" s="335"/>
      <c r="J138" s="309" t="s">
        <v>32</v>
      </c>
      <c r="K138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38" s="310" t="s">
        <v>737</v>
      </c>
      <c r="M138" s="310">
        <v>50</v>
      </c>
      <c r="N138" s="312">
        <v>0.42</v>
      </c>
      <c r="O138" s="311">
        <f>IFERROR(_xlfn.LET(_xlpm.boxType, J138, _xlpm.tallos, M138, _xlpm.cost, N138, _xlpm.precio, P138,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38" s="322">
        <v>1.59</v>
      </c>
      <c r="Q138" s="312" t="s">
        <v>725</v>
      </c>
      <c r="R138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38" s="312">
        <v>0.42</v>
      </c>
      <c r="T138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138" s="314">
        <v>0.99</v>
      </c>
    </row>
    <row r="139" spans="1:21" x14ac:dyDescent="0.25">
      <c r="A139" s="304" t="s">
        <v>41</v>
      </c>
      <c r="B139" s="305">
        <f>_xlfn.XLOOKUP(Catalogo[[#This Row],[Finca]], Fincas[Nombre], Fincas[ID])</f>
        <v>38</v>
      </c>
      <c r="C139" s="304" t="s">
        <v>675</v>
      </c>
      <c r="D139" s="304" t="s">
        <v>759</v>
      </c>
      <c r="E139" s="304"/>
      <c r="F139" s="304" t="s">
        <v>179</v>
      </c>
      <c r="G139" s="304"/>
      <c r="H139" s="338" t="s">
        <v>243</v>
      </c>
      <c r="I139" s="336"/>
      <c r="J139" s="305" t="s">
        <v>33</v>
      </c>
      <c r="K13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39" s="306" t="s">
        <v>738</v>
      </c>
      <c r="M139" s="306">
        <v>100</v>
      </c>
      <c r="N139" s="303">
        <v>0.42</v>
      </c>
      <c r="O139" s="307">
        <f>IFERROR(_xlfn.LET(_xlpm.boxType, J139, _xlpm.tallos, M139, _xlpm.cost, N139, _xlpm.precio, P139,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139" s="323">
        <v>1.59</v>
      </c>
      <c r="Q139" s="303" t="s">
        <v>726</v>
      </c>
      <c r="R13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39" s="303">
        <v>0.42</v>
      </c>
      <c r="T13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39" s="301">
        <v>0.89</v>
      </c>
    </row>
    <row r="140" spans="1:21" ht="15.75" thickBot="1" x14ac:dyDescent="0.3">
      <c r="A140" s="315" t="s">
        <v>41</v>
      </c>
      <c r="B140" s="316">
        <f>_xlfn.XLOOKUP(Catalogo[[#This Row],[Finca]], Fincas[Nombre], Fincas[ID])</f>
        <v>38</v>
      </c>
      <c r="C140" s="315" t="s">
        <v>675</v>
      </c>
      <c r="D140" s="315" t="s">
        <v>759</v>
      </c>
      <c r="E140" s="315"/>
      <c r="F140" s="315" t="s">
        <v>179</v>
      </c>
      <c r="G140" s="315"/>
      <c r="H140" s="344" t="s">
        <v>243</v>
      </c>
      <c r="I140" s="337"/>
      <c r="J140" s="316" t="s">
        <v>43</v>
      </c>
      <c r="K140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40" s="317" t="s">
        <v>342</v>
      </c>
      <c r="M140" s="317">
        <v>200</v>
      </c>
      <c r="N140" s="319">
        <v>0.42</v>
      </c>
      <c r="O140" s="318">
        <f>IFERROR(_xlfn.LET(_xlpm.boxType, J140, _xlpm.tallos, M140, _xlpm.cost, N140, _xlpm.precio, P140,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40" s="324">
        <v>1.59</v>
      </c>
      <c r="Q140" s="319" t="s">
        <v>727</v>
      </c>
      <c r="R140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40" s="319">
        <v>0.42</v>
      </c>
      <c r="T140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40" s="321">
        <v>0.89</v>
      </c>
    </row>
    <row r="141" spans="1:21" x14ac:dyDescent="0.25">
      <c r="A141" s="308" t="s">
        <v>41</v>
      </c>
      <c r="B141" s="309">
        <f>_xlfn.XLOOKUP(Catalogo[[#This Row],[Finca]], Fincas[Nombre], Fincas[ID])</f>
        <v>38</v>
      </c>
      <c r="C141" s="308" t="s">
        <v>675</v>
      </c>
      <c r="D141" s="308" t="s">
        <v>760</v>
      </c>
      <c r="E141" s="308"/>
      <c r="F141" s="308" t="s">
        <v>612</v>
      </c>
      <c r="G141" s="308"/>
      <c r="H141" s="343" t="s">
        <v>241</v>
      </c>
      <c r="I141" s="335"/>
      <c r="J141" s="309" t="s">
        <v>32</v>
      </c>
      <c r="K141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41" s="310" t="s">
        <v>737</v>
      </c>
      <c r="M141" s="310">
        <v>50</v>
      </c>
      <c r="N141" s="312">
        <v>0.26</v>
      </c>
      <c r="O141" s="311">
        <f>IFERROR(_xlfn.LET(_xlpm.boxType, J141, _xlpm.tallos, M141, _xlpm.cost, N141, _xlpm.precio, P141,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141" s="322">
        <v>1.29</v>
      </c>
      <c r="Q141" s="312" t="s">
        <v>725</v>
      </c>
      <c r="R141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41" s="312">
        <v>0.26</v>
      </c>
      <c r="T141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141" s="314">
        <v>0.75</v>
      </c>
    </row>
    <row r="142" spans="1:21" x14ac:dyDescent="0.25">
      <c r="A142" s="304" t="s">
        <v>41</v>
      </c>
      <c r="B142" s="305">
        <f>_xlfn.XLOOKUP(Catalogo[[#This Row],[Finca]], Fincas[Nombre], Fincas[ID])</f>
        <v>38</v>
      </c>
      <c r="C142" s="304" t="s">
        <v>675</v>
      </c>
      <c r="D142" s="304" t="s">
        <v>760</v>
      </c>
      <c r="E142" s="304"/>
      <c r="F142" s="304" t="s">
        <v>612</v>
      </c>
      <c r="G142" s="304"/>
      <c r="H142" s="338" t="s">
        <v>241</v>
      </c>
      <c r="I142" s="336"/>
      <c r="J142" s="305" t="s">
        <v>33</v>
      </c>
      <c r="K14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42" s="306" t="s">
        <v>738</v>
      </c>
      <c r="M142" s="306">
        <v>150</v>
      </c>
      <c r="N142" s="303">
        <v>0.26</v>
      </c>
      <c r="O142" s="307">
        <f>IFERROR(_xlfn.LET(_xlpm.boxType, J142, _xlpm.tallos, M142, _xlpm.cost, N142, _xlpm.precio, P142,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142" s="323">
        <v>1.19</v>
      </c>
      <c r="Q142" s="303" t="s">
        <v>726</v>
      </c>
      <c r="R14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42" s="303">
        <v>0.26</v>
      </c>
      <c r="T14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42" s="301">
        <v>0.69</v>
      </c>
    </row>
    <row r="143" spans="1:21" ht="15.75" thickBot="1" x14ac:dyDescent="0.3">
      <c r="A143" s="315" t="s">
        <v>41</v>
      </c>
      <c r="B143" s="316">
        <f>_xlfn.XLOOKUP(Catalogo[[#This Row],[Finca]], Fincas[Nombre], Fincas[ID])</f>
        <v>38</v>
      </c>
      <c r="C143" s="315" t="s">
        <v>675</v>
      </c>
      <c r="D143" s="315" t="s">
        <v>760</v>
      </c>
      <c r="E143" s="315"/>
      <c r="F143" s="315" t="s">
        <v>612</v>
      </c>
      <c r="G143" s="315"/>
      <c r="H143" s="344" t="s">
        <v>241</v>
      </c>
      <c r="I143" s="337"/>
      <c r="J143" s="316" t="s">
        <v>43</v>
      </c>
      <c r="K143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43" s="317" t="s">
        <v>342</v>
      </c>
      <c r="M143" s="317">
        <v>300</v>
      </c>
      <c r="N143" s="319">
        <v>0.26</v>
      </c>
      <c r="O143" s="318">
        <f>IFERROR(_xlfn.LET(_xlpm.boxType, J143, _xlpm.tallos, M143, _xlpm.cost, N143, _xlpm.precio, P143,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143" s="324">
        <v>1.19</v>
      </c>
      <c r="Q143" s="319" t="s">
        <v>727</v>
      </c>
      <c r="R143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43" s="319">
        <v>0.26</v>
      </c>
      <c r="T143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43" s="321">
        <v>0.69</v>
      </c>
    </row>
    <row r="144" spans="1:21" x14ac:dyDescent="0.25">
      <c r="A144" s="304" t="s">
        <v>41</v>
      </c>
      <c r="B144" s="305">
        <f>_xlfn.XLOOKUP(Catalogo[[#This Row],[Finca]], Fincas[Nombre], Fincas[ID])</f>
        <v>38</v>
      </c>
      <c r="C144" s="304" t="s">
        <v>675</v>
      </c>
      <c r="D144" s="304" t="s">
        <v>760</v>
      </c>
      <c r="E144" s="304"/>
      <c r="F144" s="304" t="s">
        <v>612</v>
      </c>
      <c r="G144" s="304"/>
      <c r="H144" s="338" t="s">
        <v>242</v>
      </c>
      <c r="I144" s="336"/>
      <c r="J144" s="305" t="s">
        <v>32</v>
      </c>
      <c r="K14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44" s="306" t="s">
        <v>737</v>
      </c>
      <c r="M144" s="306">
        <v>50</v>
      </c>
      <c r="N144" s="303">
        <v>0.36</v>
      </c>
      <c r="O144" s="307">
        <f>IFERROR(_xlfn.LET(_xlpm.boxType, J144, _xlpm.tallos, M144, _xlpm.cost, N144, _xlpm.precio, P144,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144" s="323">
        <v>1.49</v>
      </c>
      <c r="Q144" s="303" t="s">
        <v>725</v>
      </c>
      <c r="R14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44" s="303">
        <v>0.36</v>
      </c>
      <c r="T14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144" s="301">
        <v>0.85</v>
      </c>
    </row>
    <row r="145" spans="1:21" x14ac:dyDescent="0.25">
      <c r="A145" s="304" t="s">
        <v>41</v>
      </c>
      <c r="B145" s="305">
        <f>_xlfn.XLOOKUP(Catalogo[[#This Row],[Finca]], Fincas[Nombre], Fincas[ID])</f>
        <v>38</v>
      </c>
      <c r="C145" s="304" t="s">
        <v>675</v>
      </c>
      <c r="D145" s="304" t="s">
        <v>760</v>
      </c>
      <c r="E145" s="304"/>
      <c r="F145" s="304" t="s">
        <v>612</v>
      </c>
      <c r="G145" s="304"/>
      <c r="H145" s="338" t="s">
        <v>242</v>
      </c>
      <c r="I145" s="336"/>
      <c r="J145" s="305" t="s">
        <v>33</v>
      </c>
      <c r="K14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45" s="306" t="s">
        <v>738</v>
      </c>
      <c r="M145" s="306">
        <v>125</v>
      </c>
      <c r="N145" s="303">
        <v>0.36</v>
      </c>
      <c r="O145" s="307">
        <f>IFERROR(_xlfn.LET(_xlpm.boxType, J145, _xlpm.tallos, M145, _xlpm.cost, N145, _xlpm.precio, P145,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145" s="323">
        <v>1.39</v>
      </c>
      <c r="Q145" s="303" t="s">
        <v>726</v>
      </c>
      <c r="R14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45" s="303">
        <v>0.36</v>
      </c>
      <c r="T14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45" s="301">
        <v>0.79</v>
      </c>
    </row>
    <row r="146" spans="1:21" ht="15.75" thickBot="1" x14ac:dyDescent="0.3">
      <c r="A146" s="304" t="s">
        <v>41</v>
      </c>
      <c r="B146" s="305">
        <f>_xlfn.XLOOKUP(Catalogo[[#This Row],[Finca]], Fincas[Nombre], Fincas[ID])</f>
        <v>38</v>
      </c>
      <c r="C146" s="304" t="s">
        <v>675</v>
      </c>
      <c r="D146" s="304" t="s">
        <v>760</v>
      </c>
      <c r="E146" s="304"/>
      <c r="F146" s="304" t="s">
        <v>612</v>
      </c>
      <c r="G146" s="304"/>
      <c r="H146" s="338" t="s">
        <v>242</v>
      </c>
      <c r="I146" s="336"/>
      <c r="J146" s="305" t="s">
        <v>43</v>
      </c>
      <c r="K14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46" s="306" t="s">
        <v>342</v>
      </c>
      <c r="M146" s="306">
        <v>250</v>
      </c>
      <c r="N146" s="303">
        <v>0.36</v>
      </c>
      <c r="O146" s="307">
        <f>IFERROR(_xlfn.LET(_xlpm.boxType, J146, _xlpm.tallos, M146, _xlpm.cost, N146, _xlpm.precio, P146,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146" s="323">
        <v>1.39</v>
      </c>
      <c r="Q146" s="303" t="s">
        <v>727</v>
      </c>
      <c r="R14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46" s="303">
        <v>0.36</v>
      </c>
      <c r="T14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46" s="301">
        <v>0.79</v>
      </c>
    </row>
    <row r="147" spans="1:21" x14ac:dyDescent="0.25">
      <c r="A147" s="308" t="s">
        <v>41</v>
      </c>
      <c r="B147" s="309">
        <f>_xlfn.XLOOKUP(Catalogo[[#This Row],[Finca]], Fincas[Nombre], Fincas[ID])</f>
        <v>38</v>
      </c>
      <c r="C147" s="308" t="s">
        <v>675</v>
      </c>
      <c r="D147" s="308" t="s">
        <v>760</v>
      </c>
      <c r="E147" s="308"/>
      <c r="F147" s="308" t="s">
        <v>612</v>
      </c>
      <c r="G147" s="308"/>
      <c r="H147" s="343" t="s">
        <v>243</v>
      </c>
      <c r="I147" s="335"/>
      <c r="J147" s="309" t="s">
        <v>32</v>
      </c>
      <c r="K147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47" s="310" t="s">
        <v>737</v>
      </c>
      <c r="M147" s="310">
        <v>50</v>
      </c>
      <c r="N147" s="312">
        <v>0.42</v>
      </c>
      <c r="O147" s="311">
        <f>IFERROR(_xlfn.LET(_xlpm.boxType, J147, _xlpm.tallos, M147, _xlpm.cost, N147, _xlpm.precio, P147,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47" s="322">
        <v>1.59</v>
      </c>
      <c r="Q147" s="312" t="s">
        <v>725</v>
      </c>
      <c r="R147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47" s="312">
        <v>0.42</v>
      </c>
      <c r="T147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147" s="314">
        <v>0.99</v>
      </c>
    </row>
    <row r="148" spans="1:21" x14ac:dyDescent="0.25">
      <c r="A148" s="304" t="s">
        <v>41</v>
      </c>
      <c r="B148" s="305">
        <f>_xlfn.XLOOKUP(Catalogo[[#This Row],[Finca]], Fincas[Nombre], Fincas[ID])</f>
        <v>38</v>
      </c>
      <c r="C148" s="304" t="s">
        <v>675</v>
      </c>
      <c r="D148" s="304" t="s">
        <v>760</v>
      </c>
      <c r="E148" s="304"/>
      <c r="F148" s="304" t="s">
        <v>612</v>
      </c>
      <c r="G148" s="304"/>
      <c r="H148" s="338" t="s">
        <v>243</v>
      </c>
      <c r="I148" s="336"/>
      <c r="J148" s="305" t="s">
        <v>33</v>
      </c>
      <c r="K14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48" s="306" t="s">
        <v>738</v>
      </c>
      <c r="M148" s="306">
        <v>100</v>
      </c>
      <c r="N148" s="303">
        <v>0.42</v>
      </c>
      <c r="O148" s="307">
        <f>IFERROR(_xlfn.LET(_xlpm.boxType, J148, _xlpm.tallos, M148, _xlpm.cost, N148, _xlpm.precio, P148,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148" s="323">
        <v>1.59</v>
      </c>
      <c r="Q148" s="303" t="s">
        <v>726</v>
      </c>
      <c r="R14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48" s="303">
        <v>0.42</v>
      </c>
      <c r="T14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48" s="301">
        <v>0.89</v>
      </c>
    </row>
    <row r="149" spans="1:21" ht="15.75" thickBot="1" x14ac:dyDescent="0.3">
      <c r="A149" s="315" t="s">
        <v>41</v>
      </c>
      <c r="B149" s="316">
        <f>_xlfn.XLOOKUP(Catalogo[[#This Row],[Finca]], Fincas[Nombre], Fincas[ID])</f>
        <v>38</v>
      </c>
      <c r="C149" s="315" t="s">
        <v>675</v>
      </c>
      <c r="D149" s="315" t="s">
        <v>760</v>
      </c>
      <c r="E149" s="315"/>
      <c r="F149" s="315" t="s">
        <v>612</v>
      </c>
      <c r="G149" s="315"/>
      <c r="H149" s="344" t="s">
        <v>243</v>
      </c>
      <c r="I149" s="337"/>
      <c r="J149" s="316" t="s">
        <v>43</v>
      </c>
      <c r="K149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49" s="317" t="s">
        <v>342</v>
      </c>
      <c r="M149" s="317">
        <v>200</v>
      </c>
      <c r="N149" s="319">
        <v>0.42</v>
      </c>
      <c r="O149" s="318">
        <f>IFERROR(_xlfn.LET(_xlpm.boxType, J149, _xlpm.tallos, M149, _xlpm.cost, N149, _xlpm.precio, P149,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49" s="324">
        <v>1.59</v>
      </c>
      <c r="Q149" s="319" t="s">
        <v>727</v>
      </c>
      <c r="R149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49" s="319">
        <v>0.42</v>
      </c>
      <c r="T149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49" s="321">
        <v>0.89</v>
      </c>
    </row>
    <row r="150" spans="1:21" x14ac:dyDescent="0.25">
      <c r="A150" s="308" t="s">
        <v>41</v>
      </c>
      <c r="B150" s="309">
        <f>_xlfn.XLOOKUP(Catalogo[[#This Row],[Finca]], Fincas[Nombre], Fincas[ID])</f>
        <v>38</v>
      </c>
      <c r="C150" s="308" t="s">
        <v>675</v>
      </c>
      <c r="D150" s="308" t="s">
        <v>761</v>
      </c>
      <c r="E150" s="308"/>
      <c r="F150" s="308" t="s">
        <v>612</v>
      </c>
      <c r="G150" s="308"/>
      <c r="H150" s="343" t="s">
        <v>241</v>
      </c>
      <c r="I150" s="335"/>
      <c r="J150" s="309" t="s">
        <v>32</v>
      </c>
      <c r="K150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50" s="310" t="s">
        <v>737</v>
      </c>
      <c r="M150" s="310">
        <v>50</v>
      </c>
      <c r="N150" s="312">
        <v>0.26</v>
      </c>
      <c r="O150" s="311">
        <f>IFERROR(_xlfn.LET(_xlpm.boxType, J150, _xlpm.tallos, M150, _xlpm.cost, N150, _xlpm.precio, P150,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150" s="322">
        <v>1.29</v>
      </c>
      <c r="Q150" s="312" t="s">
        <v>725</v>
      </c>
      <c r="R150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50" s="312">
        <v>0.26</v>
      </c>
      <c r="T150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150" s="314">
        <v>0.75</v>
      </c>
    </row>
    <row r="151" spans="1:21" x14ac:dyDescent="0.25">
      <c r="A151" s="304" t="s">
        <v>41</v>
      </c>
      <c r="B151" s="305">
        <f>_xlfn.XLOOKUP(Catalogo[[#This Row],[Finca]], Fincas[Nombre], Fincas[ID])</f>
        <v>38</v>
      </c>
      <c r="C151" s="304" t="s">
        <v>675</v>
      </c>
      <c r="D151" s="304" t="s">
        <v>761</v>
      </c>
      <c r="E151" s="304"/>
      <c r="F151" s="304" t="s">
        <v>612</v>
      </c>
      <c r="G151" s="304"/>
      <c r="H151" s="338" t="s">
        <v>241</v>
      </c>
      <c r="I151" s="336"/>
      <c r="J151" s="305" t="s">
        <v>33</v>
      </c>
      <c r="K15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51" s="306" t="s">
        <v>738</v>
      </c>
      <c r="M151" s="306">
        <v>150</v>
      </c>
      <c r="N151" s="303">
        <v>0.26</v>
      </c>
      <c r="O151" s="307">
        <f>IFERROR(_xlfn.LET(_xlpm.boxType, J151, _xlpm.tallos, M151, _xlpm.cost, N151, _xlpm.precio, P151,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151" s="323">
        <v>1.19</v>
      </c>
      <c r="Q151" s="303" t="s">
        <v>726</v>
      </c>
      <c r="R15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51" s="303">
        <v>0.26</v>
      </c>
      <c r="T15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51" s="301">
        <v>0.69</v>
      </c>
    </row>
    <row r="152" spans="1:21" ht="15.75" thickBot="1" x14ac:dyDescent="0.3">
      <c r="A152" s="315" t="s">
        <v>41</v>
      </c>
      <c r="B152" s="316">
        <f>_xlfn.XLOOKUP(Catalogo[[#This Row],[Finca]], Fincas[Nombre], Fincas[ID])</f>
        <v>38</v>
      </c>
      <c r="C152" s="315" t="s">
        <v>675</v>
      </c>
      <c r="D152" s="315" t="s">
        <v>761</v>
      </c>
      <c r="E152" s="315"/>
      <c r="F152" s="315" t="s">
        <v>612</v>
      </c>
      <c r="G152" s="315"/>
      <c r="H152" s="344" t="s">
        <v>241</v>
      </c>
      <c r="I152" s="337"/>
      <c r="J152" s="316" t="s">
        <v>43</v>
      </c>
      <c r="K15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52" s="317" t="s">
        <v>342</v>
      </c>
      <c r="M152" s="317">
        <v>300</v>
      </c>
      <c r="N152" s="319">
        <v>0.26</v>
      </c>
      <c r="O152" s="318">
        <f>IFERROR(_xlfn.LET(_xlpm.boxType, J152, _xlpm.tallos, M152, _xlpm.cost, N152, _xlpm.precio, P152,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152" s="324">
        <v>1.19</v>
      </c>
      <c r="Q152" s="319" t="s">
        <v>727</v>
      </c>
      <c r="R15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52" s="319">
        <v>0.26</v>
      </c>
      <c r="T15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52" s="321">
        <v>0.69</v>
      </c>
    </row>
    <row r="153" spans="1:21" x14ac:dyDescent="0.25">
      <c r="A153" s="304" t="s">
        <v>41</v>
      </c>
      <c r="B153" s="305">
        <f>_xlfn.XLOOKUP(Catalogo[[#This Row],[Finca]], Fincas[Nombre], Fincas[ID])</f>
        <v>38</v>
      </c>
      <c r="C153" s="304" t="s">
        <v>675</v>
      </c>
      <c r="D153" s="304" t="s">
        <v>761</v>
      </c>
      <c r="E153" s="304"/>
      <c r="F153" s="304" t="s">
        <v>612</v>
      </c>
      <c r="G153" s="304"/>
      <c r="H153" s="338" t="s">
        <v>242</v>
      </c>
      <c r="I153" s="336"/>
      <c r="J153" s="305" t="s">
        <v>32</v>
      </c>
      <c r="K15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53" s="306" t="s">
        <v>737</v>
      </c>
      <c r="M153" s="306">
        <v>50</v>
      </c>
      <c r="N153" s="303">
        <v>0.36</v>
      </c>
      <c r="O153" s="307">
        <f>IFERROR(_xlfn.LET(_xlpm.boxType, J153, _xlpm.tallos, M153, _xlpm.cost, N153, _xlpm.precio, P153,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153" s="323">
        <v>1.49</v>
      </c>
      <c r="Q153" s="303" t="s">
        <v>725</v>
      </c>
      <c r="R15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53" s="303">
        <v>0.36</v>
      </c>
      <c r="T15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153" s="301">
        <v>0.85</v>
      </c>
    </row>
    <row r="154" spans="1:21" x14ac:dyDescent="0.25">
      <c r="A154" s="304" t="s">
        <v>41</v>
      </c>
      <c r="B154" s="305">
        <f>_xlfn.XLOOKUP(Catalogo[[#This Row],[Finca]], Fincas[Nombre], Fincas[ID])</f>
        <v>38</v>
      </c>
      <c r="C154" s="304" t="s">
        <v>675</v>
      </c>
      <c r="D154" s="304" t="s">
        <v>761</v>
      </c>
      <c r="E154" s="304"/>
      <c r="F154" s="304" t="s">
        <v>612</v>
      </c>
      <c r="G154" s="304"/>
      <c r="H154" s="338" t="s">
        <v>242</v>
      </c>
      <c r="I154" s="336"/>
      <c r="J154" s="305" t="s">
        <v>33</v>
      </c>
      <c r="K15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54" s="306" t="s">
        <v>738</v>
      </c>
      <c r="M154" s="306">
        <v>125</v>
      </c>
      <c r="N154" s="303">
        <v>0.36</v>
      </c>
      <c r="O154" s="307">
        <f>IFERROR(_xlfn.LET(_xlpm.boxType, J154, _xlpm.tallos, M154, _xlpm.cost, N154, _xlpm.precio, P154,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154" s="323">
        <v>1.39</v>
      </c>
      <c r="Q154" s="303" t="s">
        <v>726</v>
      </c>
      <c r="R15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54" s="303">
        <v>0.36</v>
      </c>
      <c r="T15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54" s="301">
        <v>0.79</v>
      </c>
    </row>
    <row r="155" spans="1:21" ht="15.75" thickBot="1" x14ac:dyDescent="0.3">
      <c r="A155" s="304" t="s">
        <v>41</v>
      </c>
      <c r="B155" s="305">
        <f>_xlfn.XLOOKUP(Catalogo[[#This Row],[Finca]], Fincas[Nombre], Fincas[ID])</f>
        <v>38</v>
      </c>
      <c r="C155" s="304" t="s">
        <v>675</v>
      </c>
      <c r="D155" s="304" t="s">
        <v>761</v>
      </c>
      <c r="E155" s="304"/>
      <c r="F155" s="304" t="s">
        <v>612</v>
      </c>
      <c r="G155" s="304"/>
      <c r="H155" s="338" t="s">
        <v>242</v>
      </c>
      <c r="I155" s="336"/>
      <c r="J155" s="305" t="s">
        <v>43</v>
      </c>
      <c r="K15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55" s="306" t="s">
        <v>342</v>
      </c>
      <c r="M155" s="306">
        <v>250</v>
      </c>
      <c r="N155" s="303">
        <v>0.36</v>
      </c>
      <c r="O155" s="307">
        <f>IFERROR(_xlfn.LET(_xlpm.boxType, J155, _xlpm.tallos, M155, _xlpm.cost, N155, _xlpm.precio, P155,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155" s="323">
        <v>1.39</v>
      </c>
      <c r="Q155" s="303" t="s">
        <v>727</v>
      </c>
      <c r="R15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55" s="303">
        <v>0.36</v>
      </c>
      <c r="T15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55" s="301">
        <v>0.79</v>
      </c>
    </row>
    <row r="156" spans="1:21" x14ac:dyDescent="0.25">
      <c r="A156" s="308" t="s">
        <v>41</v>
      </c>
      <c r="B156" s="309">
        <f>_xlfn.XLOOKUP(Catalogo[[#This Row],[Finca]], Fincas[Nombre], Fincas[ID])</f>
        <v>38</v>
      </c>
      <c r="C156" s="308" t="s">
        <v>675</v>
      </c>
      <c r="D156" s="308" t="s">
        <v>761</v>
      </c>
      <c r="E156" s="308"/>
      <c r="F156" s="308" t="s">
        <v>612</v>
      </c>
      <c r="G156" s="308"/>
      <c r="H156" s="343" t="s">
        <v>243</v>
      </c>
      <c r="I156" s="335"/>
      <c r="J156" s="309" t="s">
        <v>32</v>
      </c>
      <c r="K156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56" s="310" t="s">
        <v>737</v>
      </c>
      <c r="M156" s="310">
        <v>50</v>
      </c>
      <c r="N156" s="312">
        <v>0.42</v>
      </c>
      <c r="O156" s="311">
        <f>IFERROR(_xlfn.LET(_xlpm.boxType, J156, _xlpm.tallos, M156, _xlpm.cost, N156, _xlpm.precio, P156,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56" s="322">
        <v>1.59</v>
      </c>
      <c r="Q156" s="312" t="s">
        <v>725</v>
      </c>
      <c r="R156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56" s="312">
        <v>0.42</v>
      </c>
      <c r="T156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156" s="314">
        <v>0.99</v>
      </c>
    </row>
    <row r="157" spans="1:21" x14ac:dyDescent="0.25">
      <c r="A157" s="304" t="s">
        <v>41</v>
      </c>
      <c r="B157" s="305">
        <f>_xlfn.XLOOKUP(Catalogo[[#This Row],[Finca]], Fincas[Nombre], Fincas[ID])</f>
        <v>38</v>
      </c>
      <c r="C157" s="304" t="s">
        <v>675</v>
      </c>
      <c r="D157" s="304" t="s">
        <v>761</v>
      </c>
      <c r="E157" s="304"/>
      <c r="F157" s="304" t="s">
        <v>612</v>
      </c>
      <c r="G157" s="304"/>
      <c r="H157" s="338" t="s">
        <v>243</v>
      </c>
      <c r="I157" s="336"/>
      <c r="J157" s="305" t="s">
        <v>33</v>
      </c>
      <c r="K15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57" s="306" t="s">
        <v>738</v>
      </c>
      <c r="M157" s="306">
        <v>100</v>
      </c>
      <c r="N157" s="303">
        <v>0.42</v>
      </c>
      <c r="O157" s="307">
        <f>IFERROR(_xlfn.LET(_xlpm.boxType, J157, _xlpm.tallos, M157, _xlpm.cost, N157, _xlpm.precio, P157,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157" s="323">
        <v>1.59</v>
      </c>
      <c r="Q157" s="303" t="s">
        <v>726</v>
      </c>
      <c r="R15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57" s="303">
        <v>0.42</v>
      </c>
      <c r="T15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57" s="301">
        <v>0.89</v>
      </c>
    </row>
    <row r="158" spans="1:21" ht="15.75" thickBot="1" x14ac:dyDescent="0.3">
      <c r="A158" s="315" t="s">
        <v>41</v>
      </c>
      <c r="B158" s="316">
        <f>_xlfn.XLOOKUP(Catalogo[[#This Row],[Finca]], Fincas[Nombre], Fincas[ID])</f>
        <v>38</v>
      </c>
      <c r="C158" s="315" t="s">
        <v>675</v>
      </c>
      <c r="D158" s="315" t="s">
        <v>761</v>
      </c>
      <c r="E158" s="315"/>
      <c r="F158" s="315" t="s">
        <v>612</v>
      </c>
      <c r="G158" s="315"/>
      <c r="H158" s="344" t="s">
        <v>243</v>
      </c>
      <c r="I158" s="337"/>
      <c r="J158" s="316" t="s">
        <v>43</v>
      </c>
      <c r="K158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58" s="317" t="s">
        <v>342</v>
      </c>
      <c r="M158" s="317">
        <v>200</v>
      </c>
      <c r="N158" s="319">
        <v>0.42</v>
      </c>
      <c r="O158" s="318">
        <f>IFERROR(_xlfn.LET(_xlpm.boxType, J158, _xlpm.tallos, M158, _xlpm.cost, N158, _xlpm.precio, P158,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58" s="324">
        <v>1.59</v>
      </c>
      <c r="Q158" s="319" t="s">
        <v>727</v>
      </c>
      <c r="R158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58" s="319">
        <v>0.42</v>
      </c>
      <c r="T158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58" s="321">
        <v>0.89</v>
      </c>
    </row>
    <row r="159" spans="1:21" x14ac:dyDescent="0.25">
      <c r="A159" s="308" t="s">
        <v>41</v>
      </c>
      <c r="B159" s="309">
        <f>_xlfn.XLOOKUP(Catalogo[[#This Row],[Finca]], Fincas[Nombre], Fincas[ID])</f>
        <v>38</v>
      </c>
      <c r="C159" s="308" t="s">
        <v>675</v>
      </c>
      <c r="D159" s="308" t="s">
        <v>762</v>
      </c>
      <c r="E159" s="308"/>
      <c r="F159" s="308" t="s">
        <v>618</v>
      </c>
      <c r="G159" s="308"/>
      <c r="H159" s="343" t="s">
        <v>241</v>
      </c>
      <c r="I159" s="335"/>
      <c r="J159" s="309" t="s">
        <v>32</v>
      </c>
      <c r="K159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59" s="310" t="s">
        <v>737</v>
      </c>
      <c r="M159" s="310">
        <v>50</v>
      </c>
      <c r="N159" s="312">
        <v>0.26</v>
      </c>
      <c r="O159" s="311">
        <f>IFERROR(_xlfn.LET(_xlpm.boxType, J159, _xlpm.tallos, M159, _xlpm.cost, N159, _xlpm.precio, P159,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159" s="322">
        <v>1.29</v>
      </c>
      <c r="Q159" s="312" t="s">
        <v>725</v>
      </c>
      <c r="R159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59" s="312">
        <v>0.26</v>
      </c>
      <c r="T159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159" s="314">
        <v>0.75</v>
      </c>
    </row>
    <row r="160" spans="1:21" x14ac:dyDescent="0.25">
      <c r="A160" s="304" t="s">
        <v>41</v>
      </c>
      <c r="B160" s="305">
        <f>_xlfn.XLOOKUP(Catalogo[[#This Row],[Finca]], Fincas[Nombre], Fincas[ID])</f>
        <v>38</v>
      </c>
      <c r="C160" s="304" t="s">
        <v>675</v>
      </c>
      <c r="D160" s="304" t="s">
        <v>762</v>
      </c>
      <c r="E160" s="304"/>
      <c r="F160" s="304" t="s">
        <v>618</v>
      </c>
      <c r="G160" s="304"/>
      <c r="H160" s="338" t="s">
        <v>241</v>
      </c>
      <c r="I160" s="336"/>
      <c r="J160" s="305" t="s">
        <v>33</v>
      </c>
      <c r="K16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60" s="306" t="s">
        <v>738</v>
      </c>
      <c r="M160" s="306">
        <v>150</v>
      </c>
      <c r="N160" s="303">
        <v>0.26</v>
      </c>
      <c r="O160" s="307">
        <f>IFERROR(_xlfn.LET(_xlpm.boxType, J160, _xlpm.tallos, M160, _xlpm.cost, N160, _xlpm.precio, P160,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160" s="323">
        <v>1.19</v>
      </c>
      <c r="Q160" s="303" t="s">
        <v>726</v>
      </c>
      <c r="R16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60" s="303">
        <v>0.26</v>
      </c>
      <c r="T16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60" s="301">
        <v>0.69</v>
      </c>
    </row>
    <row r="161" spans="1:21" ht="15.75" thickBot="1" x14ac:dyDescent="0.3">
      <c r="A161" s="315" t="s">
        <v>41</v>
      </c>
      <c r="B161" s="316">
        <f>_xlfn.XLOOKUP(Catalogo[[#This Row],[Finca]], Fincas[Nombre], Fincas[ID])</f>
        <v>38</v>
      </c>
      <c r="C161" s="315" t="s">
        <v>675</v>
      </c>
      <c r="D161" s="315" t="s">
        <v>762</v>
      </c>
      <c r="E161" s="315"/>
      <c r="F161" s="315" t="s">
        <v>618</v>
      </c>
      <c r="G161" s="315"/>
      <c r="H161" s="344" t="s">
        <v>241</v>
      </c>
      <c r="I161" s="337"/>
      <c r="J161" s="316" t="s">
        <v>43</v>
      </c>
      <c r="K161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61" s="317" t="s">
        <v>342</v>
      </c>
      <c r="M161" s="317">
        <v>300</v>
      </c>
      <c r="N161" s="319">
        <v>0.26</v>
      </c>
      <c r="O161" s="318">
        <f>IFERROR(_xlfn.LET(_xlpm.boxType, J161, _xlpm.tallos, M161, _xlpm.cost, N161, _xlpm.precio, P161,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161" s="324">
        <v>1.19</v>
      </c>
      <c r="Q161" s="319" t="s">
        <v>727</v>
      </c>
      <c r="R161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61" s="319">
        <v>0.26</v>
      </c>
      <c r="T161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61" s="321">
        <v>0.69</v>
      </c>
    </row>
    <row r="162" spans="1:21" x14ac:dyDescent="0.25">
      <c r="A162" s="304" t="s">
        <v>41</v>
      </c>
      <c r="B162" s="305">
        <f>_xlfn.XLOOKUP(Catalogo[[#This Row],[Finca]], Fincas[Nombre], Fincas[ID])</f>
        <v>38</v>
      </c>
      <c r="C162" s="304" t="s">
        <v>675</v>
      </c>
      <c r="D162" s="304" t="s">
        <v>762</v>
      </c>
      <c r="E162" s="304"/>
      <c r="F162" s="304" t="s">
        <v>618</v>
      </c>
      <c r="G162" s="304"/>
      <c r="H162" s="338" t="s">
        <v>242</v>
      </c>
      <c r="I162" s="336"/>
      <c r="J162" s="305" t="s">
        <v>32</v>
      </c>
      <c r="K16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62" s="306" t="s">
        <v>737</v>
      </c>
      <c r="M162" s="306">
        <v>50</v>
      </c>
      <c r="N162" s="303">
        <v>0.36</v>
      </c>
      <c r="O162" s="307">
        <f>IFERROR(_xlfn.LET(_xlpm.boxType, J162, _xlpm.tallos, M162, _xlpm.cost, N162, _xlpm.precio, P162,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162" s="323">
        <v>1.49</v>
      </c>
      <c r="Q162" s="303" t="s">
        <v>725</v>
      </c>
      <c r="R16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62" s="303">
        <v>0.36</v>
      </c>
      <c r="T16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162" s="301">
        <v>0.85</v>
      </c>
    </row>
    <row r="163" spans="1:21" x14ac:dyDescent="0.25">
      <c r="A163" s="304" t="s">
        <v>41</v>
      </c>
      <c r="B163" s="305">
        <f>_xlfn.XLOOKUP(Catalogo[[#This Row],[Finca]], Fincas[Nombre], Fincas[ID])</f>
        <v>38</v>
      </c>
      <c r="C163" s="304" t="s">
        <v>675</v>
      </c>
      <c r="D163" s="304" t="s">
        <v>762</v>
      </c>
      <c r="E163" s="304"/>
      <c r="F163" s="304" t="s">
        <v>618</v>
      </c>
      <c r="G163" s="304"/>
      <c r="H163" s="338" t="s">
        <v>242</v>
      </c>
      <c r="I163" s="336"/>
      <c r="J163" s="305" t="s">
        <v>33</v>
      </c>
      <c r="K16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63" s="306" t="s">
        <v>738</v>
      </c>
      <c r="M163" s="306">
        <v>125</v>
      </c>
      <c r="N163" s="303">
        <v>0.36</v>
      </c>
      <c r="O163" s="307">
        <f>IFERROR(_xlfn.LET(_xlpm.boxType, J163, _xlpm.tallos, M163, _xlpm.cost, N163, _xlpm.precio, P163,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163" s="323">
        <v>1.39</v>
      </c>
      <c r="Q163" s="303" t="s">
        <v>726</v>
      </c>
      <c r="R16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63" s="303">
        <v>0.36</v>
      </c>
      <c r="T16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63" s="301">
        <v>0.79</v>
      </c>
    </row>
    <row r="164" spans="1:21" ht="15.75" thickBot="1" x14ac:dyDescent="0.3">
      <c r="A164" s="304" t="s">
        <v>41</v>
      </c>
      <c r="B164" s="305">
        <f>_xlfn.XLOOKUP(Catalogo[[#This Row],[Finca]], Fincas[Nombre], Fincas[ID])</f>
        <v>38</v>
      </c>
      <c r="C164" s="304" t="s">
        <v>675</v>
      </c>
      <c r="D164" s="304" t="s">
        <v>762</v>
      </c>
      <c r="E164" s="304"/>
      <c r="F164" s="304" t="s">
        <v>618</v>
      </c>
      <c r="G164" s="304"/>
      <c r="H164" s="338" t="s">
        <v>242</v>
      </c>
      <c r="I164" s="336"/>
      <c r="J164" s="305" t="s">
        <v>43</v>
      </c>
      <c r="K16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64" s="306" t="s">
        <v>342</v>
      </c>
      <c r="M164" s="306">
        <v>250</v>
      </c>
      <c r="N164" s="303">
        <v>0.36</v>
      </c>
      <c r="O164" s="307">
        <f>IFERROR(_xlfn.LET(_xlpm.boxType, J164, _xlpm.tallos, M164, _xlpm.cost, N164, _xlpm.precio, P164,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164" s="323">
        <v>1.39</v>
      </c>
      <c r="Q164" s="303" t="s">
        <v>727</v>
      </c>
      <c r="R16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64" s="303">
        <v>0.36</v>
      </c>
      <c r="T16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64" s="301">
        <v>0.79</v>
      </c>
    </row>
    <row r="165" spans="1:21" x14ac:dyDescent="0.25">
      <c r="A165" s="308" t="s">
        <v>41</v>
      </c>
      <c r="B165" s="309">
        <f>_xlfn.XLOOKUP(Catalogo[[#This Row],[Finca]], Fincas[Nombre], Fincas[ID])</f>
        <v>38</v>
      </c>
      <c r="C165" s="308" t="s">
        <v>675</v>
      </c>
      <c r="D165" s="308" t="s">
        <v>762</v>
      </c>
      <c r="E165" s="308"/>
      <c r="F165" s="308" t="s">
        <v>618</v>
      </c>
      <c r="G165" s="308"/>
      <c r="H165" s="343" t="s">
        <v>243</v>
      </c>
      <c r="I165" s="335"/>
      <c r="J165" s="309" t="s">
        <v>32</v>
      </c>
      <c r="K165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65" s="310" t="s">
        <v>737</v>
      </c>
      <c r="M165" s="310">
        <v>50</v>
      </c>
      <c r="N165" s="312">
        <v>0.42</v>
      </c>
      <c r="O165" s="311">
        <f>IFERROR(_xlfn.LET(_xlpm.boxType, J165, _xlpm.tallos, M165, _xlpm.cost, N165, _xlpm.precio, P165,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65" s="322">
        <v>1.59</v>
      </c>
      <c r="Q165" s="312" t="s">
        <v>725</v>
      </c>
      <c r="R165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65" s="312">
        <v>0.42</v>
      </c>
      <c r="T165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165" s="314">
        <v>0.99</v>
      </c>
    </row>
    <row r="166" spans="1:21" x14ac:dyDescent="0.25">
      <c r="A166" s="304" t="s">
        <v>41</v>
      </c>
      <c r="B166" s="305">
        <f>_xlfn.XLOOKUP(Catalogo[[#This Row],[Finca]], Fincas[Nombre], Fincas[ID])</f>
        <v>38</v>
      </c>
      <c r="C166" s="304" t="s">
        <v>675</v>
      </c>
      <c r="D166" s="304" t="s">
        <v>762</v>
      </c>
      <c r="E166" s="304"/>
      <c r="F166" s="304" t="s">
        <v>618</v>
      </c>
      <c r="G166" s="304"/>
      <c r="H166" s="338" t="s">
        <v>243</v>
      </c>
      <c r="I166" s="336"/>
      <c r="J166" s="305" t="s">
        <v>33</v>
      </c>
      <c r="K16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66" s="306" t="s">
        <v>738</v>
      </c>
      <c r="M166" s="306">
        <v>100</v>
      </c>
      <c r="N166" s="303">
        <v>0.42</v>
      </c>
      <c r="O166" s="307">
        <f>IFERROR(_xlfn.LET(_xlpm.boxType, J166, _xlpm.tallos, M166, _xlpm.cost, N166, _xlpm.precio, P166,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166" s="323">
        <v>1.59</v>
      </c>
      <c r="Q166" s="303" t="s">
        <v>726</v>
      </c>
      <c r="R16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66" s="303">
        <v>0.42</v>
      </c>
      <c r="T16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66" s="301">
        <v>0.89</v>
      </c>
    </row>
    <row r="167" spans="1:21" ht="15.75" thickBot="1" x14ac:dyDescent="0.3">
      <c r="A167" s="315" t="s">
        <v>41</v>
      </c>
      <c r="B167" s="316">
        <f>_xlfn.XLOOKUP(Catalogo[[#This Row],[Finca]], Fincas[Nombre], Fincas[ID])</f>
        <v>38</v>
      </c>
      <c r="C167" s="315" t="s">
        <v>675</v>
      </c>
      <c r="D167" s="315" t="s">
        <v>762</v>
      </c>
      <c r="E167" s="315"/>
      <c r="F167" s="315" t="s">
        <v>618</v>
      </c>
      <c r="G167" s="315"/>
      <c r="H167" s="344" t="s">
        <v>243</v>
      </c>
      <c r="I167" s="337"/>
      <c r="J167" s="316" t="s">
        <v>43</v>
      </c>
      <c r="K167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67" s="317" t="s">
        <v>342</v>
      </c>
      <c r="M167" s="317">
        <v>200</v>
      </c>
      <c r="N167" s="319">
        <v>0.42</v>
      </c>
      <c r="O167" s="318">
        <f>IFERROR(_xlfn.LET(_xlpm.boxType, J167, _xlpm.tallos, M167, _xlpm.cost, N167, _xlpm.precio, P167,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67" s="324">
        <v>1.59</v>
      </c>
      <c r="Q167" s="319" t="s">
        <v>727</v>
      </c>
      <c r="R167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67" s="319">
        <v>0.42</v>
      </c>
      <c r="T167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67" s="321">
        <v>0.89</v>
      </c>
    </row>
    <row r="168" spans="1:21" x14ac:dyDescent="0.25">
      <c r="A168" s="308" t="s">
        <v>41</v>
      </c>
      <c r="B168" s="309">
        <f>_xlfn.XLOOKUP(Catalogo[[#This Row],[Finca]], Fincas[Nombre], Fincas[ID])</f>
        <v>38</v>
      </c>
      <c r="C168" s="308" t="s">
        <v>675</v>
      </c>
      <c r="D168" s="308" t="s">
        <v>763</v>
      </c>
      <c r="E168" s="308"/>
      <c r="F168" s="308" t="s">
        <v>611</v>
      </c>
      <c r="G168" s="308"/>
      <c r="H168" s="343" t="s">
        <v>241</v>
      </c>
      <c r="I168" s="335"/>
      <c r="J168" s="309" t="s">
        <v>32</v>
      </c>
      <c r="K168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68" s="310" t="s">
        <v>737</v>
      </c>
      <c r="M168" s="310">
        <v>50</v>
      </c>
      <c r="N168" s="312">
        <v>0.26</v>
      </c>
      <c r="O168" s="311">
        <f>IFERROR(_xlfn.LET(_xlpm.boxType, J168, _xlpm.tallos, M168, _xlpm.cost, N168, _xlpm.precio, P168,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168" s="322">
        <v>1.29</v>
      </c>
      <c r="Q168" s="312" t="s">
        <v>725</v>
      </c>
      <c r="R168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68" s="312">
        <v>0.26</v>
      </c>
      <c r="T168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168" s="314">
        <v>0.75</v>
      </c>
    </row>
    <row r="169" spans="1:21" x14ac:dyDescent="0.25">
      <c r="A169" s="304" t="s">
        <v>41</v>
      </c>
      <c r="B169" s="305">
        <f>_xlfn.XLOOKUP(Catalogo[[#This Row],[Finca]], Fincas[Nombre], Fincas[ID])</f>
        <v>38</v>
      </c>
      <c r="C169" s="304" t="s">
        <v>675</v>
      </c>
      <c r="D169" s="304" t="s">
        <v>763</v>
      </c>
      <c r="E169" s="304"/>
      <c r="F169" s="304" t="s">
        <v>611</v>
      </c>
      <c r="G169" s="304"/>
      <c r="H169" s="338" t="s">
        <v>241</v>
      </c>
      <c r="I169" s="336"/>
      <c r="J169" s="305" t="s">
        <v>33</v>
      </c>
      <c r="K16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69" s="306" t="s">
        <v>738</v>
      </c>
      <c r="M169" s="306">
        <v>150</v>
      </c>
      <c r="N169" s="303">
        <v>0.26</v>
      </c>
      <c r="O169" s="307">
        <f>IFERROR(_xlfn.LET(_xlpm.boxType, J169, _xlpm.tallos, M169, _xlpm.cost, N169, _xlpm.precio, P169,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169" s="323">
        <v>1.19</v>
      </c>
      <c r="Q169" s="303" t="s">
        <v>726</v>
      </c>
      <c r="R16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69" s="303">
        <v>0.26</v>
      </c>
      <c r="T16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69" s="301">
        <v>0.69</v>
      </c>
    </row>
    <row r="170" spans="1:21" ht="15.75" thickBot="1" x14ac:dyDescent="0.3">
      <c r="A170" s="315" t="s">
        <v>41</v>
      </c>
      <c r="B170" s="316">
        <f>_xlfn.XLOOKUP(Catalogo[[#This Row],[Finca]], Fincas[Nombre], Fincas[ID])</f>
        <v>38</v>
      </c>
      <c r="C170" s="315" t="s">
        <v>675</v>
      </c>
      <c r="D170" s="315" t="s">
        <v>763</v>
      </c>
      <c r="E170" s="315"/>
      <c r="F170" s="315" t="s">
        <v>611</v>
      </c>
      <c r="G170" s="315"/>
      <c r="H170" s="344" t="s">
        <v>241</v>
      </c>
      <c r="I170" s="337"/>
      <c r="J170" s="316" t="s">
        <v>43</v>
      </c>
      <c r="K170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70" s="317" t="s">
        <v>342</v>
      </c>
      <c r="M170" s="317">
        <v>300</v>
      </c>
      <c r="N170" s="319">
        <v>0.26</v>
      </c>
      <c r="O170" s="318">
        <f>IFERROR(_xlfn.LET(_xlpm.boxType, J170, _xlpm.tallos, M170, _xlpm.cost, N170, _xlpm.precio, P170,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170" s="324">
        <v>1.19</v>
      </c>
      <c r="Q170" s="319" t="s">
        <v>727</v>
      </c>
      <c r="R170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70" s="319">
        <v>0.26</v>
      </c>
      <c r="T170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70" s="321">
        <v>0.69</v>
      </c>
    </row>
    <row r="171" spans="1:21" x14ac:dyDescent="0.25">
      <c r="A171" s="304" t="s">
        <v>41</v>
      </c>
      <c r="B171" s="305">
        <f>_xlfn.XLOOKUP(Catalogo[[#This Row],[Finca]], Fincas[Nombre], Fincas[ID])</f>
        <v>38</v>
      </c>
      <c r="C171" s="304" t="s">
        <v>675</v>
      </c>
      <c r="D171" s="304" t="s">
        <v>763</v>
      </c>
      <c r="E171" s="304"/>
      <c r="F171" s="304" t="s">
        <v>611</v>
      </c>
      <c r="G171" s="304"/>
      <c r="H171" s="338" t="s">
        <v>242</v>
      </c>
      <c r="I171" s="336"/>
      <c r="J171" s="305" t="s">
        <v>32</v>
      </c>
      <c r="K17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71" s="306" t="s">
        <v>737</v>
      </c>
      <c r="M171" s="306">
        <v>50</v>
      </c>
      <c r="N171" s="303">
        <v>0.36</v>
      </c>
      <c r="O171" s="307">
        <f>IFERROR(_xlfn.LET(_xlpm.boxType, J171, _xlpm.tallos, M171, _xlpm.cost, N171, _xlpm.precio, P171,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171" s="323">
        <v>1.49</v>
      </c>
      <c r="Q171" s="303" t="s">
        <v>725</v>
      </c>
      <c r="R17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71" s="303">
        <v>0.36</v>
      </c>
      <c r="T17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171" s="301">
        <v>0.85</v>
      </c>
    </row>
    <row r="172" spans="1:21" x14ac:dyDescent="0.25">
      <c r="A172" s="304" t="s">
        <v>41</v>
      </c>
      <c r="B172" s="305">
        <f>_xlfn.XLOOKUP(Catalogo[[#This Row],[Finca]], Fincas[Nombre], Fincas[ID])</f>
        <v>38</v>
      </c>
      <c r="C172" s="304" t="s">
        <v>675</v>
      </c>
      <c r="D172" s="304" t="s">
        <v>763</v>
      </c>
      <c r="E172" s="304"/>
      <c r="F172" s="304" t="s">
        <v>611</v>
      </c>
      <c r="G172" s="304"/>
      <c r="H172" s="338" t="s">
        <v>242</v>
      </c>
      <c r="I172" s="336"/>
      <c r="J172" s="305" t="s">
        <v>33</v>
      </c>
      <c r="K17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72" s="306" t="s">
        <v>738</v>
      </c>
      <c r="M172" s="306">
        <v>125</v>
      </c>
      <c r="N172" s="303">
        <v>0.36</v>
      </c>
      <c r="O172" s="307">
        <f>IFERROR(_xlfn.LET(_xlpm.boxType, J172, _xlpm.tallos, M172, _xlpm.cost, N172, _xlpm.precio, P172,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172" s="323">
        <v>1.39</v>
      </c>
      <c r="Q172" s="303" t="s">
        <v>726</v>
      </c>
      <c r="R17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72" s="303">
        <v>0.36</v>
      </c>
      <c r="T17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72" s="301">
        <v>0.79</v>
      </c>
    </row>
    <row r="173" spans="1:21" ht="15.75" thickBot="1" x14ac:dyDescent="0.3">
      <c r="A173" s="304" t="s">
        <v>41</v>
      </c>
      <c r="B173" s="305">
        <f>_xlfn.XLOOKUP(Catalogo[[#This Row],[Finca]], Fincas[Nombre], Fincas[ID])</f>
        <v>38</v>
      </c>
      <c r="C173" s="304" t="s">
        <v>675</v>
      </c>
      <c r="D173" s="304" t="s">
        <v>763</v>
      </c>
      <c r="E173" s="304"/>
      <c r="F173" s="304" t="s">
        <v>611</v>
      </c>
      <c r="G173" s="304"/>
      <c r="H173" s="338" t="s">
        <v>242</v>
      </c>
      <c r="I173" s="336"/>
      <c r="J173" s="305" t="s">
        <v>43</v>
      </c>
      <c r="K17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73" s="306" t="s">
        <v>342</v>
      </c>
      <c r="M173" s="306">
        <v>250</v>
      </c>
      <c r="N173" s="303">
        <v>0.36</v>
      </c>
      <c r="O173" s="307">
        <f>IFERROR(_xlfn.LET(_xlpm.boxType, J173, _xlpm.tallos, M173, _xlpm.cost, N173, _xlpm.precio, P173,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173" s="323">
        <v>1.39</v>
      </c>
      <c r="Q173" s="303" t="s">
        <v>727</v>
      </c>
      <c r="R17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73" s="303">
        <v>0.36</v>
      </c>
      <c r="T17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73" s="301">
        <v>0.79</v>
      </c>
    </row>
    <row r="174" spans="1:21" x14ac:dyDescent="0.25">
      <c r="A174" s="308" t="s">
        <v>41</v>
      </c>
      <c r="B174" s="309">
        <f>_xlfn.XLOOKUP(Catalogo[[#This Row],[Finca]], Fincas[Nombre], Fincas[ID])</f>
        <v>38</v>
      </c>
      <c r="C174" s="308" t="s">
        <v>675</v>
      </c>
      <c r="D174" s="308" t="s">
        <v>763</v>
      </c>
      <c r="E174" s="308"/>
      <c r="F174" s="308" t="s">
        <v>611</v>
      </c>
      <c r="G174" s="308"/>
      <c r="H174" s="343" t="s">
        <v>243</v>
      </c>
      <c r="I174" s="335"/>
      <c r="J174" s="309" t="s">
        <v>32</v>
      </c>
      <c r="K174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74" s="310" t="s">
        <v>737</v>
      </c>
      <c r="M174" s="310">
        <v>50</v>
      </c>
      <c r="N174" s="312">
        <v>0.42</v>
      </c>
      <c r="O174" s="311">
        <f>IFERROR(_xlfn.LET(_xlpm.boxType, J174, _xlpm.tallos, M174, _xlpm.cost, N174, _xlpm.precio, P174,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74" s="322">
        <v>1.59</v>
      </c>
      <c r="Q174" s="312" t="s">
        <v>725</v>
      </c>
      <c r="R174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74" s="312">
        <v>0.42</v>
      </c>
      <c r="T174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174" s="314">
        <v>0.99</v>
      </c>
    </row>
    <row r="175" spans="1:21" x14ac:dyDescent="0.25">
      <c r="A175" s="304" t="s">
        <v>41</v>
      </c>
      <c r="B175" s="305">
        <f>_xlfn.XLOOKUP(Catalogo[[#This Row],[Finca]], Fincas[Nombre], Fincas[ID])</f>
        <v>38</v>
      </c>
      <c r="C175" s="304" t="s">
        <v>675</v>
      </c>
      <c r="D175" s="304" t="s">
        <v>763</v>
      </c>
      <c r="E175" s="304"/>
      <c r="F175" s="304" t="s">
        <v>611</v>
      </c>
      <c r="G175" s="304"/>
      <c r="H175" s="338" t="s">
        <v>243</v>
      </c>
      <c r="I175" s="336"/>
      <c r="J175" s="305" t="s">
        <v>33</v>
      </c>
      <c r="K17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75" s="306" t="s">
        <v>738</v>
      </c>
      <c r="M175" s="306">
        <v>100</v>
      </c>
      <c r="N175" s="303">
        <v>0.42</v>
      </c>
      <c r="O175" s="307">
        <f>IFERROR(_xlfn.LET(_xlpm.boxType, J175, _xlpm.tallos, M175, _xlpm.cost, N175, _xlpm.precio, P175,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175" s="323">
        <v>1.59</v>
      </c>
      <c r="Q175" s="303" t="s">
        <v>726</v>
      </c>
      <c r="R17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75" s="303">
        <v>0.42</v>
      </c>
      <c r="T17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75" s="301">
        <v>0.89</v>
      </c>
    </row>
    <row r="176" spans="1:21" ht="15.75" thickBot="1" x14ac:dyDescent="0.3">
      <c r="A176" s="315" t="s">
        <v>41</v>
      </c>
      <c r="B176" s="316">
        <f>_xlfn.XLOOKUP(Catalogo[[#This Row],[Finca]], Fincas[Nombre], Fincas[ID])</f>
        <v>38</v>
      </c>
      <c r="C176" s="315" t="s">
        <v>675</v>
      </c>
      <c r="D176" s="315" t="s">
        <v>763</v>
      </c>
      <c r="E176" s="315"/>
      <c r="F176" s="315" t="s">
        <v>611</v>
      </c>
      <c r="G176" s="315"/>
      <c r="H176" s="344" t="s">
        <v>243</v>
      </c>
      <c r="I176" s="337"/>
      <c r="J176" s="316" t="s">
        <v>43</v>
      </c>
      <c r="K17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76" s="317" t="s">
        <v>342</v>
      </c>
      <c r="M176" s="317">
        <v>200</v>
      </c>
      <c r="N176" s="319">
        <v>0.42</v>
      </c>
      <c r="O176" s="318">
        <f>IFERROR(_xlfn.LET(_xlpm.boxType, J176, _xlpm.tallos, M176, _xlpm.cost, N176, _xlpm.precio, P176,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76" s="324">
        <v>1.59</v>
      </c>
      <c r="Q176" s="319" t="s">
        <v>727</v>
      </c>
      <c r="R17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76" s="319">
        <v>0.42</v>
      </c>
      <c r="T17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76" s="321">
        <v>0.89</v>
      </c>
    </row>
    <row r="177" spans="1:21" x14ac:dyDescent="0.25">
      <c r="A177" s="308" t="s">
        <v>41</v>
      </c>
      <c r="B177" s="309">
        <f>_xlfn.XLOOKUP(Catalogo[[#This Row],[Finca]], Fincas[Nombre], Fincas[ID])</f>
        <v>38</v>
      </c>
      <c r="C177" s="308" t="s">
        <v>675</v>
      </c>
      <c r="D177" s="308" t="s">
        <v>764</v>
      </c>
      <c r="E177" s="308"/>
      <c r="F177" s="308" t="s">
        <v>613</v>
      </c>
      <c r="G177" s="308" t="s">
        <v>611</v>
      </c>
      <c r="H177" s="343" t="s">
        <v>241</v>
      </c>
      <c r="I177" s="335"/>
      <c r="J177" s="309" t="s">
        <v>32</v>
      </c>
      <c r="K177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77" s="310" t="s">
        <v>737</v>
      </c>
      <c r="M177" s="310">
        <v>50</v>
      </c>
      <c r="N177" s="312">
        <v>0.26</v>
      </c>
      <c r="O177" s="311">
        <f>IFERROR(_xlfn.LET(_xlpm.boxType, J177, _xlpm.tallos, M177, _xlpm.cost, N177, _xlpm.precio, P177,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177" s="322">
        <v>1.29</v>
      </c>
      <c r="Q177" s="312" t="s">
        <v>725</v>
      </c>
      <c r="R177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77" s="312">
        <v>0.26</v>
      </c>
      <c r="T177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177" s="314">
        <v>0.75</v>
      </c>
    </row>
    <row r="178" spans="1:21" x14ac:dyDescent="0.25">
      <c r="A178" s="304" t="s">
        <v>41</v>
      </c>
      <c r="B178" s="305">
        <f>_xlfn.XLOOKUP(Catalogo[[#This Row],[Finca]], Fincas[Nombre], Fincas[ID])</f>
        <v>38</v>
      </c>
      <c r="C178" s="304" t="s">
        <v>675</v>
      </c>
      <c r="D178" s="304" t="s">
        <v>764</v>
      </c>
      <c r="E178" s="304"/>
      <c r="F178" s="304" t="s">
        <v>613</v>
      </c>
      <c r="G178" s="304" t="s">
        <v>611</v>
      </c>
      <c r="H178" s="338" t="s">
        <v>241</v>
      </c>
      <c r="I178" s="336"/>
      <c r="J178" s="305" t="s">
        <v>33</v>
      </c>
      <c r="K17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78" s="306" t="s">
        <v>738</v>
      </c>
      <c r="M178" s="306">
        <v>150</v>
      </c>
      <c r="N178" s="303">
        <v>0.26</v>
      </c>
      <c r="O178" s="307">
        <f>IFERROR(_xlfn.LET(_xlpm.boxType, J178, _xlpm.tallos, M178, _xlpm.cost, N178, _xlpm.precio, P178,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178" s="323">
        <v>1.19</v>
      </c>
      <c r="Q178" s="303" t="s">
        <v>726</v>
      </c>
      <c r="R17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78" s="303">
        <v>0.26</v>
      </c>
      <c r="T17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78" s="301">
        <v>0.69</v>
      </c>
    </row>
    <row r="179" spans="1:21" ht="15.75" thickBot="1" x14ac:dyDescent="0.3">
      <c r="A179" s="315" t="s">
        <v>41</v>
      </c>
      <c r="B179" s="316">
        <f>_xlfn.XLOOKUP(Catalogo[[#This Row],[Finca]], Fincas[Nombre], Fincas[ID])</f>
        <v>38</v>
      </c>
      <c r="C179" s="315" t="s">
        <v>675</v>
      </c>
      <c r="D179" s="315" t="s">
        <v>764</v>
      </c>
      <c r="E179" s="315"/>
      <c r="F179" s="315" t="s">
        <v>613</v>
      </c>
      <c r="G179" s="315" t="s">
        <v>611</v>
      </c>
      <c r="H179" s="344" t="s">
        <v>241</v>
      </c>
      <c r="I179" s="337"/>
      <c r="J179" s="316" t="s">
        <v>43</v>
      </c>
      <c r="K179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79" s="317" t="s">
        <v>342</v>
      </c>
      <c r="M179" s="317">
        <v>300</v>
      </c>
      <c r="N179" s="319">
        <v>0.26</v>
      </c>
      <c r="O179" s="318">
        <f>IFERROR(_xlfn.LET(_xlpm.boxType, J179, _xlpm.tallos, M179, _xlpm.cost, N179, _xlpm.precio, P179,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179" s="324">
        <v>1.19</v>
      </c>
      <c r="Q179" s="319" t="s">
        <v>727</v>
      </c>
      <c r="R179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79" s="319">
        <v>0.26</v>
      </c>
      <c r="T179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79" s="321">
        <v>0.69</v>
      </c>
    </row>
    <row r="180" spans="1:21" x14ac:dyDescent="0.25">
      <c r="A180" s="304" t="s">
        <v>41</v>
      </c>
      <c r="B180" s="305">
        <f>_xlfn.XLOOKUP(Catalogo[[#This Row],[Finca]], Fincas[Nombre], Fincas[ID])</f>
        <v>38</v>
      </c>
      <c r="C180" s="304" t="s">
        <v>675</v>
      </c>
      <c r="D180" s="304" t="s">
        <v>764</v>
      </c>
      <c r="E180" s="304"/>
      <c r="F180" s="304" t="s">
        <v>613</v>
      </c>
      <c r="G180" s="304" t="s">
        <v>611</v>
      </c>
      <c r="H180" s="338" t="s">
        <v>242</v>
      </c>
      <c r="I180" s="336"/>
      <c r="J180" s="305" t="s">
        <v>32</v>
      </c>
      <c r="K18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80" s="306" t="s">
        <v>737</v>
      </c>
      <c r="M180" s="306">
        <v>50</v>
      </c>
      <c r="N180" s="303">
        <v>0.36</v>
      </c>
      <c r="O180" s="307">
        <f>IFERROR(_xlfn.LET(_xlpm.boxType, J180, _xlpm.tallos, M180, _xlpm.cost, N180, _xlpm.precio, P180,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180" s="323">
        <v>1.49</v>
      </c>
      <c r="Q180" s="303" t="s">
        <v>725</v>
      </c>
      <c r="R18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80" s="303">
        <v>0.36</v>
      </c>
      <c r="T18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180" s="301">
        <v>0.85</v>
      </c>
    </row>
    <row r="181" spans="1:21" x14ac:dyDescent="0.25">
      <c r="A181" s="304" t="s">
        <v>41</v>
      </c>
      <c r="B181" s="305">
        <f>_xlfn.XLOOKUP(Catalogo[[#This Row],[Finca]], Fincas[Nombre], Fincas[ID])</f>
        <v>38</v>
      </c>
      <c r="C181" s="304" t="s">
        <v>675</v>
      </c>
      <c r="D181" s="304" t="s">
        <v>764</v>
      </c>
      <c r="E181" s="304"/>
      <c r="F181" s="304" t="s">
        <v>613</v>
      </c>
      <c r="G181" s="304" t="s">
        <v>611</v>
      </c>
      <c r="H181" s="338" t="s">
        <v>242</v>
      </c>
      <c r="I181" s="336"/>
      <c r="J181" s="305" t="s">
        <v>33</v>
      </c>
      <c r="K18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81" s="306" t="s">
        <v>738</v>
      </c>
      <c r="M181" s="306">
        <v>125</v>
      </c>
      <c r="N181" s="303">
        <v>0.36</v>
      </c>
      <c r="O181" s="307">
        <f>IFERROR(_xlfn.LET(_xlpm.boxType, J181, _xlpm.tallos, M181, _xlpm.cost, N181, _xlpm.precio, P181,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181" s="323">
        <v>1.39</v>
      </c>
      <c r="Q181" s="303" t="s">
        <v>726</v>
      </c>
      <c r="R18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81" s="303">
        <v>0.36</v>
      </c>
      <c r="T18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81" s="301">
        <v>0.79</v>
      </c>
    </row>
    <row r="182" spans="1:21" ht="15.75" thickBot="1" x14ac:dyDescent="0.3">
      <c r="A182" s="304" t="s">
        <v>41</v>
      </c>
      <c r="B182" s="305">
        <f>_xlfn.XLOOKUP(Catalogo[[#This Row],[Finca]], Fincas[Nombre], Fincas[ID])</f>
        <v>38</v>
      </c>
      <c r="C182" s="304" t="s">
        <v>675</v>
      </c>
      <c r="D182" s="304" t="s">
        <v>764</v>
      </c>
      <c r="E182" s="304"/>
      <c r="F182" s="304" t="s">
        <v>613</v>
      </c>
      <c r="G182" s="304" t="s">
        <v>611</v>
      </c>
      <c r="H182" s="338" t="s">
        <v>242</v>
      </c>
      <c r="I182" s="336"/>
      <c r="J182" s="305" t="s">
        <v>43</v>
      </c>
      <c r="K18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82" s="306" t="s">
        <v>342</v>
      </c>
      <c r="M182" s="306">
        <v>250</v>
      </c>
      <c r="N182" s="303">
        <v>0.36</v>
      </c>
      <c r="O182" s="307">
        <f>IFERROR(_xlfn.LET(_xlpm.boxType, J182, _xlpm.tallos, M182, _xlpm.cost, N182, _xlpm.precio, P182,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182" s="323">
        <v>1.39</v>
      </c>
      <c r="Q182" s="303" t="s">
        <v>727</v>
      </c>
      <c r="R18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82" s="303">
        <v>0.36</v>
      </c>
      <c r="T18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82" s="301">
        <v>0.79</v>
      </c>
    </row>
    <row r="183" spans="1:21" x14ac:dyDescent="0.25">
      <c r="A183" s="308" t="s">
        <v>41</v>
      </c>
      <c r="B183" s="309">
        <f>_xlfn.XLOOKUP(Catalogo[[#This Row],[Finca]], Fincas[Nombre], Fincas[ID])</f>
        <v>38</v>
      </c>
      <c r="C183" s="308" t="s">
        <v>675</v>
      </c>
      <c r="D183" s="308" t="s">
        <v>764</v>
      </c>
      <c r="E183" s="308"/>
      <c r="F183" s="308" t="s">
        <v>613</v>
      </c>
      <c r="G183" s="308" t="s">
        <v>611</v>
      </c>
      <c r="H183" s="343" t="s">
        <v>243</v>
      </c>
      <c r="I183" s="335"/>
      <c r="J183" s="309" t="s">
        <v>32</v>
      </c>
      <c r="K183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83" s="310" t="s">
        <v>737</v>
      </c>
      <c r="M183" s="310">
        <v>50</v>
      </c>
      <c r="N183" s="312">
        <v>0.42</v>
      </c>
      <c r="O183" s="311">
        <f>IFERROR(_xlfn.LET(_xlpm.boxType, J183, _xlpm.tallos, M183, _xlpm.cost, N183, _xlpm.precio, P183,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83" s="322">
        <v>1.59</v>
      </c>
      <c r="Q183" s="312" t="s">
        <v>725</v>
      </c>
      <c r="R183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83" s="312">
        <v>0.42</v>
      </c>
      <c r="T183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183" s="314">
        <v>0.99</v>
      </c>
    </row>
    <row r="184" spans="1:21" x14ac:dyDescent="0.25">
      <c r="A184" s="304" t="s">
        <v>41</v>
      </c>
      <c r="B184" s="305">
        <f>_xlfn.XLOOKUP(Catalogo[[#This Row],[Finca]], Fincas[Nombre], Fincas[ID])</f>
        <v>38</v>
      </c>
      <c r="C184" s="304" t="s">
        <v>675</v>
      </c>
      <c r="D184" s="304" t="s">
        <v>764</v>
      </c>
      <c r="E184" s="304"/>
      <c r="F184" s="304" t="s">
        <v>613</v>
      </c>
      <c r="G184" s="304" t="s">
        <v>611</v>
      </c>
      <c r="H184" s="338" t="s">
        <v>243</v>
      </c>
      <c r="I184" s="336"/>
      <c r="J184" s="305" t="s">
        <v>33</v>
      </c>
      <c r="K18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84" s="306" t="s">
        <v>738</v>
      </c>
      <c r="M184" s="306">
        <v>100</v>
      </c>
      <c r="N184" s="303">
        <v>0.42</v>
      </c>
      <c r="O184" s="307">
        <f>IFERROR(_xlfn.LET(_xlpm.boxType, J184, _xlpm.tallos, M184, _xlpm.cost, N184, _xlpm.precio, P184,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184" s="323">
        <v>1.59</v>
      </c>
      <c r="Q184" s="303" t="s">
        <v>726</v>
      </c>
      <c r="R18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84" s="303">
        <v>0.42</v>
      </c>
      <c r="T18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84" s="301">
        <v>0.89</v>
      </c>
    </row>
    <row r="185" spans="1:21" ht="15.75" thickBot="1" x14ac:dyDescent="0.3">
      <c r="A185" s="315" t="s">
        <v>41</v>
      </c>
      <c r="B185" s="316">
        <f>_xlfn.XLOOKUP(Catalogo[[#This Row],[Finca]], Fincas[Nombre], Fincas[ID])</f>
        <v>38</v>
      </c>
      <c r="C185" s="315" t="s">
        <v>675</v>
      </c>
      <c r="D185" s="315" t="s">
        <v>764</v>
      </c>
      <c r="E185" s="315"/>
      <c r="F185" s="315" t="s">
        <v>613</v>
      </c>
      <c r="G185" s="315" t="s">
        <v>611</v>
      </c>
      <c r="H185" s="344" t="s">
        <v>243</v>
      </c>
      <c r="I185" s="337"/>
      <c r="J185" s="316" t="s">
        <v>43</v>
      </c>
      <c r="K185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85" s="317" t="s">
        <v>342</v>
      </c>
      <c r="M185" s="317">
        <v>200</v>
      </c>
      <c r="N185" s="319">
        <v>0.42</v>
      </c>
      <c r="O185" s="318">
        <f>IFERROR(_xlfn.LET(_xlpm.boxType, J185, _xlpm.tallos, M185, _xlpm.cost, N185, _xlpm.precio, P185,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85" s="324">
        <v>1.59</v>
      </c>
      <c r="Q185" s="319" t="s">
        <v>727</v>
      </c>
      <c r="R185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85" s="319">
        <v>0.42</v>
      </c>
      <c r="T185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85" s="321">
        <v>0.89</v>
      </c>
    </row>
    <row r="186" spans="1:21" x14ac:dyDescent="0.25">
      <c r="A186" s="308" t="s">
        <v>41</v>
      </c>
      <c r="B186" s="309">
        <f>_xlfn.XLOOKUP(Catalogo[[#This Row],[Finca]], Fincas[Nombre], Fincas[ID])</f>
        <v>38</v>
      </c>
      <c r="C186" s="308" t="s">
        <v>675</v>
      </c>
      <c r="D186" s="308" t="s">
        <v>765</v>
      </c>
      <c r="E186" s="308"/>
      <c r="F186" s="308" t="s">
        <v>610</v>
      </c>
      <c r="G186" s="308"/>
      <c r="H186" s="343" t="s">
        <v>241</v>
      </c>
      <c r="I186" s="335"/>
      <c r="J186" s="309" t="s">
        <v>32</v>
      </c>
      <c r="K186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86" s="310" t="s">
        <v>737</v>
      </c>
      <c r="M186" s="310">
        <v>50</v>
      </c>
      <c r="N186" s="312">
        <v>0.26</v>
      </c>
      <c r="O186" s="311">
        <f>IFERROR(_xlfn.LET(_xlpm.boxType, J186, _xlpm.tallos, M186, _xlpm.cost, N186, _xlpm.precio, P186,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186" s="322">
        <v>1.29</v>
      </c>
      <c r="Q186" s="312" t="s">
        <v>725</v>
      </c>
      <c r="R186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86" s="312">
        <v>0.26</v>
      </c>
      <c r="T186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186" s="314">
        <v>0.75</v>
      </c>
    </row>
    <row r="187" spans="1:21" x14ac:dyDescent="0.25">
      <c r="A187" s="304" t="s">
        <v>41</v>
      </c>
      <c r="B187" s="305">
        <f>_xlfn.XLOOKUP(Catalogo[[#This Row],[Finca]], Fincas[Nombre], Fincas[ID])</f>
        <v>38</v>
      </c>
      <c r="C187" s="304" t="s">
        <v>675</v>
      </c>
      <c r="D187" s="304" t="s">
        <v>765</v>
      </c>
      <c r="E187" s="304"/>
      <c r="F187" s="304" t="s">
        <v>610</v>
      </c>
      <c r="G187" s="304"/>
      <c r="H187" s="338" t="s">
        <v>241</v>
      </c>
      <c r="I187" s="336"/>
      <c r="J187" s="305" t="s">
        <v>33</v>
      </c>
      <c r="K18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87" s="306" t="s">
        <v>738</v>
      </c>
      <c r="M187" s="306">
        <v>150</v>
      </c>
      <c r="N187" s="303">
        <v>0.26</v>
      </c>
      <c r="O187" s="307">
        <f>IFERROR(_xlfn.LET(_xlpm.boxType, J187, _xlpm.tallos, M187, _xlpm.cost, N187, _xlpm.precio, P187,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187" s="323">
        <v>1.19</v>
      </c>
      <c r="Q187" s="303" t="s">
        <v>726</v>
      </c>
      <c r="R18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87" s="303">
        <v>0.26</v>
      </c>
      <c r="T18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87" s="301">
        <v>0.69</v>
      </c>
    </row>
    <row r="188" spans="1:21" ht="15.75" thickBot="1" x14ac:dyDescent="0.3">
      <c r="A188" s="315" t="s">
        <v>41</v>
      </c>
      <c r="B188" s="316">
        <f>_xlfn.XLOOKUP(Catalogo[[#This Row],[Finca]], Fincas[Nombre], Fincas[ID])</f>
        <v>38</v>
      </c>
      <c r="C188" s="315" t="s">
        <v>675</v>
      </c>
      <c r="D188" s="315" t="s">
        <v>765</v>
      </c>
      <c r="E188" s="315"/>
      <c r="F188" s="315" t="s">
        <v>610</v>
      </c>
      <c r="G188" s="315"/>
      <c r="H188" s="344" t="s">
        <v>241</v>
      </c>
      <c r="I188" s="337"/>
      <c r="J188" s="316" t="s">
        <v>43</v>
      </c>
      <c r="K188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88" s="317" t="s">
        <v>342</v>
      </c>
      <c r="M188" s="317">
        <v>300</v>
      </c>
      <c r="N188" s="319">
        <v>0.26</v>
      </c>
      <c r="O188" s="318">
        <f>IFERROR(_xlfn.LET(_xlpm.boxType, J188, _xlpm.tallos, M188, _xlpm.cost, N188, _xlpm.precio, P188,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188" s="324">
        <v>1.19</v>
      </c>
      <c r="Q188" s="319" t="s">
        <v>727</v>
      </c>
      <c r="R188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88" s="319">
        <v>0.26</v>
      </c>
      <c r="T188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88" s="321">
        <v>0.69</v>
      </c>
    </row>
    <row r="189" spans="1:21" x14ac:dyDescent="0.25">
      <c r="A189" s="304" t="s">
        <v>41</v>
      </c>
      <c r="B189" s="305">
        <f>_xlfn.XLOOKUP(Catalogo[[#This Row],[Finca]], Fincas[Nombre], Fincas[ID])</f>
        <v>38</v>
      </c>
      <c r="C189" s="304" t="s">
        <v>675</v>
      </c>
      <c r="D189" s="304" t="s">
        <v>765</v>
      </c>
      <c r="E189" s="304"/>
      <c r="F189" s="304" t="s">
        <v>610</v>
      </c>
      <c r="G189" s="304"/>
      <c r="H189" s="338" t="s">
        <v>242</v>
      </c>
      <c r="I189" s="336"/>
      <c r="J189" s="305" t="s">
        <v>32</v>
      </c>
      <c r="K18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89" s="306" t="s">
        <v>737</v>
      </c>
      <c r="M189" s="306">
        <v>50</v>
      </c>
      <c r="N189" s="303">
        <v>0.36</v>
      </c>
      <c r="O189" s="307">
        <f>IFERROR(_xlfn.LET(_xlpm.boxType, J189, _xlpm.tallos, M189, _xlpm.cost, N189, _xlpm.precio, P189,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189" s="323">
        <v>1.49</v>
      </c>
      <c r="Q189" s="303" t="s">
        <v>725</v>
      </c>
      <c r="R18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89" s="303">
        <v>0.36</v>
      </c>
      <c r="T18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189" s="301">
        <v>0.85</v>
      </c>
    </row>
    <row r="190" spans="1:21" x14ac:dyDescent="0.25">
      <c r="A190" s="304" t="s">
        <v>41</v>
      </c>
      <c r="B190" s="305">
        <f>_xlfn.XLOOKUP(Catalogo[[#This Row],[Finca]], Fincas[Nombre], Fincas[ID])</f>
        <v>38</v>
      </c>
      <c r="C190" s="304" t="s">
        <v>675</v>
      </c>
      <c r="D190" s="304" t="s">
        <v>765</v>
      </c>
      <c r="E190" s="304"/>
      <c r="F190" s="304" t="s">
        <v>610</v>
      </c>
      <c r="G190" s="304"/>
      <c r="H190" s="338" t="s">
        <v>242</v>
      </c>
      <c r="I190" s="336"/>
      <c r="J190" s="305" t="s">
        <v>33</v>
      </c>
      <c r="K19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90" s="306" t="s">
        <v>738</v>
      </c>
      <c r="M190" s="306">
        <v>125</v>
      </c>
      <c r="N190" s="303">
        <v>0.36</v>
      </c>
      <c r="O190" s="307">
        <f>IFERROR(_xlfn.LET(_xlpm.boxType, J190, _xlpm.tallos, M190, _xlpm.cost, N190, _xlpm.precio, P190,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190" s="323">
        <v>1.39</v>
      </c>
      <c r="Q190" s="303" t="s">
        <v>726</v>
      </c>
      <c r="R19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90" s="303">
        <v>0.36</v>
      </c>
      <c r="T19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90" s="301">
        <v>0.79</v>
      </c>
    </row>
    <row r="191" spans="1:21" ht="15.75" thickBot="1" x14ac:dyDescent="0.3">
      <c r="A191" s="304" t="s">
        <v>41</v>
      </c>
      <c r="B191" s="305">
        <f>_xlfn.XLOOKUP(Catalogo[[#This Row],[Finca]], Fincas[Nombre], Fincas[ID])</f>
        <v>38</v>
      </c>
      <c r="C191" s="304" t="s">
        <v>675</v>
      </c>
      <c r="D191" s="304" t="s">
        <v>765</v>
      </c>
      <c r="E191" s="304"/>
      <c r="F191" s="304" t="s">
        <v>610</v>
      </c>
      <c r="G191" s="304"/>
      <c r="H191" s="338" t="s">
        <v>242</v>
      </c>
      <c r="I191" s="336"/>
      <c r="J191" s="305" t="s">
        <v>43</v>
      </c>
      <c r="K19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91" s="306" t="s">
        <v>342</v>
      </c>
      <c r="M191" s="306">
        <v>250</v>
      </c>
      <c r="N191" s="303">
        <v>0.36</v>
      </c>
      <c r="O191" s="307">
        <f>IFERROR(_xlfn.LET(_xlpm.boxType, J191, _xlpm.tallos, M191, _xlpm.cost, N191, _xlpm.precio, P191,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191" s="323">
        <v>1.39</v>
      </c>
      <c r="Q191" s="303" t="s">
        <v>727</v>
      </c>
      <c r="R19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91" s="303">
        <v>0.36</v>
      </c>
      <c r="T19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91" s="301">
        <v>0.79</v>
      </c>
    </row>
    <row r="192" spans="1:21" x14ac:dyDescent="0.25">
      <c r="A192" s="308" t="s">
        <v>41</v>
      </c>
      <c r="B192" s="309">
        <f>_xlfn.XLOOKUP(Catalogo[[#This Row],[Finca]], Fincas[Nombre], Fincas[ID])</f>
        <v>38</v>
      </c>
      <c r="C192" s="308" t="s">
        <v>675</v>
      </c>
      <c r="D192" s="308" t="s">
        <v>765</v>
      </c>
      <c r="E192" s="308"/>
      <c r="F192" s="308" t="s">
        <v>610</v>
      </c>
      <c r="G192" s="308"/>
      <c r="H192" s="343" t="s">
        <v>243</v>
      </c>
      <c r="I192" s="335"/>
      <c r="J192" s="309" t="s">
        <v>32</v>
      </c>
      <c r="K192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92" s="310" t="s">
        <v>737</v>
      </c>
      <c r="M192" s="310">
        <v>50</v>
      </c>
      <c r="N192" s="312">
        <v>0.42</v>
      </c>
      <c r="O192" s="311">
        <f>IFERROR(_xlfn.LET(_xlpm.boxType, J192, _xlpm.tallos, M192, _xlpm.cost, N192, _xlpm.precio, P192,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92" s="322">
        <v>1.59</v>
      </c>
      <c r="Q192" s="312" t="s">
        <v>725</v>
      </c>
      <c r="R192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92" s="312">
        <v>0.42</v>
      </c>
      <c r="T192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192" s="314">
        <v>0.99</v>
      </c>
    </row>
    <row r="193" spans="1:21" x14ac:dyDescent="0.25">
      <c r="A193" s="304" t="s">
        <v>41</v>
      </c>
      <c r="B193" s="305">
        <f>_xlfn.XLOOKUP(Catalogo[[#This Row],[Finca]], Fincas[Nombre], Fincas[ID])</f>
        <v>38</v>
      </c>
      <c r="C193" s="304" t="s">
        <v>675</v>
      </c>
      <c r="D193" s="304" t="s">
        <v>765</v>
      </c>
      <c r="E193" s="304"/>
      <c r="F193" s="304" t="s">
        <v>610</v>
      </c>
      <c r="G193" s="304"/>
      <c r="H193" s="338" t="s">
        <v>243</v>
      </c>
      <c r="I193" s="336"/>
      <c r="J193" s="305" t="s">
        <v>33</v>
      </c>
      <c r="K19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93" s="306" t="s">
        <v>738</v>
      </c>
      <c r="M193" s="306">
        <v>100</v>
      </c>
      <c r="N193" s="303">
        <v>0.42</v>
      </c>
      <c r="O193" s="307">
        <f>IFERROR(_xlfn.LET(_xlpm.boxType, J193, _xlpm.tallos, M193, _xlpm.cost, N193, _xlpm.precio, P193,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193" s="323">
        <v>1.59</v>
      </c>
      <c r="Q193" s="303" t="s">
        <v>726</v>
      </c>
      <c r="R19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93" s="303">
        <v>0.42</v>
      </c>
      <c r="T19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93" s="301">
        <v>0.89</v>
      </c>
    </row>
    <row r="194" spans="1:21" ht="15.75" thickBot="1" x14ac:dyDescent="0.3">
      <c r="A194" s="315" t="s">
        <v>41</v>
      </c>
      <c r="B194" s="316">
        <f>_xlfn.XLOOKUP(Catalogo[[#This Row],[Finca]], Fincas[Nombre], Fincas[ID])</f>
        <v>38</v>
      </c>
      <c r="C194" s="315" t="s">
        <v>675</v>
      </c>
      <c r="D194" s="315" t="s">
        <v>765</v>
      </c>
      <c r="E194" s="315"/>
      <c r="F194" s="315" t="s">
        <v>610</v>
      </c>
      <c r="G194" s="315"/>
      <c r="H194" s="344" t="s">
        <v>243</v>
      </c>
      <c r="I194" s="337"/>
      <c r="J194" s="316" t="s">
        <v>43</v>
      </c>
      <c r="K194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94" s="317" t="s">
        <v>342</v>
      </c>
      <c r="M194" s="317">
        <v>200</v>
      </c>
      <c r="N194" s="319">
        <v>0.42</v>
      </c>
      <c r="O194" s="318">
        <f>IFERROR(_xlfn.LET(_xlpm.boxType, J194, _xlpm.tallos, M194, _xlpm.cost, N194, _xlpm.precio, P194,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194" s="324">
        <v>1.59</v>
      </c>
      <c r="Q194" s="319" t="s">
        <v>727</v>
      </c>
      <c r="R194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94" s="319">
        <v>0.42</v>
      </c>
      <c r="T194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194" s="321">
        <v>0.89</v>
      </c>
    </row>
    <row r="195" spans="1:21" x14ac:dyDescent="0.25">
      <c r="A195" s="308" t="s">
        <v>41</v>
      </c>
      <c r="B195" s="309">
        <f>_xlfn.XLOOKUP(Catalogo[[#This Row],[Finca]], Fincas[Nombre], Fincas[ID])</f>
        <v>38</v>
      </c>
      <c r="C195" s="308" t="s">
        <v>675</v>
      </c>
      <c r="D195" s="308" t="s">
        <v>766</v>
      </c>
      <c r="E195" s="308"/>
      <c r="F195" s="308" t="s">
        <v>620</v>
      </c>
      <c r="G195" s="308"/>
      <c r="H195" s="343" t="s">
        <v>241</v>
      </c>
      <c r="I195" s="335"/>
      <c r="J195" s="309" t="s">
        <v>32</v>
      </c>
      <c r="K195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95" s="310" t="s">
        <v>737</v>
      </c>
      <c r="M195" s="310">
        <v>50</v>
      </c>
      <c r="N195" s="312">
        <v>0.26</v>
      </c>
      <c r="O195" s="311">
        <f>IFERROR(_xlfn.LET(_xlpm.boxType, J195, _xlpm.tallos, M195, _xlpm.cost, N195, _xlpm.precio, P195,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195" s="322">
        <v>1.29</v>
      </c>
      <c r="Q195" s="312" t="s">
        <v>725</v>
      </c>
      <c r="R195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95" s="312">
        <v>0.26</v>
      </c>
      <c r="T195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195" s="314">
        <v>0.75</v>
      </c>
    </row>
    <row r="196" spans="1:21" x14ac:dyDescent="0.25">
      <c r="A196" s="304" t="s">
        <v>41</v>
      </c>
      <c r="B196" s="305">
        <f>_xlfn.XLOOKUP(Catalogo[[#This Row],[Finca]], Fincas[Nombre], Fincas[ID])</f>
        <v>38</v>
      </c>
      <c r="C196" s="304" t="s">
        <v>675</v>
      </c>
      <c r="D196" s="304" t="s">
        <v>766</v>
      </c>
      <c r="E196" s="304"/>
      <c r="F196" s="304" t="s">
        <v>620</v>
      </c>
      <c r="G196" s="304"/>
      <c r="H196" s="338" t="s">
        <v>241</v>
      </c>
      <c r="I196" s="336"/>
      <c r="J196" s="305" t="s">
        <v>33</v>
      </c>
      <c r="K19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96" s="306" t="s">
        <v>738</v>
      </c>
      <c r="M196" s="306">
        <v>150</v>
      </c>
      <c r="N196" s="303">
        <v>0.26</v>
      </c>
      <c r="O196" s="307">
        <f>IFERROR(_xlfn.LET(_xlpm.boxType, J196, _xlpm.tallos, M196, _xlpm.cost, N196, _xlpm.precio, P196,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196" s="323">
        <v>1.19</v>
      </c>
      <c r="Q196" s="303" t="s">
        <v>726</v>
      </c>
      <c r="R19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96" s="303">
        <v>0.26</v>
      </c>
      <c r="T19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96" s="301">
        <v>0.69</v>
      </c>
    </row>
    <row r="197" spans="1:21" ht="15.75" thickBot="1" x14ac:dyDescent="0.3">
      <c r="A197" s="315" t="s">
        <v>41</v>
      </c>
      <c r="B197" s="316">
        <f>_xlfn.XLOOKUP(Catalogo[[#This Row],[Finca]], Fincas[Nombre], Fincas[ID])</f>
        <v>38</v>
      </c>
      <c r="C197" s="315" t="s">
        <v>675</v>
      </c>
      <c r="D197" s="315" t="s">
        <v>766</v>
      </c>
      <c r="E197" s="315"/>
      <c r="F197" s="315" t="s">
        <v>620</v>
      </c>
      <c r="G197" s="315"/>
      <c r="H197" s="344" t="s">
        <v>241</v>
      </c>
      <c r="I197" s="337"/>
      <c r="J197" s="316" t="s">
        <v>43</v>
      </c>
      <c r="K197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97" s="317" t="s">
        <v>342</v>
      </c>
      <c r="M197" s="317">
        <v>300</v>
      </c>
      <c r="N197" s="319">
        <v>0.26</v>
      </c>
      <c r="O197" s="318">
        <f>IFERROR(_xlfn.LET(_xlpm.boxType, J197, _xlpm.tallos, M197, _xlpm.cost, N197, _xlpm.precio, P197,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197" s="324">
        <v>1.19</v>
      </c>
      <c r="Q197" s="319" t="s">
        <v>727</v>
      </c>
      <c r="R197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97" s="319">
        <v>0.26</v>
      </c>
      <c r="T197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197" s="321">
        <v>0.69</v>
      </c>
    </row>
    <row r="198" spans="1:21" x14ac:dyDescent="0.25">
      <c r="A198" s="304" t="s">
        <v>41</v>
      </c>
      <c r="B198" s="305">
        <f>_xlfn.XLOOKUP(Catalogo[[#This Row],[Finca]], Fincas[Nombre], Fincas[ID])</f>
        <v>38</v>
      </c>
      <c r="C198" s="304" t="s">
        <v>675</v>
      </c>
      <c r="D198" s="304" t="s">
        <v>766</v>
      </c>
      <c r="E198" s="304"/>
      <c r="F198" s="304" t="s">
        <v>620</v>
      </c>
      <c r="G198" s="304"/>
      <c r="H198" s="338" t="s">
        <v>242</v>
      </c>
      <c r="I198" s="336"/>
      <c r="J198" s="305" t="s">
        <v>32</v>
      </c>
      <c r="K19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98" s="306" t="s">
        <v>737</v>
      </c>
      <c r="M198" s="306">
        <v>50</v>
      </c>
      <c r="N198" s="303">
        <v>0.36</v>
      </c>
      <c r="O198" s="307">
        <f>IFERROR(_xlfn.LET(_xlpm.boxType, J198, _xlpm.tallos, M198, _xlpm.cost, N198, _xlpm.precio, P198,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198" s="323">
        <v>1.49</v>
      </c>
      <c r="Q198" s="303" t="s">
        <v>725</v>
      </c>
      <c r="R19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98" s="303">
        <v>0.36</v>
      </c>
      <c r="T19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198" s="301">
        <v>0.85</v>
      </c>
    </row>
    <row r="199" spans="1:21" x14ac:dyDescent="0.25">
      <c r="A199" s="304" t="s">
        <v>41</v>
      </c>
      <c r="B199" s="305">
        <f>_xlfn.XLOOKUP(Catalogo[[#This Row],[Finca]], Fincas[Nombre], Fincas[ID])</f>
        <v>38</v>
      </c>
      <c r="C199" s="304" t="s">
        <v>675</v>
      </c>
      <c r="D199" s="304" t="s">
        <v>766</v>
      </c>
      <c r="E199" s="304"/>
      <c r="F199" s="304" t="s">
        <v>620</v>
      </c>
      <c r="G199" s="304"/>
      <c r="H199" s="338" t="s">
        <v>242</v>
      </c>
      <c r="I199" s="336"/>
      <c r="J199" s="305" t="s">
        <v>33</v>
      </c>
      <c r="K19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199" s="306" t="s">
        <v>738</v>
      </c>
      <c r="M199" s="306">
        <v>125</v>
      </c>
      <c r="N199" s="303">
        <v>0.36</v>
      </c>
      <c r="O199" s="307">
        <f>IFERROR(_xlfn.LET(_xlpm.boxType, J199, _xlpm.tallos, M199, _xlpm.cost, N199, _xlpm.precio, P199,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199" s="323">
        <v>1.39</v>
      </c>
      <c r="Q199" s="303" t="s">
        <v>726</v>
      </c>
      <c r="R19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199" s="303">
        <v>0.36</v>
      </c>
      <c r="T19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199" s="301">
        <v>0.79</v>
      </c>
    </row>
    <row r="200" spans="1:21" ht="15.75" thickBot="1" x14ac:dyDescent="0.3">
      <c r="A200" s="304" t="s">
        <v>41</v>
      </c>
      <c r="B200" s="305">
        <f>_xlfn.XLOOKUP(Catalogo[[#This Row],[Finca]], Fincas[Nombre], Fincas[ID])</f>
        <v>38</v>
      </c>
      <c r="C200" s="304" t="s">
        <v>675</v>
      </c>
      <c r="D200" s="304" t="s">
        <v>766</v>
      </c>
      <c r="E200" s="304"/>
      <c r="F200" s="304" t="s">
        <v>620</v>
      </c>
      <c r="G200" s="304"/>
      <c r="H200" s="338" t="s">
        <v>242</v>
      </c>
      <c r="I200" s="336"/>
      <c r="J200" s="305" t="s">
        <v>43</v>
      </c>
      <c r="K20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00" s="306" t="s">
        <v>342</v>
      </c>
      <c r="M200" s="306">
        <v>250</v>
      </c>
      <c r="N200" s="303">
        <v>0.36</v>
      </c>
      <c r="O200" s="307">
        <f>IFERROR(_xlfn.LET(_xlpm.boxType, J200, _xlpm.tallos, M200, _xlpm.cost, N200, _xlpm.precio, P200,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200" s="323">
        <v>1.39</v>
      </c>
      <c r="Q200" s="303" t="s">
        <v>727</v>
      </c>
      <c r="R20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00" s="303">
        <v>0.36</v>
      </c>
      <c r="T20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00" s="301">
        <v>0.79</v>
      </c>
    </row>
    <row r="201" spans="1:21" x14ac:dyDescent="0.25">
      <c r="A201" s="308" t="s">
        <v>41</v>
      </c>
      <c r="B201" s="309">
        <f>_xlfn.XLOOKUP(Catalogo[[#This Row],[Finca]], Fincas[Nombre], Fincas[ID])</f>
        <v>38</v>
      </c>
      <c r="C201" s="308" t="s">
        <v>675</v>
      </c>
      <c r="D201" s="308" t="s">
        <v>766</v>
      </c>
      <c r="E201" s="308"/>
      <c r="F201" s="308" t="s">
        <v>620</v>
      </c>
      <c r="G201" s="308"/>
      <c r="H201" s="343" t="s">
        <v>243</v>
      </c>
      <c r="I201" s="335"/>
      <c r="J201" s="309" t="s">
        <v>32</v>
      </c>
      <c r="K201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01" s="310" t="s">
        <v>737</v>
      </c>
      <c r="M201" s="310">
        <v>50</v>
      </c>
      <c r="N201" s="312">
        <v>0.42</v>
      </c>
      <c r="O201" s="311">
        <f>IFERROR(_xlfn.LET(_xlpm.boxType, J201, _xlpm.tallos, M201, _xlpm.cost, N201, _xlpm.precio, P201,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01" s="322">
        <v>1.59</v>
      </c>
      <c r="Q201" s="312" t="s">
        <v>725</v>
      </c>
      <c r="R201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01" s="312">
        <v>0.42</v>
      </c>
      <c r="T201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201" s="314">
        <v>0.99</v>
      </c>
    </row>
    <row r="202" spans="1:21" x14ac:dyDescent="0.25">
      <c r="A202" s="304" t="s">
        <v>41</v>
      </c>
      <c r="B202" s="305">
        <f>_xlfn.XLOOKUP(Catalogo[[#This Row],[Finca]], Fincas[Nombre], Fincas[ID])</f>
        <v>38</v>
      </c>
      <c r="C202" s="304" t="s">
        <v>675</v>
      </c>
      <c r="D202" s="304" t="s">
        <v>766</v>
      </c>
      <c r="E202" s="304"/>
      <c r="F202" s="304" t="s">
        <v>620</v>
      </c>
      <c r="G202" s="304"/>
      <c r="H202" s="338" t="s">
        <v>243</v>
      </c>
      <c r="I202" s="336"/>
      <c r="J202" s="305" t="s">
        <v>33</v>
      </c>
      <c r="K20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02" s="306" t="s">
        <v>738</v>
      </c>
      <c r="M202" s="306">
        <v>100</v>
      </c>
      <c r="N202" s="303">
        <v>0.42</v>
      </c>
      <c r="O202" s="307">
        <f>IFERROR(_xlfn.LET(_xlpm.boxType, J202, _xlpm.tallos, M202, _xlpm.cost, N202, _xlpm.precio, P202,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202" s="323">
        <v>1.59</v>
      </c>
      <c r="Q202" s="303" t="s">
        <v>726</v>
      </c>
      <c r="R20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02" s="303">
        <v>0.42</v>
      </c>
      <c r="T20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02" s="301">
        <v>0.89</v>
      </c>
    </row>
    <row r="203" spans="1:21" ht="15.75" thickBot="1" x14ac:dyDescent="0.3">
      <c r="A203" s="315" t="s">
        <v>41</v>
      </c>
      <c r="B203" s="316">
        <f>_xlfn.XLOOKUP(Catalogo[[#This Row],[Finca]], Fincas[Nombre], Fincas[ID])</f>
        <v>38</v>
      </c>
      <c r="C203" s="315" t="s">
        <v>675</v>
      </c>
      <c r="D203" s="315" t="s">
        <v>766</v>
      </c>
      <c r="E203" s="315"/>
      <c r="F203" s="315" t="s">
        <v>620</v>
      </c>
      <c r="G203" s="315"/>
      <c r="H203" s="344" t="s">
        <v>243</v>
      </c>
      <c r="I203" s="337"/>
      <c r="J203" s="316" t="s">
        <v>43</v>
      </c>
      <c r="K203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03" s="317" t="s">
        <v>342</v>
      </c>
      <c r="M203" s="317">
        <v>200</v>
      </c>
      <c r="N203" s="319">
        <v>0.42</v>
      </c>
      <c r="O203" s="318">
        <f>IFERROR(_xlfn.LET(_xlpm.boxType, J203, _xlpm.tallos, M203, _xlpm.cost, N203, _xlpm.precio, P203,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03" s="324">
        <v>1.59</v>
      </c>
      <c r="Q203" s="319" t="s">
        <v>727</v>
      </c>
      <c r="R203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03" s="319">
        <v>0.42</v>
      </c>
      <c r="T203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03" s="321">
        <v>0.89</v>
      </c>
    </row>
    <row r="204" spans="1:21" x14ac:dyDescent="0.25">
      <c r="A204" s="308" t="s">
        <v>41</v>
      </c>
      <c r="B204" s="309">
        <f>_xlfn.XLOOKUP(Catalogo[[#This Row],[Finca]], Fincas[Nombre], Fincas[ID])</f>
        <v>38</v>
      </c>
      <c r="C204" s="308" t="s">
        <v>675</v>
      </c>
      <c r="D204" s="308" t="s">
        <v>767</v>
      </c>
      <c r="E204" s="308"/>
      <c r="F204" s="308" t="s">
        <v>616</v>
      </c>
      <c r="G204" s="308"/>
      <c r="H204" s="343" t="s">
        <v>241</v>
      </c>
      <c r="I204" s="335"/>
      <c r="J204" s="309" t="s">
        <v>32</v>
      </c>
      <c r="K204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04" s="310" t="s">
        <v>737</v>
      </c>
      <c r="M204" s="310">
        <v>50</v>
      </c>
      <c r="N204" s="312">
        <v>0.26</v>
      </c>
      <c r="O204" s="311">
        <f>IFERROR(_xlfn.LET(_xlpm.boxType, J204, _xlpm.tallos, M204, _xlpm.cost, N204, _xlpm.precio, P204,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204" s="322">
        <v>1.29</v>
      </c>
      <c r="Q204" s="312" t="s">
        <v>725</v>
      </c>
      <c r="R204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04" s="312">
        <v>0.26</v>
      </c>
      <c r="T204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204" s="314">
        <v>0.75</v>
      </c>
    </row>
    <row r="205" spans="1:21" x14ac:dyDescent="0.25">
      <c r="A205" s="304" t="s">
        <v>41</v>
      </c>
      <c r="B205" s="305">
        <f>_xlfn.XLOOKUP(Catalogo[[#This Row],[Finca]], Fincas[Nombre], Fincas[ID])</f>
        <v>38</v>
      </c>
      <c r="C205" s="304" t="s">
        <v>675</v>
      </c>
      <c r="D205" s="304" t="s">
        <v>767</v>
      </c>
      <c r="E205" s="304"/>
      <c r="F205" s="304" t="s">
        <v>616</v>
      </c>
      <c r="G205" s="304"/>
      <c r="H205" s="338" t="s">
        <v>241</v>
      </c>
      <c r="I205" s="336"/>
      <c r="J205" s="305" t="s">
        <v>33</v>
      </c>
      <c r="K20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05" s="306" t="s">
        <v>738</v>
      </c>
      <c r="M205" s="306">
        <v>150</v>
      </c>
      <c r="N205" s="303">
        <v>0.26</v>
      </c>
      <c r="O205" s="307">
        <f>IFERROR(_xlfn.LET(_xlpm.boxType, J205, _xlpm.tallos, M205, _xlpm.cost, N205, _xlpm.precio, P205,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205" s="323">
        <v>1.19</v>
      </c>
      <c r="Q205" s="303" t="s">
        <v>726</v>
      </c>
      <c r="R20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05" s="303">
        <v>0.26</v>
      </c>
      <c r="T20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05" s="301">
        <v>0.69</v>
      </c>
    </row>
    <row r="206" spans="1:21" ht="15.75" thickBot="1" x14ac:dyDescent="0.3">
      <c r="A206" s="315" t="s">
        <v>41</v>
      </c>
      <c r="B206" s="316">
        <f>_xlfn.XLOOKUP(Catalogo[[#This Row],[Finca]], Fincas[Nombre], Fincas[ID])</f>
        <v>38</v>
      </c>
      <c r="C206" s="315" t="s">
        <v>675</v>
      </c>
      <c r="D206" s="315" t="s">
        <v>767</v>
      </c>
      <c r="E206" s="315"/>
      <c r="F206" s="315" t="s">
        <v>616</v>
      </c>
      <c r="G206" s="315"/>
      <c r="H206" s="344" t="s">
        <v>241</v>
      </c>
      <c r="I206" s="337"/>
      <c r="J206" s="316" t="s">
        <v>43</v>
      </c>
      <c r="K20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06" s="317" t="s">
        <v>342</v>
      </c>
      <c r="M206" s="317">
        <v>300</v>
      </c>
      <c r="N206" s="319">
        <v>0.26</v>
      </c>
      <c r="O206" s="318">
        <f>IFERROR(_xlfn.LET(_xlpm.boxType, J206, _xlpm.tallos, M206, _xlpm.cost, N206, _xlpm.precio, P206,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206" s="324">
        <v>1.19</v>
      </c>
      <c r="Q206" s="319" t="s">
        <v>727</v>
      </c>
      <c r="R20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06" s="319">
        <v>0.26</v>
      </c>
      <c r="T20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06" s="321">
        <v>0.69</v>
      </c>
    </row>
    <row r="207" spans="1:21" x14ac:dyDescent="0.25">
      <c r="A207" s="304" t="s">
        <v>41</v>
      </c>
      <c r="B207" s="305">
        <f>_xlfn.XLOOKUP(Catalogo[[#This Row],[Finca]], Fincas[Nombre], Fincas[ID])</f>
        <v>38</v>
      </c>
      <c r="C207" s="304" t="s">
        <v>675</v>
      </c>
      <c r="D207" s="304" t="s">
        <v>767</v>
      </c>
      <c r="E207" s="304"/>
      <c r="F207" s="304" t="s">
        <v>616</v>
      </c>
      <c r="G207" s="304"/>
      <c r="H207" s="338" t="s">
        <v>242</v>
      </c>
      <c r="I207" s="336"/>
      <c r="J207" s="305" t="s">
        <v>32</v>
      </c>
      <c r="K20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07" s="306" t="s">
        <v>737</v>
      </c>
      <c r="M207" s="306">
        <v>50</v>
      </c>
      <c r="N207" s="303">
        <v>0.36</v>
      </c>
      <c r="O207" s="307">
        <f>IFERROR(_xlfn.LET(_xlpm.boxType, J207, _xlpm.tallos, M207, _xlpm.cost, N207, _xlpm.precio, P207,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207" s="323">
        <v>1.49</v>
      </c>
      <c r="Q207" s="303" t="s">
        <v>725</v>
      </c>
      <c r="R20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07" s="303">
        <v>0.36</v>
      </c>
      <c r="T20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207" s="301">
        <v>0.85</v>
      </c>
    </row>
    <row r="208" spans="1:21" x14ac:dyDescent="0.25">
      <c r="A208" s="304" t="s">
        <v>41</v>
      </c>
      <c r="B208" s="305">
        <f>_xlfn.XLOOKUP(Catalogo[[#This Row],[Finca]], Fincas[Nombre], Fincas[ID])</f>
        <v>38</v>
      </c>
      <c r="C208" s="304" t="s">
        <v>675</v>
      </c>
      <c r="D208" s="304" t="s">
        <v>767</v>
      </c>
      <c r="E208" s="304"/>
      <c r="F208" s="304" t="s">
        <v>616</v>
      </c>
      <c r="G208" s="304"/>
      <c r="H208" s="338" t="s">
        <v>242</v>
      </c>
      <c r="I208" s="336"/>
      <c r="J208" s="305" t="s">
        <v>33</v>
      </c>
      <c r="K20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08" s="306" t="s">
        <v>738</v>
      </c>
      <c r="M208" s="306">
        <v>125</v>
      </c>
      <c r="N208" s="303">
        <v>0.36</v>
      </c>
      <c r="O208" s="307">
        <f>IFERROR(_xlfn.LET(_xlpm.boxType, J208, _xlpm.tallos, M208, _xlpm.cost, N208, _xlpm.precio, P208,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208" s="323">
        <v>1.39</v>
      </c>
      <c r="Q208" s="303" t="s">
        <v>726</v>
      </c>
      <c r="R20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08" s="303">
        <v>0.36</v>
      </c>
      <c r="T20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08" s="301">
        <v>0.79</v>
      </c>
    </row>
    <row r="209" spans="1:21" ht="15.75" thickBot="1" x14ac:dyDescent="0.3">
      <c r="A209" s="304" t="s">
        <v>41</v>
      </c>
      <c r="B209" s="305">
        <f>_xlfn.XLOOKUP(Catalogo[[#This Row],[Finca]], Fincas[Nombre], Fincas[ID])</f>
        <v>38</v>
      </c>
      <c r="C209" s="304" t="s">
        <v>675</v>
      </c>
      <c r="D209" s="304" t="s">
        <v>767</v>
      </c>
      <c r="E209" s="304"/>
      <c r="F209" s="304" t="s">
        <v>616</v>
      </c>
      <c r="G209" s="304"/>
      <c r="H209" s="338" t="s">
        <v>242</v>
      </c>
      <c r="I209" s="336"/>
      <c r="J209" s="305" t="s">
        <v>43</v>
      </c>
      <c r="K20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09" s="306" t="s">
        <v>342</v>
      </c>
      <c r="M209" s="306">
        <v>250</v>
      </c>
      <c r="N209" s="303">
        <v>0.36</v>
      </c>
      <c r="O209" s="307">
        <f>IFERROR(_xlfn.LET(_xlpm.boxType, J209, _xlpm.tallos, M209, _xlpm.cost, N209, _xlpm.precio, P209,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209" s="323">
        <v>1.39</v>
      </c>
      <c r="Q209" s="303" t="s">
        <v>727</v>
      </c>
      <c r="R20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09" s="303">
        <v>0.36</v>
      </c>
      <c r="T20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09" s="301">
        <v>0.79</v>
      </c>
    </row>
    <row r="210" spans="1:21" x14ac:dyDescent="0.25">
      <c r="A210" s="308" t="s">
        <v>41</v>
      </c>
      <c r="B210" s="309">
        <f>_xlfn.XLOOKUP(Catalogo[[#This Row],[Finca]], Fincas[Nombre], Fincas[ID])</f>
        <v>38</v>
      </c>
      <c r="C210" s="308" t="s">
        <v>675</v>
      </c>
      <c r="D210" s="308" t="s">
        <v>767</v>
      </c>
      <c r="E210" s="308"/>
      <c r="F210" s="308" t="s">
        <v>616</v>
      </c>
      <c r="G210" s="308"/>
      <c r="H210" s="343" t="s">
        <v>243</v>
      </c>
      <c r="I210" s="335"/>
      <c r="J210" s="309" t="s">
        <v>32</v>
      </c>
      <c r="K210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10" s="310" t="s">
        <v>737</v>
      </c>
      <c r="M210" s="310">
        <v>50</v>
      </c>
      <c r="N210" s="312">
        <v>0.42</v>
      </c>
      <c r="O210" s="311">
        <f>IFERROR(_xlfn.LET(_xlpm.boxType, J210, _xlpm.tallos, M210, _xlpm.cost, N210, _xlpm.precio, P210,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10" s="322">
        <v>1.59</v>
      </c>
      <c r="Q210" s="312" t="s">
        <v>725</v>
      </c>
      <c r="R210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10" s="312">
        <v>0.42</v>
      </c>
      <c r="T210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210" s="314">
        <v>0.99</v>
      </c>
    </row>
    <row r="211" spans="1:21" x14ac:dyDescent="0.25">
      <c r="A211" s="304" t="s">
        <v>41</v>
      </c>
      <c r="B211" s="305">
        <f>_xlfn.XLOOKUP(Catalogo[[#This Row],[Finca]], Fincas[Nombre], Fincas[ID])</f>
        <v>38</v>
      </c>
      <c r="C211" s="304" t="s">
        <v>675</v>
      </c>
      <c r="D211" s="304" t="s">
        <v>767</v>
      </c>
      <c r="E211" s="304"/>
      <c r="F211" s="304" t="s">
        <v>616</v>
      </c>
      <c r="G211" s="304"/>
      <c r="H211" s="338" t="s">
        <v>243</v>
      </c>
      <c r="I211" s="336"/>
      <c r="J211" s="305" t="s">
        <v>33</v>
      </c>
      <c r="K21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11" s="306" t="s">
        <v>738</v>
      </c>
      <c r="M211" s="306">
        <v>100</v>
      </c>
      <c r="N211" s="303">
        <v>0.42</v>
      </c>
      <c r="O211" s="307">
        <f>IFERROR(_xlfn.LET(_xlpm.boxType, J211, _xlpm.tallos, M211, _xlpm.cost, N211, _xlpm.precio, P211,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211" s="323">
        <v>1.59</v>
      </c>
      <c r="Q211" s="303" t="s">
        <v>726</v>
      </c>
      <c r="R21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11" s="303">
        <v>0.42</v>
      </c>
      <c r="T21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11" s="301">
        <v>0.89</v>
      </c>
    </row>
    <row r="212" spans="1:21" ht="15.75" thickBot="1" x14ac:dyDescent="0.3">
      <c r="A212" s="315" t="s">
        <v>41</v>
      </c>
      <c r="B212" s="316">
        <f>_xlfn.XLOOKUP(Catalogo[[#This Row],[Finca]], Fincas[Nombre], Fincas[ID])</f>
        <v>38</v>
      </c>
      <c r="C212" s="315" t="s">
        <v>675</v>
      </c>
      <c r="D212" s="315" t="s">
        <v>767</v>
      </c>
      <c r="E212" s="315"/>
      <c r="F212" s="315" t="s">
        <v>616</v>
      </c>
      <c r="G212" s="315"/>
      <c r="H212" s="344" t="s">
        <v>243</v>
      </c>
      <c r="I212" s="337"/>
      <c r="J212" s="316" t="s">
        <v>43</v>
      </c>
      <c r="K21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12" s="317" t="s">
        <v>342</v>
      </c>
      <c r="M212" s="317">
        <v>200</v>
      </c>
      <c r="N212" s="319">
        <v>0.42</v>
      </c>
      <c r="O212" s="318">
        <f>IFERROR(_xlfn.LET(_xlpm.boxType, J212, _xlpm.tallos, M212, _xlpm.cost, N212, _xlpm.precio, P212,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12" s="324">
        <v>1.59</v>
      </c>
      <c r="Q212" s="319" t="s">
        <v>727</v>
      </c>
      <c r="R21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12" s="319">
        <v>0.42</v>
      </c>
      <c r="T21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12" s="321">
        <v>0.89</v>
      </c>
    </row>
    <row r="213" spans="1:21" x14ac:dyDescent="0.25">
      <c r="A213" s="304"/>
      <c r="B213" s="305">
        <f>_xlfn.XLOOKUP(Catalogo[[#This Row],[Finca]], Fincas[Nombre], Fincas[ID])</f>
        <v>0</v>
      </c>
      <c r="C213" s="304"/>
      <c r="D213" s="304"/>
      <c r="E213" s="304"/>
      <c r="F213" s="304"/>
      <c r="G213" s="304"/>
      <c r="H213" s="338"/>
      <c r="I213" s="336"/>
      <c r="J213" s="305"/>
      <c r="K21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213" s="306"/>
      <c r="M213" s="306"/>
      <c r="N213" s="303"/>
      <c r="O213" s="307" t="str">
        <f>IFERROR(_xlfn.LET(_xlpm.boxType, J213, _xlpm.tallos, M213, _xlpm.cost, N213, _xlpm.precio, P213,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213" s="323"/>
      <c r="Q213" s="303"/>
      <c r="R21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213" s="303"/>
      <c r="T213" s="73"/>
    </row>
    <row r="214" spans="1:21" ht="15.75" thickBot="1" x14ac:dyDescent="0.3">
      <c r="A214" s="304"/>
      <c r="B214" s="305">
        <f>_xlfn.XLOOKUP(Catalogo[[#This Row],[Finca]], Fincas[Nombre], Fincas[ID])</f>
        <v>0</v>
      </c>
      <c r="C214" s="304"/>
      <c r="D214" s="304"/>
      <c r="E214" s="304"/>
      <c r="F214" s="304"/>
      <c r="G214" s="304"/>
      <c r="H214" s="338"/>
      <c r="I214" s="336"/>
      <c r="J214" s="305"/>
      <c r="K21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214" s="306"/>
      <c r="M214" s="306"/>
      <c r="N214" s="303"/>
      <c r="O214" s="307" t="str">
        <f>IFERROR(_xlfn.LET(_xlpm.boxType, J214, _xlpm.tallos, M214, _xlpm.cost, N214, _xlpm.precio, P214,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214" s="323"/>
      <c r="Q214" s="303"/>
      <c r="R21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214" s="303"/>
      <c r="T214" s="73"/>
    </row>
    <row r="215" spans="1:21" x14ac:dyDescent="0.25">
      <c r="A215" s="308" t="s">
        <v>41</v>
      </c>
      <c r="B215" s="309">
        <f>_xlfn.XLOOKUP(Catalogo[[#This Row],[Finca]], Fincas[Nombre], Fincas[ID])</f>
        <v>38</v>
      </c>
      <c r="C215" s="308" t="s">
        <v>675</v>
      </c>
      <c r="D215" s="308" t="s">
        <v>768</v>
      </c>
      <c r="E215" s="308"/>
      <c r="F215" s="308" t="s">
        <v>613</v>
      </c>
      <c r="G215" s="308"/>
      <c r="H215" s="343" t="s">
        <v>241</v>
      </c>
      <c r="I215" s="335"/>
      <c r="J215" s="309" t="s">
        <v>32</v>
      </c>
      <c r="K215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15" s="310" t="s">
        <v>737</v>
      </c>
      <c r="M215" s="310">
        <v>50</v>
      </c>
      <c r="N215" s="312">
        <v>0.26</v>
      </c>
      <c r="O215" s="311">
        <f>IFERROR(_xlfn.LET(_xlpm.boxType, J215, _xlpm.tallos, M215, _xlpm.cost, N215, _xlpm.precio, P215,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215" s="322">
        <v>1.29</v>
      </c>
      <c r="Q215" s="312" t="s">
        <v>725</v>
      </c>
      <c r="R215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15" s="312">
        <v>0.26</v>
      </c>
      <c r="T215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215" s="314">
        <v>0.75</v>
      </c>
    </row>
    <row r="216" spans="1:21" x14ac:dyDescent="0.25">
      <c r="A216" s="304" t="s">
        <v>41</v>
      </c>
      <c r="B216" s="305">
        <f>_xlfn.XLOOKUP(Catalogo[[#This Row],[Finca]], Fincas[Nombre], Fincas[ID])</f>
        <v>38</v>
      </c>
      <c r="C216" s="304" t="s">
        <v>675</v>
      </c>
      <c r="D216" s="304" t="s">
        <v>768</v>
      </c>
      <c r="E216" s="304"/>
      <c r="F216" s="304" t="s">
        <v>613</v>
      </c>
      <c r="G216" s="304"/>
      <c r="H216" s="338" t="s">
        <v>241</v>
      </c>
      <c r="I216" s="336"/>
      <c r="J216" s="305" t="s">
        <v>33</v>
      </c>
      <c r="K21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16" s="306" t="s">
        <v>738</v>
      </c>
      <c r="M216" s="306">
        <v>150</v>
      </c>
      <c r="N216" s="303">
        <v>0.26</v>
      </c>
      <c r="O216" s="307">
        <f>IFERROR(_xlfn.LET(_xlpm.boxType, J216, _xlpm.tallos, M216, _xlpm.cost, N216, _xlpm.precio, P216,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216" s="323">
        <v>1.19</v>
      </c>
      <c r="Q216" s="303" t="s">
        <v>726</v>
      </c>
      <c r="R21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16" s="303">
        <v>0.26</v>
      </c>
      <c r="T21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16" s="301">
        <v>0.69</v>
      </c>
    </row>
    <row r="217" spans="1:21" ht="15.75" thickBot="1" x14ac:dyDescent="0.3">
      <c r="A217" s="315" t="s">
        <v>41</v>
      </c>
      <c r="B217" s="316">
        <f>_xlfn.XLOOKUP(Catalogo[[#This Row],[Finca]], Fincas[Nombre], Fincas[ID])</f>
        <v>38</v>
      </c>
      <c r="C217" s="315" t="s">
        <v>675</v>
      </c>
      <c r="D217" s="315" t="s">
        <v>768</v>
      </c>
      <c r="E217" s="315"/>
      <c r="F217" s="315" t="s">
        <v>613</v>
      </c>
      <c r="G217" s="315"/>
      <c r="H217" s="344" t="s">
        <v>241</v>
      </c>
      <c r="I217" s="337"/>
      <c r="J217" s="316" t="s">
        <v>43</v>
      </c>
      <c r="K217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17" s="317" t="s">
        <v>342</v>
      </c>
      <c r="M217" s="317">
        <v>300</v>
      </c>
      <c r="N217" s="319">
        <v>0.26</v>
      </c>
      <c r="O217" s="318">
        <f>IFERROR(_xlfn.LET(_xlpm.boxType, J217, _xlpm.tallos, M217, _xlpm.cost, N217, _xlpm.precio, P217,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217" s="324">
        <v>1.19</v>
      </c>
      <c r="Q217" s="319" t="s">
        <v>727</v>
      </c>
      <c r="R217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17" s="319">
        <v>0.26</v>
      </c>
      <c r="T217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17" s="321">
        <v>0.69</v>
      </c>
    </row>
    <row r="218" spans="1:21" x14ac:dyDescent="0.25">
      <c r="A218" s="304" t="s">
        <v>41</v>
      </c>
      <c r="B218" s="305">
        <f>_xlfn.XLOOKUP(Catalogo[[#This Row],[Finca]], Fincas[Nombre], Fincas[ID])</f>
        <v>38</v>
      </c>
      <c r="C218" s="304" t="s">
        <v>675</v>
      </c>
      <c r="D218" s="304" t="s">
        <v>768</v>
      </c>
      <c r="E218" s="304"/>
      <c r="F218" s="304" t="s">
        <v>613</v>
      </c>
      <c r="G218" s="304"/>
      <c r="H218" s="338" t="s">
        <v>242</v>
      </c>
      <c r="I218" s="336"/>
      <c r="J218" s="305" t="s">
        <v>32</v>
      </c>
      <c r="K21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18" s="306" t="s">
        <v>737</v>
      </c>
      <c r="M218" s="306">
        <v>50</v>
      </c>
      <c r="N218" s="303">
        <v>0.36</v>
      </c>
      <c r="O218" s="307">
        <f>IFERROR(_xlfn.LET(_xlpm.boxType, J218, _xlpm.tallos, M218, _xlpm.cost, N218, _xlpm.precio, P218,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218" s="323">
        <v>1.49</v>
      </c>
      <c r="Q218" s="303" t="s">
        <v>725</v>
      </c>
      <c r="R21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18" s="303">
        <v>0.36</v>
      </c>
      <c r="T21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218" s="301">
        <v>0.85</v>
      </c>
    </row>
    <row r="219" spans="1:21" x14ac:dyDescent="0.25">
      <c r="A219" s="304" t="s">
        <v>41</v>
      </c>
      <c r="B219" s="305">
        <f>_xlfn.XLOOKUP(Catalogo[[#This Row],[Finca]], Fincas[Nombre], Fincas[ID])</f>
        <v>38</v>
      </c>
      <c r="C219" s="304" t="s">
        <v>675</v>
      </c>
      <c r="D219" s="304" t="s">
        <v>768</v>
      </c>
      <c r="E219" s="304"/>
      <c r="F219" s="304" t="s">
        <v>613</v>
      </c>
      <c r="G219" s="304"/>
      <c r="H219" s="338" t="s">
        <v>242</v>
      </c>
      <c r="I219" s="336"/>
      <c r="J219" s="305" t="s">
        <v>33</v>
      </c>
      <c r="K21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19" s="306" t="s">
        <v>738</v>
      </c>
      <c r="M219" s="306">
        <v>125</v>
      </c>
      <c r="N219" s="303">
        <v>0.36</v>
      </c>
      <c r="O219" s="307">
        <f>IFERROR(_xlfn.LET(_xlpm.boxType, J219, _xlpm.tallos, M219, _xlpm.cost, N219, _xlpm.precio, P219,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219" s="323">
        <v>1.39</v>
      </c>
      <c r="Q219" s="303" t="s">
        <v>726</v>
      </c>
      <c r="R21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19" s="303">
        <v>0.36</v>
      </c>
      <c r="T21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19" s="301">
        <v>0.79</v>
      </c>
    </row>
    <row r="220" spans="1:21" ht="15.75" thickBot="1" x14ac:dyDescent="0.3">
      <c r="A220" s="304" t="s">
        <v>41</v>
      </c>
      <c r="B220" s="305">
        <f>_xlfn.XLOOKUP(Catalogo[[#This Row],[Finca]], Fincas[Nombre], Fincas[ID])</f>
        <v>38</v>
      </c>
      <c r="C220" s="304" t="s">
        <v>675</v>
      </c>
      <c r="D220" s="304" t="s">
        <v>768</v>
      </c>
      <c r="E220" s="304"/>
      <c r="F220" s="304" t="s">
        <v>613</v>
      </c>
      <c r="G220" s="304"/>
      <c r="H220" s="338" t="s">
        <v>242</v>
      </c>
      <c r="I220" s="336"/>
      <c r="J220" s="305" t="s">
        <v>43</v>
      </c>
      <c r="K22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20" s="306" t="s">
        <v>342</v>
      </c>
      <c r="M220" s="306">
        <v>250</v>
      </c>
      <c r="N220" s="303">
        <v>0.36</v>
      </c>
      <c r="O220" s="307">
        <f>IFERROR(_xlfn.LET(_xlpm.boxType, J220, _xlpm.tallos, M220, _xlpm.cost, N220, _xlpm.precio, P220,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220" s="323">
        <v>1.39</v>
      </c>
      <c r="Q220" s="303" t="s">
        <v>727</v>
      </c>
      <c r="R22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20" s="303">
        <v>0.36</v>
      </c>
      <c r="T22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20" s="301">
        <v>0.79</v>
      </c>
    </row>
    <row r="221" spans="1:21" x14ac:dyDescent="0.25">
      <c r="A221" s="308" t="s">
        <v>41</v>
      </c>
      <c r="B221" s="309">
        <f>_xlfn.XLOOKUP(Catalogo[[#This Row],[Finca]], Fincas[Nombre], Fincas[ID])</f>
        <v>38</v>
      </c>
      <c r="C221" s="308" t="s">
        <v>675</v>
      </c>
      <c r="D221" s="308" t="s">
        <v>768</v>
      </c>
      <c r="E221" s="308"/>
      <c r="F221" s="308" t="s">
        <v>613</v>
      </c>
      <c r="G221" s="308"/>
      <c r="H221" s="343" t="s">
        <v>243</v>
      </c>
      <c r="I221" s="335"/>
      <c r="J221" s="309" t="s">
        <v>32</v>
      </c>
      <c r="K221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21" s="310" t="s">
        <v>737</v>
      </c>
      <c r="M221" s="310">
        <v>50</v>
      </c>
      <c r="N221" s="312">
        <v>0.42</v>
      </c>
      <c r="O221" s="311">
        <f>IFERROR(_xlfn.LET(_xlpm.boxType, J221, _xlpm.tallos, M221, _xlpm.cost, N221, _xlpm.precio, P221,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21" s="322">
        <v>1.59</v>
      </c>
      <c r="Q221" s="312" t="s">
        <v>725</v>
      </c>
      <c r="R221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21" s="312">
        <v>0.42</v>
      </c>
      <c r="T221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221" s="314">
        <v>0.99</v>
      </c>
    </row>
    <row r="222" spans="1:21" x14ac:dyDescent="0.25">
      <c r="A222" s="304" t="s">
        <v>41</v>
      </c>
      <c r="B222" s="305">
        <f>_xlfn.XLOOKUP(Catalogo[[#This Row],[Finca]], Fincas[Nombre], Fincas[ID])</f>
        <v>38</v>
      </c>
      <c r="C222" s="304" t="s">
        <v>675</v>
      </c>
      <c r="D222" s="304" t="s">
        <v>768</v>
      </c>
      <c r="E222" s="304"/>
      <c r="F222" s="304" t="s">
        <v>613</v>
      </c>
      <c r="G222" s="304"/>
      <c r="H222" s="338" t="s">
        <v>243</v>
      </c>
      <c r="I222" s="336"/>
      <c r="J222" s="305" t="s">
        <v>33</v>
      </c>
      <c r="K22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22" s="306" t="s">
        <v>738</v>
      </c>
      <c r="M222" s="306">
        <v>100</v>
      </c>
      <c r="N222" s="303">
        <v>0.42</v>
      </c>
      <c r="O222" s="307">
        <f>IFERROR(_xlfn.LET(_xlpm.boxType, J222, _xlpm.tallos, M222, _xlpm.cost, N222, _xlpm.precio, P222,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222" s="323">
        <v>1.59</v>
      </c>
      <c r="Q222" s="303" t="s">
        <v>726</v>
      </c>
      <c r="R22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22" s="303">
        <v>0.42</v>
      </c>
      <c r="T22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22" s="301">
        <v>0.89</v>
      </c>
    </row>
    <row r="223" spans="1:21" ht="15.75" thickBot="1" x14ac:dyDescent="0.3">
      <c r="A223" s="315" t="s">
        <v>41</v>
      </c>
      <c r="B223" s="316">
        <f>_xlfn.XLOOKUP(Catalogo[[#This Row],[Finca]], Fincas[Nombre], Fincas[ID])</f>
        <v>38</v>
      </c>
      <c r="C223" s="315" t="s">
        <v>675</v>
      </c>
      <c r="D223" s="315" t="s">
        <v>768</v>
      </c>
      <c r="E223" s="315"/>
      <c r="F223" s="315" t="s">
        <v>613</v>
      </c>
      <c r="G223" s="315"/>
      <c r="H223" s="344" t="s">
        <v>243</v>
      </c>
      <c r="I223" s="337"/>
      <c r="J223" s="316" t="s">
        <v>43</v>
      </c>
      <c r="K223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23" s="317" t="s">
        <v>342</v>
      </c>
      <c r="M223" s="317">
        <v>200</v>
      </c>
      <c r="N223" s="319">
        <v>0.42</v>
      </c>
      <c r="O223" s="318">
        <f>IFERROR(_xlfn.LET(_xlpm.boxType, J223, _xlpm.tallos, M223, _xlpm.cost, N223, _xlpm.precio, P223,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23" s="324">
        <v>1.59</v>
      </c>
      <c r="Q223" s="319" t="s">
        <v>727</v>
      </c>
      <c r="R223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23" s="319">
        <v>0.42</v>
      </c>
      <c r="T223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23" s="321">
        <v>0.89</v>
      </c>
    </row>
    <row r="224" spans="1:21" x14ac:dyDescent="0.25">
      <c r="A224" s="308" t="s">
        <v>41</v>
      </c>
      <c r="B224" s="309">
        <f>_xlfn.XLOOKUP(Catalogo[[#This Row],[Finca]], Fincas[Nombre], Fincas[ID])</f>
        <v>38</v>
      </c>
      <c r="C224" s="308" t="s">
        <v>675</v>
      </c>
      <c r="D224" s="308" t="s">
        <v>769</v>
      </c>
      <c r="E224" s="308"/>
      <c r="F224" s="308" t="s">
        <v>179</v>
      </c>
      <c r="G224" s="308"/>
      <c r="H224" s="343" t="s">
        <v>241</v>
      </c>
      <c r="I224" s="335"/>
      <c r="J224" s="309" t="s">
        <v>32</v>
      </c>
      <c r="K224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24" s="310" t="s">
        <v>737</v>
      </c>
      <c r="M224" s="310">
        <v>50</v>
      </c>
      <c r="N224" s="312">
        <v>0.26</v>
      </c>
      <c r="O224" s="311">
        <f>IFERROR(_xlfn.LET(_xlpm.boxType, J224, _xlpm.tallos, M224, _xlpm.cost, N224, _xlpm.precio, P224,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224" s="322">
        <v>1.29</v>
      </c>
      <c r="Q224" s="312" t="s">
        <v>725</v>
      </c>
      <c r="R224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24" s="312">
        <v>0.26</v>
      </c>
      <c r="T224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224" s="314">
        <v>0.75</v>
      </c>
    </row>
    <row r="225" spans="1:21" x14ac:dyDescent="0.25">
      <c r="A225" s="304" t="s">
        <v>41</v>
      </c>
      <c r="B225" s="305">
        <f>_xlfn.XLOOKUP(Catalogo[[#This Row],[Finca]], Fincas[Nombre], Fincas[ID])</f>
        <v>38</v>
      </c>
      <c r="C225" s="304" t="s">
        <v>675</v>
      </c>
      <c r="D225" s="304" t="s">
        <v>769</v>
      </c>
      <c r="E225" s="304"/>
      <c r="F225" s="304" t="s">
        <v>179</v>
      </c>
      <c r="G225" s="304"/>
      <c r="H225" s="338" t="s">
        <v>241</v>
      </c>
      <c r="I225" s="336"/>
      <c r="J225" s="305" t="s">
        <v>33</v>
      </c>
      <c r="K22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25" s="306" t="s">
        <v>738</v>
      </c>
      <c r="M225" s="306">
        <v>150</v>
      </c>
      <c r="N225" s="303">
        <v>0.26</v>
      </c>
      <c r="O225" s="307">
        <f>IFERROR(_xlfn.LET(_xlpm.boxType, J225, _xlpm.tallos, M225, _xlpm.cost, N225, _xlpm.precio, P225,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225" s="323">
        <v>1.19</v>
      </c>
      <c r="Q225" s="303" t="s">
        <v>726</v>
      </c>
      <c r="R22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25" s="303">
        <v>0.26</v>
      </c>
      <c r="T22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25" s="301">
        <v>0.69</v>
      </c>
    </row>
    <row r="226" spans="1:21" ht="15.75" thickBot="1" x14ac:dyDescent="0.3">
      <c r="A226" s="315" t="s">
        <v>41</v>
      </c>
      <c r="B226" s="316">
        <f>_xlfn.XLOOKUP(Catalogo[[#This Row],[Finca]], Fincas[Nombre], Fincas[ID])</f>
        <v>38</v>
      </c>
      <c r="C226" s="315" t="s">
        <v>675</v>
      </c>
      <c r="D226" s="315" t="s">
        <v>769</v>
      </c>
      <c r="E226" s="315"/>
      <c r="F226" s="315" t="s">
        <v>179</v>
      </c>
      <c r="G226" s="315"/>
      <c r="H226" s="344" t="s">
        <v>241</v>
      </c>
      <c r="I226" s="337"/>
      <c r="J226" s="316" t="s">
        <v>43</v>
      </c>
      <c r="K22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26" s="317" t="s">
        <v>342</v>
      </c>
      <c r="M226" s="317">
        <v>300</v>
      </c>
      <c r="N226" s="319">
        <v>0.26</v>
      </c>
      <c r="O226" s="318">
        <f>IFERROR(_xlfn.LET(_xlpm.boxType, J226, _xlpm.tallos, M226, _xlpm.cost, N226, _xlpm.precio, P226,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226" s="324">
        <v>1.19</v>
      </c>
      <c r="Q226" s="319" t="s">
        <v>727</v>
      </c>
      <c r="R22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26" s="319">
        <v>0.26</v>
      </c>
      <c r="T22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26" s="321">
        <v>0.69</v>
      </c>
    </row>
    <row r="227" spans="1:21" x14ac:dyDescent="0.25">
      <c r="A227" s="304" t="s">
        <v>41</v>
      </c>
      <c r="B227" s="305">
        <f>_xlfn.XLOOKUP(Catalogo[[#This Row],[Finca]], Fincas[Nombre], Fincas[ID])</f>
        <v>38</v>
      </c>
      <c r="C227" s="304" t="s">
        <v>675</v>
      </c>
      <c r="D227" s="304" t="s">
        <v>769</v>
      </c>
      <c r="E227" s="304"/>
      <c r="F227" s="304" t="s">
        <v>179</v>
      </c>
      <c r="G227" s="304"/>
      <c r="H227" s="338" t="s">
        <v>242</v>
      </c>
      <c r="I227" s="336"/>
      <c r="J227" s="305" t="s">
        <v>32</v>
      </c>
      <c r="K22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27" s="306" t="s">
        <v>737</v>
      </c>
      <c r="M227" s="306">
        <v>50</v>
      </c>
      <c r="N227" s="303">
        <v>0.36</v>
      </c>
      <c r="O227" s="307">
        <f>IFERROR(_xlfn.LET(_xlpm.boxType, J227, _xlpm.tallos, M227, _xlpm.cost, N227, _xlpm.precio, P227,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227" s="323">
        <v>1.49</v>
      </c>
      <c r="Q227" s="303" t="s">
        <v>725</v>
      </c>
      <c r="R22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27" s="303">
        <v>0.36</v>
      </c>
      <c r="T22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227" s="301">
        <v>0.85</v>
      </c>
    </row>
    <row r="228" spans="1:21" x14ac:dyDescent="0.25">
      <c r="A228" s="304" t="s">
        <v>41</v>
      </c>
      <c r="B228" s="305">
        <f>_xlfn.XLOOKUP(Catalogo[[#This Row],[Finca]], Fincas[Nombre], Fincas[ID])</f>
        <v>38</v>
      </c>
      <c r="C228" s="304" t="s">
        <v>675</v>
      </c>
      <c r="D228" s="304" t="s">
        <v>769</v>
      </c>
      <c r="E228" s="304"/>
      <c r="F228" s="304" t="s">
        <v>179</v>
      </c>
      <c r="G228" s="304"/>
      <c r="H228" s="338" t="s">
        <v>242</v>
      </c>
      <c r="I228" s="336"/>
      <c r="J228" s="305" t="s">
        <v>33</v>
      </c>
      <c r="K22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28" s="306" t="s">
        <v>738</v>
      </c>
      <c r="M228" s="306">
        <v>125</v>
      </c>
      <c r="N228" s="303">
        <v>0.36</v>
      </c>
      <c r="O228" s="307">
        <f>IFERROR(_xlfn.LET(_xlpm.boxType, J228, _xlpm.tallos, M228, _xlpm.cost, N228, _xlpm.precio, P228,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228" s="323">
        <v>1.39</v>
      </c>
      <c r="Q228" s="303" t="s">
        <v>726</v>
      </c>
      <c r="R22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28" s="303">
        <v>0.36</v>
      </c>
      <c r="T22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28" s="301">
        <v>0.79</v>
      </c>
    </row>
    <row r="229" spans="1:21" ht="15.75" thickBot="1" x14ac:dyDescent="0.3">
      <c r="A229" s="304" t="s">
        <v>41</v>
      </c>
      <c r="B229" s="305">
        <f>_xlfn.XLOOKUP(Catalogo[[#This Row],[Finca]], Fincas[Nombre], Fincas[ID])</f>
        <v>38</v>
      </c>
      <c r="C229" s="304" t="s">
        <v>675</v>
      </c>
      <c r="D229" s="304" t="s">
        <v>769</v>
      </c>
      <c r="E229" s="304"/>
      <c r="F229" s="304" t="s">
        <v>179</v>
      </c>
      <c r="G229" s="304"/>
      <c r="H229" s="338" t="s">
        <v>242</v>
      </c>
      <c r="I229" s="336"/>
      <c r="J229" s="305" t="s">
        <v>43</v>
      </c>
      <c r="K22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29" s="306" t="s">
        <v>342</v>
      </c>
      <c r="M229" s="306">
        <v>250</v>
      </c>
      <c r="N229" s="303">
        <v>0.36</v>
      </c>
      <c r="O229" s="307">
        <f>IFERROR(_xlfn.LET(_xlpm.boxType, J229, _xlpm.tallos, M229, _xlpm.cost, N229, _xlpm.precio, P229,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229" s="323">
        <v>1.39</v>
      </c>
      <c r="Q229" s="303" t="s">
        <v>727</v>
      </c>
      <c r="R22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29" s="303">
        <v>0.36</v>
      </c>
      <c r="T22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29" s="301">
        <v>0.79</v>
      </c>
    </row>
    <row r="230" spans="1:21" x14ac:dyDescent="0.25">
      <c r="A230" s="308" t="s">
        <v>41</v>
      </c>
      <c r="B230" s="309">
        <f>_xlfn.XLOOKUP(Catalogo[[#This Row],[Finca]], Fincas[Nombre], Fincas[ID])</f>
        <v>38</v>
      </c>
      <c r="C230" s="308" t="s">
        <v>675</v>
      </c>
      <c r="D230" s="308" t="s">
        <v>769</v>
      </c>
      <c r="E230" s="308"/>
      <c r="F230" s="308" t="s">
        <v>179</v>
      </c>
      <c r="G230" s="308"/>
      <c r="H230" s="343" t="s">
        <v>243</v>
      </c>
      <c r="I230" s="335"/>
      <c r="J230" s="309" t="s">
        <v>32</v>
      </c>
      <c r="K230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30" s="310" t="s">
        <v>737</v>
      </c>
      <c r="M230" s="310">
        <v>50</v>
      </c>
      <c r="N230" s="312">
        <v>0.42</v>
      </c>
      <c r="O230" s="311">
        <f>IFERROR(_xlfn.LET(_xlpm.boxType, J230, _xlpm.tallos, M230, _xlpm.cost, N230, _xlpm.precio, P230,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30" s="322">
        <v>1.59</v>
      </c>
      <c r="Q230" s="312" t="s">
        <v>725</v>
      </c>
      <c r="R230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30" s="312">
        <v>0.42</v>
      </c>
      <c r="T230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230" s="314">
        <v>0.99</v>
      </c>
    </row>
    <row r="231" spans="1:21" x14ac:dyDescent="0.25">
      <c r="A231" s="304" t="s">
        <v>41</v>
      </c>
      <c r="B231" s="305">
        <f>_xlfn.XLOOKUP(Catalogo[[#This Row],[Finca]], Fincas[Nombre], Fincas[ID])</f>
        <v>38</v>
      </c>
      <c r="C231" s="304" t="s">
        <v>675</v>
      </c>
      <c r="D231" s="304" t="s">
        <v>769</v>
      </c>
      <c r="E231" s="304"/>
      <c r="F231" s="304" t="s">
        <v>179</v>
      </c>
      <c r="G231" s="304"/>
      <c r="H231" s="338" t="s">
        <v>243</v>
      </c>
      <c r="I231" s="336"/>
      <c r="J231" s="305" t="s">
        <v>33</v>
      </c>
      <c r="K23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31" s="306" t="s">
        <v>738</v>
      </c>
      <c r="M231" s="306">
        <v>100</v>
      </c>
      <c r="N231" s="303">
        <v>0.42</v>
      </c>
      <c r="O231" s="307">
        <f>IFERROR(_xlfn.LET(_xlpm.boxType, J231, _xlpm.tallos, M231, _xlpm.cost, N231, _xlpm.precio, P231,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231" s="323">
        <v>1.59</v>
      </c>
      <c r="Q231" s="303" t="s">
        <v>726</v>
      </c>
      <c r="R23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31" s="303">
        <v>0.42</v>
      </c>
      <c r="T23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31" s="301">
        <v>0.89</v>
      </c>
    </row>
    <row r="232" spans="1:21" ht="15.75" thickBot="1" x14ac:dyDescent="0.3">
      <c r="A232" s="315" t="s">
        <v>41</v>
      </c>
      <c r="B232" s="316">
        <f>_xlfn.XLOOKUP(Catalogo[[#This Row],[Finca]], Fincas[Nombre], Fincas[ID])</f>
        <v>38</v>
      </c>
      <c r="C232" s="315" t="s">
        <v>675</v>
      </c>
      <c r="D232" s="315" t="s">
        <v>769</v>
      </c>
      <c r="E232" s="315"/>
      <c r="F232" s="315" t="s">
        <v>179</v>
      </c>
      <c r="G232" s="315"/>
      <c r="H232" s="344" t="s">
        <v>243</v>
      </c>
      <c r="I232" s="337"/>
      <c r="J232" s="316" t="s">
        <v>43</v>
      </c>
      <c r="K23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32" s="317" t="s">
        <v>342</v>
      </c>
      <c r="M232" s="317">
        <v>200</v>
      </c>
      <c r="N232" s="319">
        <v>0.42</v>
      </c>
      <c r="O232" s="318">
        <f>IFERROR(_xlfn.LET(_xlpm.boxType, J232, _xlpm.tallos, M232, _xlpm.cost, N232, _xlpm.precio, P232,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32" s="324">
        <v>1.59</v>
      </c>
      <c r="Q232" s="319" t="s">
        <v>727</v>
      </c>
      <c r="R23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32" s="319">
        <v>0.42</v>
      </c>
      <c r="T23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32" s="321">
        <v>0.89</v>
      </c>
    </row>
    <row r="233" spans="1:21" x14ac:dyDescent="0.25">
      <c r="A233" s="308" t="s">
        <v>41</v>
      </c>
      <c r="B233" s="309">
        <f>_xlfn.XLOOKUP(Catalogo[[#This Row],[Finca]], Fincas[Nombre], Fincas[ID])</f>
        <v>38</v>
      </c>
      <c r="C233" s="308" t="s">
        <v>675</v>
      </c>
      <c r="D233" s="308" t="s">
        <v>770</v>
      </c>
      <c r="E233" s="308"/>
      <c r="F233" s="308" t="s">
        <v>613</v>
      </c>
      <c r="G233" s="308"/>
      <c r="H233" s="343" t="s">
        <v>241</v>
      </c>
      <c r="I233" s="335"/>
      <c r="J233" s="309" t="s">
        <v>32</v>
      </c>
      <c r="K233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33" s="310" t="s">
        <v>737</v>
      </c>
      <c r="M233" s="310">
        <v>50</v>
      </c>
      <c r="N233" s="312">
        <v>0.26</v>
      </c>
      <c r="O233" s="311">
        <f>IFERROR(_xlfn.LET(_xlpm.boxType, J233, _xlpm.tallos, M233, _xlpm.cost, N233, _xlpm.precio, P233,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233" s="322">
        <v>1.29</v>
      </c>
      <c r="Q233" s="312" t="s">
        <v>725</v>
      </c>
      <c r="R233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33" s="312">
        <v>0.26</v>
      </c>
      <c r="T233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233" s="314">
        <v>0.75</v>
      </c>
    </row>
    <row r="234" spans="1:21" x14ac:dyDescent="0.25">
      <c r="A234" s="304" t="s">
        <v>41</v>
      </c>
      <c r="B234" s="305">
        <f>_xlfn.XLOOKUP(Catalogo[[#This Row],[Finca]], Fincas[Nombre], Fincas[ID])</f>
        <v>38</v>
      </c>
      <c r="C234" s="304" t="s">
        <v>675</v>
      </c>
      <c r="D234" s="304" t="s">
        <v>770</v>
      </c>
      <c r="E234" s="304"/>
      <c r="F234" s="304" t="s">
        <v>613</v>
      </c>
      <c r="G234" s="304"/>
      <c r="H234" s="338" t="s">
        <v>241</v>
      </c>
      <c r="I234" s="336"/>
      <c r="J234" s="305" t="s">
        <v>33</v>
      </c>
      <c r="K23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34" s="306" t="s">
        <v>738</v>
      </c>
      <c r="M234" s="306">
        <v>150</v>
      </c>
      <c r="N234" s="303">
        <v>0.26</v>
      </c>
      <c r="O234" s="307">
        <f>IFERROR(_xlfn.LET(_xlpm.boxType, J234, _xlpm.tallos, M234, _xlpm.cost, N234, _xlpm.precio, P234,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234" s="323">
        <v>1.19</v>
      </c>
      <c r="Q234" s="303" t="s">
        <v>726</v>
      </c>
      <c r="R23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34" s="303">
        <v>0.26</v>
      </c>
      <c r="T23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34" s="301">
        <v>0.69</v>
      </c>
    </row>
    <row r="235" spans="1:21" ht="15.75" thickBot="1" x14ac:dyDescent="0.3">
      <c r="A235" s="315" t="s">
        <v>41</v>
      </c>
      <c r="B235" s="316">
        <f>_xlfn.XLOOKUP(Catalogo[[#This Row],[Finca]], Fincas[Nombre], Fincas[ID])</f>
        <v>38</v>
      </c>
      <c r="C235" s="315" t="s">
        <v>675</v>
      </c>
      <c r="D235" s="315" t="s">
        <v>770</v>
      </c>
      <c r="E235" s="315"/>
      <c r="F235" s="315" t="s">
        <v>613</v>
      </c>
      <c r="G235" s="315"/>
      <c r="H235" s="344" t="s">
        <v>241</v>
      </c>
      <c r="I235" s="337"/>
      <c r="J235" s="316" t="s">
        <v>43</v>
      </c>
      <c r="K235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35" s="317" t="s">
        <v>342</v>
      </c>
      <c r="M235" s="317">
        <v>300</v>
      </c>
      <c r="N235" s="319">
        <v>0.26</v>
      </c>
      <c r="O235" s="318">
        <f>IFERROR(_xlfn.LET(_xlpm.boxType, J235, _xlpm.tallos, M235, _xlpm.cost, N235, _xlpm.precio, P235,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235" s="324">
        <v>1.19</v>
      </c>
      <c r="Q235" s="319" t="s">
        <v>727</v>
      </c>
      <c r="R235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35" s="319">
        <v>0.26</v>
      </c>
      <c r="T235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35" s="321">
        <v>0.69</v>
      </c>
    </row>
    <row r="236" spans="1:21" x14ac:dyDescent="0.25">
      <c r="A236" s="304" t="s">
        <v>41</v>
      </c>
      <c r="B236" s="305">
        <f>_xlfn.XLOOKUP(Catalogo[[#This Row],[Finca]], Fincas[Nombre], Fincas[ID])</f>
        <v>38</v>
      </c>
      <c r="C236" s="304" t="s">
        <v>675</v>
      </c>
      <c r="D236" s="304" t="s">
        <v>770</v>
      </c>
      <c r="E236" s="304"/>
      <c r="F236" s="304" t="s">
        <v>613</v>
      </c>
      <c r="G236" s="304"/>
      <c r="H236" s="338" t="s">
        <v>242</v>
      </c>
      <c r="I236" s="336"/>
      <c r="J236" s="305" t="s">
        <v>32</v>
      </c>
      <c r="K23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36" s="306" t="s">
        <v>737</v>
      </c>
      <c r="M236" s="306">
        <v>50</v>
      </c>
      <c r="N236" s="303">
        <v>0.36</v>
      </c>
      <c r="O236" s="307">
        <f>IFERROR(_xlfn.LET(_xlpm.boxType, J236, _xlpm.tallos, M236, _xlpm.cost, N236, _xlpm.precio, P236,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236" s="323">
        <v>1.49</v>
      </c>
      <c r="Q236" s="303" t="s">
        <v>725</v>
      </c>
      <c r="R23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36" s="303">
        <v>0.36</v>
      </c>
      <c r="T23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236" s="301">
        <v>0.85</v>
      </c>
    </row>
    <row r="237" spans="1:21" x14ac:dyDescent="0.25">
      <c r="A237" s="304" t="s">
        <v>41</v>
      </c>
      <c r="B237" s="305">
        <f>_xlfn.XLOOKUP(Catalogo[[#This Row],[Finca]], Fincas[Nombre], Fincas[ID])</f>
        <v>38</v>
      </c>
      <c r="C237" s="304" t="s">
        <v>675</v>
      </c>
      <c r="D237" s="304" t="s">
        <v>770</v>
      </c>
      <c r="E237" s="304"/>
      <c r="F237" s="304" t="s">
        <v>613</v>
      </c>
      <c r="G237" s="304"/>
      <c r="H237" s="338" t="s">
        <v>242</v>
      </c>
      <c r="I237" s="336"/>
      <c r="J237" s="305" t="s">
        <v>33</v>
      </c>
      <c r="K23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37" s="306" t="s">
        <v>738</v>
      </c>
      <c r="M237" s="306">
        <v>125</v>
      </c>
      <c r="N237" s="303">
        <v>0.36</v>
      </c>
      <c r="O237" s="307">
        <f>IFERROR(_xlfn.LET(_xlpm.boxType, J237, _xlpm.tallos, M237, _xlpm.cost, N237, _xlpm.precio, P237,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237" s="323">
        <v>1.39</v>
      </c>
      <c r="Q237" s="303" t="s">
        <v>726</v>
      </c>
      <c r="R23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37" s="303">
        <v>0.36</v>
      </c>
      <c r="T23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37" s="301">
        <v>0.79</v>
      </c>
    </row>
    <row r="238" spans="1:21" ht="15.75" thickBot="1" x14ac:dyDescent="0.3">
      <c r="A238" s="304" t="s">
        <v>41</v>
      </c>
      <c r="B238" s="305">
        <f>_xlfn.XLOOKUP(Catalogo[[#This Row],[Finca]], Fincas[Nombre], Fincas[ID])</f>
        <v>38</v>
      </c>
      <c r="C238" s="304" t="s">
        <v>675</v>
      </c>
      <c r="D238" s="304" t="s">
        <v>770</v>
      </c>
      <c r="E238" s="304"/>
      <c r="F238" s="304" t="s">
        <v>613</v>
      </c>
      <c r="G238" s="304"/>
      <c r="H238" s="338" t="s">
        <v>242</v>
      </c>
      <c r="I238" s="336"/>
      <c r="J238" s="305" t="s">
        <v>43</v>
      </c>
      <c r="K23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38" s="306" t="s">
        <v>342</v>
      </c>
      <c r="M238" s="306">
        <v>250</v>
      </c>
      <c r="N238" s="303">
        <v>0.36</v>
      </c>
      <c r="O238" s="307">
        <f>IFERROR(_xlfn.LET(_xlpm.boxType, J238, _xlpm.tallos, M238, _xlpm.cost, N238, _xlpm.precio, P238,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238" s="323">
        <v>1.39</v>
      </c>
      <c r="Q238" s="303" t="s">
        <v>727</v>
      </c>
      <c r="R23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38" s="303">
        <v>0.36</v>
      </c>
      <c r="T23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38" s="301">
        <v>0.79</v>
      </c>
    </row>
    <row r="239" spans="1:21" x14ac:dyDescent="0.25">
      <c r="A239" s="308" t="s">
        <v>41</v>
      </c>
      <c r="B239" s="309">
        <f>_xlfn.XLOOKUP(Catalogo[[#This Row],[Finca]], Fincas[Nombre], Fincas[ID])</f>
        <v>38</v>
      </c>
      <c r="C239" s="308" t="s">
        <v>675</v>
      </c>
      <c r="D239" s="308" t="s">
        <v>770</v>
      </c>
      <c r="E239" s="308"/>
      <c r="F239" s="308" t="s">
        <v>613</v>
      </c>
      <c r="G239" s="308"/>
      <c r="H239" s="343" t="s">
        <v>243</v>
      </c>
      <c r="I239" s="335"/>
      <c r="J239" s="309" t="s">
        <v>32</v>
      </c>
      <c r="K239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39" s="310" t="s">
        <v>737</v>
      </c>
      <c r="M239" s="310">
        <v>50</v>
      </c>
      <c r="N239" s="312">
        <v>0.42</v>
      </c>
      <c r="O239" s="311">
        <f>IFERROR(_xlfn.LET(_xlpm.boxType, J239, _xlpm.tallos, M239, _xlpm.cost, N239, _xlpm.precio, P239,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39" s="322">
        <v>1.59</v>
      </c>
      <c r="Q239" s="312" t="s">
        <v>725</v>
      </c>
      <c r="R239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39" s="312">
        <v>0.42</v>
      </c>
      <c r="T239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239" s="314">
        <v>0.99</v>
      </c>
    </row>
    <row r="240" spans="1:21" x14ac:dyDescent="0.25">
      <c r="A240" s="304" t="s">
        <v>41</v>
      </c>
      <c r="B240" s="305">
        <f>_xlfn.XLOOKUP(Catalogo[[#This Row],[Finca]], Fincas[Nombre], Fincas[ID])</f>
        <v>38</v>
      </c>
      <c r="C240" s="304" t="s">
        <v>675</v>
      </c>
      <c r="D240" s="304" t="s">
        <v>770</v>
      </c>
      <c r="E240" s="304"/>
      <c r="F240" s="304" t="s">
        <v>613</v>
      </c>
      <c r="G240" s="304"/>
      <c r="H240" s="338" t="s">
        <v>243</v>
      </c>
      <c r="I240" s="336"/>
      <c r="J240" s="305" t="s">
        <v>33</v>
      </c>
      <c r="K24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40" s="306" t="s">
        <v>738</v>
      </c>
      <c r="M240" s="306">
        <v>100</v>
      </c>
      <c r="N240" s="303">
        <v>0.42</v>
      </c>
      <c r="O240" s="307">
        <f>IFERROR(_xlfn.LET(_xlpm.boxType, J240, _xlpm.tallos, M240, _xlpm.cost, N240, _xlpm.precio, P240,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240" s="323">
        <v>1.59</v>
      </c>
      <c r="Q240" s="303" t="s">
        <v>726</v>
      </c>
      <c r="R24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40" s="303">
        <v>0.42</v>
      </c>
      <c r="T24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40" s="301">
        <v>0.89</v>
      </c>
    </row>
    <row r="241" spans="1:21" ht="15.75" thickBot="1" x14ac:dyDescent="0.3">
      <c r="A241" s="315" t="s">
        <v>41</v>
      </c>
      <c r="B241" s="316">
        <f>_xlfn.XLOOKUP(Catalogo[[#This Row],[Finca]], Fincas[Nombre], Fincas[ID])</f>
        <v>38</v>
      </c>
      <c r="C241" s="315" t="s">
        <v>675</v>
      </c>
      <c r="D241" s="315" t="s">
        <v>770</v>
      </c>
      <c r="E241" s="315"/>
      <c r="F241" s="315" t="s">
        <v>613</v>
      </c>
      <c r="G241" s="315"/>
      <c r="H241" s="344" t="s">
        <v>243</v>
      </c>
      <c r="I241" s="337"/>
      <c r="J241" s="316" t="s">
        <v>43</v>
      </c>
      <c r="K241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41" s="317" t="s">
        <v>342</v>
      </c>
      <c r="M241" s="317">
        <v>200</v>
      </c>
      <c r="N241" s="319">
        <v>0.42</v>
      </c>
      <c r="O241" s="318">
        <f>IFERROR(_xlfn.LET(_xlpm.boxType, J241, _xlpm.tallos, M241, _xlpm.cost, N241, _xlpm.precio, P241,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41" s="324">
        <v>1.59</v>
      </c>
      <c r="Q241" s="319" t="s">
        <v>727</v>
      </c>
      <c r="R241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41" s="319">
        <v>0.42</v>
      </c>
      <c r="T241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41" s="321">
        <v>0.89</v>
      </c>
    </row>
    <row r="242" spans="1:21" x14ac:dyDescent="0.25">
      <c r="A242" s="308" t="s">
        <v>41</v>
      </c>
      <c r="B242" s="309">
        <f>_xlfn.XLOOKUP(Catalogo[[#This Row],[Finca]], Fincas[Nombre], Fincas[ID])</f>
        <v>38</v>
      </c>
      <c r="C242" s="308" t="s">
        <v>675</v>
      </c>
      <c r="D242" s="308" t="s">
        <v>771</v>
      </c>
      <c r="E242" s="308"/>
      <c r="F242" s="308" t="s">
        <v>615</v>
      </c>
      <c r="G242" s="308"/>
      <c r="H242" s="343" t="s">
        <v>241</v>
      </c>
      <c r="I242" s="335"/>
      <c r="J242" s="309" t="s">
        <v>32</v>
      </c>
      <c r="K242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42" s="310" t="s">
        <v>737</v>
      </c>
      <c r="M242" s="310">
        <v>50</v>
      </c>
      <c r="N242" s="312">
        <v>0.26</v>
      </c>
      <c r="O242" s="311">
        <f>IFERROR(_xlfn.LET(_xlpm.boxType, J242, _xlpm.tallos, M242, _xlpm.cost, N242, _xlpm.precio, P242,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242" s="322">
        <v>1.29</v>
      </c>
      <c r="Q242" s="312" t="s">
        <v>725</v>
      </c>
      <c r="R242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42" s="312">
        <v>0.26</v>
      </c>
      <c r="T242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242" s="314">
        <v>0.75</v>
      </c>
    </row>
    <row r="243" spans="1:21" x14ac:dyDescent="0.25">
      <c r="A243" s="304" t="s">
        <v>41</v>
      </c>
      <c r="B243" s="305">
        <f>_xlfn.XLOOKUP(Catalogo[[#This Row],[Finca]], Fincas[Nombre], Fincas[ID])</f>
        <v>38</v>
      </c>
      <c r="C243" s="304" t="s">
        <v>675</v>
      </c>
      <c r="D243" s="304" t="s">
        <v>771</v>
      </c>
      <c r="E243" s="304"/>
      <c r="F243" s="304" t="s">
        <v>615</v>
      </c>
      <c r="G243" s="304"/>
      <c r="H243" s="338" t="s">
        <v>241</v>
      </c>
      <c r="I243" s="336"/>
      <c r="J243" s="305" t="s">
        <v>33</v>
      </c>
      <c r="K24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43" s="306" t="s">
        <v>738</v>
      </c>
      <c r="M243" s="306">
        <v>150</v>
      </c>
      <c r="N243" s="303">
        <v>0.26</v>
      </c>
      <c r="O243" s="307">
        <f>IFERROR(_xlfn.LET(_xlpm.boxType, J243, _xlpm.tallos, M243, _xlpm.cost, N243, _xlpm.precio, P243,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243" s="323">
        <v>1.19</v>
      </c>
      <c r="Q243" s="303" t="s">
        <v>726</v>
      </c>
      <c r="R24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43" s="303">
        <v>0.26</v>
      </c>
      <c r="T24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43" s="301">
        <v>0.69</v>
      </c>
    </row>
    <row r="244" spans="1:21" ht="15.75" thickBot="1" x14ac:dyDescent="0.3">
      <c r="A244" s="315" t="s">
        <v>41</v>
      </c>
      <c r="B244" s="316">
        <f>_xlfn.XLOOKUP(Catalogo[[#This Row],[Finca]], Fincas[Nombre], Fincas[ID])</f>
        <v>38</v>
      </c>
      <c r="C244" s="315" t="s">
        <v>675</v>
      </c>
      <c r="D244" s="315" t="s">
        <v>771</v>
      </c>
      <c r="E244" s="315"/>
      <c r="F244" s="315" t="s">
        <v>615</v>
      </c>
      <c r="G244" s="315"/>
      <c r="H244" s="344" t="s">
        <v>241</v>
      </c>
      <c r="I244" s="337"/>
      <c r="J244" s="316" t="s">
        <v>43</v>
      </c>
      <c r="K244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44" s="317" t="s">
        <v>342</v>
      </c>
      <c r="M244" s="317">
        <v>300</v>
      </c>
      <c r="N244" s="319">
        <v>0.26</v>
      </c>
      <c r="O244" s="318">
        <f>IFERROR(_xlfn.LET(_xlpm.boxType, J244, _xlpm.tallos, M244, _xlpm.cost, N244, _xlpm.precio, P244,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244" s="324">
        <v>1.19</v>
      </c>
      <c r="Q244" s="319" t="s">
        <v>727</v>
      </c>
      <c r="R244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44" s="319">
        <v>0.26</v>
      </c>
      <c r="T244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44" s="321">
        <v>0.69</v>
      </c>
    </row>
    <row r="245" spans="1:21" x14ac:dyDescent="0.25">
      <c r="A245" s="304" t="s">
        <v>41</v>
      </c>
      <c r="B245" s="305">
        <f>_xlfn.XLOOKUP(Catalogo[[#This Row],[Finca]], Fincas[Nombre], Fincas[ID])</f>
        <v>38</v>
      </c>
      <c r="C245" s="304" t="s">
        <v>675</v>
      </c>
      <c r="D245" s="304" t="s">
        <v>771</v>
      </c>
      <c r="E245" s="304"/>
      <c r="F245" s="304" t="s">
        <v>615</v>
      </c>
      <c r="G245" s="304"/>
      <c r="H245" s="338" t="s">
        <v>242</v>
      </c>
      <c r="I245" s="336"/>
      <c r="J245" s="305" t="s">
        <v>32</v>
      </c>
      <c r="K24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45" s="306" t="s">
        <v>737</v>
      </c>
      <c r="M245" s="306">
        <v>50</v>
      </c>
      <c r="N245" s="303">
        <v>0.36</v>
      </c>
      <c r="O245" s="307">
        <f>IFERROR(_xlfn.LET(_xlpm.boxType, J245, _xlpm.tallos, M245, _xlpm.cost, N245, _xlpm.precio, P245,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245" s="323">
        <v>1.49</v>
      </c>
      <c r="Q245" s="303" t="s">
        <v>725</v>
      </c>
      <c r="R24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45" s="303">
        <v>0.36</v>
      </c>
      <c r="T24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245" s="301">
        <v>0.85</v>
      </c>
    </row>
    <row r="246" spans="1:21" x14ac:dyDescent="0.25">
      <c r="A246" s="304" t="s">
        <v>41</v>
      </c>
      <c r="B246" s="305">
        <f>_xlfn.XLOOKUP(Catalogo[[#This Row],[Finca]], Fincas[Nombre], Fincas[ID])</f>
        <v>38</v>
      </c>
      <c r="C246" s="304" t="s">
        <v>675</v>
      </c>
      <c r="D246" s="304" t="s">
        <v>771</v>
      </c>
      <c r="E246" s="304"/>
      <c r="F246" s="304" t="s">
        <v>615</v>
      </c>
      <c r="G246" s="304"/>
      <c r="H246" s="338" t="s">
        <v>242</v>
      </c>
      <c r="I246" s="336"/>
      <c r="J246" s="305" t="s">
        <v>33</v>
      </c>
      <c r="K24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46" s="306" t="s">
        <v>738</v>
      </c>
      <c r="M246" s="306">
        <v>125</v>
      </c>
      <c r="N246" s="303">
        <v>0.36</v>
      </c>
      <c r="O246" s="307">
        <f>IFERROR(_xlfn.LET(_xlpm.boxType, J246, _xlpm.tallos, M246, _xlpm.cost, N246, _xlpm.precio, P246,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246" s="323">
        <v>1.39</v>
      </c>
      <c r="Q246" s="303" t="s">
        <v>726</v>
      </c>
      <c r="R24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46" s="303">
        <v>0.36</v>
      </c>
      <c r="T24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46" s="301">
        <v>0.79</v>
      </c>
    </row>
    <row r="247" spans="1:21" ht="15.75" thickBot="1" x14ac:dyDescent="0.3">
      <c r="A247" s="304" t="s">
        <v>41</v>
      </c>
      <c r="B247" s="305">
        <f>_xlfn.XLOOKUP(Catalogo[[#This Row],[Finca]], Fincas[Nombre], Fincas[ID])</f>
        <v>38</v>
      </c>
      <c r="C247" s="304" t="s">
        <v>675</v>
      </c>
      <c r="D247" s="304" t="s">
        <v>771</v>
      </c>
      <c r="E247" s="304"/>
      <c r="F247" s="304" t="s">
        <v>615</v>
      </c>
      <c r="G247" s="304"/>
      <c r="H247" s="338" t="s">
        <v>242</v>
      </c>
      <c r="I247" s="336"/>
      <c r="J247" s="305" t="s">
        <v>43</v>
      </c>
      <c r="K24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47" s="306" t="s">
        <v>342</v>
      </c>
      <c r="M247" s="306">
        <v>250</v>
      </c>
      <c r="N247" s="303">
        <v>0.36</v>
      </c>
      <c r="O247" s="307">
        <f>IFERROR(_xlfn.LET(_xlpm.boxType, J247, _xlpm.tallos, M247, _xlpm.cost, N247, _xlpm.precio, P247,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247" s="323">
        <v>1.39</v>
      </c>
      <c r="Q247" s="303" t="s">
        <v>727</v>
      </c>
      <c r="R24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47" s="303">
        <v>0.36</v>
      </c>
      <c r="T24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47" s="301">
        <v>0.79</v>
      </c>
    </row>
    <row r="248" spans="1:21" x14ac:dyDescent="0.25">
      <c r="A248" s="308" t="s">
        <v>41</v>
      </c>
      <c r="B248" s="309">
        <f>_xlfn.XLOOKUP(Catalogo[[#This Row],[Finca]], Fincas[Nombre], Fincas[ID])</f>
        <v>38</v>
      </c>
      <c r="C248" s="308" t="s">
        <v>675</v>
      </c>
      <c r="D248" s="308" t="s">
        <v>771</v>
      </c>
      <c r="E248" s="308"/>
      <c r="F248" s="308" t="s">
        <v>615</v>
      </c>
      <c r="G248" s="308"/>
      <c r="H248" s="343" t="s">
        <v>243</v>
      </c>
      <c r="I248" s="335"/>
      <c r="J248" s="309" t="s">
        <v>32</v>
      </c>
      <c r="K248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48" s="310" t="s">
        <v>737</v>
      </c>
      <c r="M248" s="310">
        <v>50</v>
      </c>
      <c r="N248" s="312">
        <v>0.42</v>
      </c>
      <c r="O248" s="311">
        <f>IFERROR(_xlfn.LET(_xlpm.boxType, J248, _xlpm.tallos, M248, _xlpm.cost, N248, _xlpm.precio, P248,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48" s="322">
        <v>1.59</v>
      </c>
      <c r="Q248" s="312" t="s">
        <v>725</v>
      </c>
      <c r="R248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48" s="312">
        <v>0.42</v>
      </c>
      <c r="T248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248" s="314">
        <v>0.99</v>
      </c>
    </row>
    <row r="249" spans="1:21" x14ac:dyDescent="0.25">
      <c r="A249" s="304" t="s">
        <v>41</v>
      </c>
      <c r="B249" s="305">
        <f>_xlfn.XLOOKUP(Catalogo[[#This Row],[Finca]], Fincas[Nombre], Fincas[ID])</f>
        <v>38</v>
      </c>
      <c r="C249" s="304" t="s">
        <v>675</v>
      </c>
      <c r="D249" s="304" t="s">
        <v>771</v>
      </c>
      <c r="E249" s="304"/>
      <c r="F249" s="304" t="s">
        <v>615</v>
      </c>
      <c r="G249" s="304"/>
      <c r="H249" s="338" t="s">
        <v>243</v>
      </c>
      <c r="I249" s="336"/>
      <c r="J249" s="305" t="s">
        <v>33</v>
      </c>
      <c r="K24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49" s="306" t="s">
        <v>738</v>
      </c>
      <c r="M249" s="306">
        <v>100</v>
      </c>
      <c r="N249" s="303">
        <v>0.42</v>
      </c>
      <c r="O249" s="307">
        <f>IFERROR(_xlfn.LET(_xlpm.boxType, J249, _xlpm.tallos, M249, _xlpm.cost, N249, _xlpm.precio, P249,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249" s="323">
        <v>1.59</v>
      </c>
      <c r="Q249" s="303" t="s">
        <v>726</v>
      </c>
      <c r="R24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49" s="303">
        <v>0.42</v>
      </c>
      <c r="T24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49" s="301">
        <v>0.89</v>
      </c>
    </row>
    <row r="250" spans="1:21" ht="15.75" thickBot="1" x14ac:dyDescent="0.3">
      <c r="A250" s="315" t="s">
        <v>41</v>
      </c>
      <c r="B250" s="316">
        <f>_xlfn.XLOOKUP(Catalogo[[#This Row],[Finca]], Fincas[Nombre], Fincas[ID])</f>
        <v>38</v>
      </c>
      <c r="C250" s="315" t="s">
        <v>675</v>
      </c>
      <c r="D250" s="315" t="s">
        <v>771</v>
      </c>
      <c r="E250" s="315"/>
      <c r="F250" s="315" t="s">
        <v>615</v>
      </c>
      <c r="G250" s="315"/>
      <c r="H250" s="344" t="s">
        <v>243</v>
      </c>
      <c r="I250" s="337"/>
      <c r="J250" s="316" t="s">
        <v>43</v>
      </c>
      <c r="K250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50" s="317" t="s">
        <v>342</v>
      </c>
      <c r="M250" s="317">
        <v>200</v>
      </c>
      <c r="N250" s="319">
        <v>0.42</v>
      </c>
      <c r="O250" s="318">
        <f>IFERROR(_xlfn.LET(_xlpm.boxType, J250, _xlpm.tallos, M250, _xlpm.cost, N250, _xlpm.precio, P250,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50" s="324">
        <v>1.59</v>
      </c>
      <c r="Q250" s="319" t="s">
        <v>727</v>
      </c>
      <c r="R250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50" s="319">
        <v>0.42</v>
      </c>
      <c r="T250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50" s="321">
        <v>0.89</v>
      </c>
    </row>
    <row r="251" spans="1:21" x14ac:dyDescent="0.25">
      <c r="A251" s="308" t="s">
        <v>41</v>
      </c>
      <c r="B251" s="309">
        <f>_xlfn.XLOOKUP(Catalogo[[#This Row],[Finca]], Fincas[Nombre], Fincas[ID])</f>
        <v>38</v>
      </c>
      <c r="C251" s="308" t="s">
        <v>675</v>
      </c>
      <c r="D251" s="308" t="s">
        <v>772</v>
      </c>
      <c r="E251" s="308"/>
      <c r="F251" s="308" t="s">
        <v>615</v>
      </c>
      <c r="G251" s="308"/>
      <c r="H251" s="343" t="s">
        <v>241</v>
      </c>
      <c r="I251" s="335"/>
      <c r="J251" s="309" t="s">
        <v>32</v>
      </c>
      <c r="K251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51" s="310" t="s">
        <v>737</v>
      </c>
      <c r="M251" s="310">
        <v>50</v>
      </c>
      <c r="N251" s="312">
        <v>0.26</v>
      </c>
      <c r="O251" s="311">
        <f>IFERROR(_xlfn.LET(_xlpm.boxType, J251, _xlpm.tallos, M251, _xlpm.cost, N251, _xlpm.precio, P251,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251" s="322">
        <v>1.29</v>
      </c>
      <c r="Q251" s="312" t="s">
        <v>725</v>
      </c>
      <c r="R251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51" s="312">
        <v>0.26</v>
      </c>
      <c r="T251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251" s="314">
        <v>0.75</v>
      </c>
    </row>
    <row r="252" spans="1:21" x14ac:dyDescent="0.25">
      <c r="A252" s="304" t="s">
        <v>41</v>
      </c>
      <c r="B252" s="305">
        <f>_xlfn.XLOOKUP(Catalogo[[#This Row],[Finca]], Fincas[Nombre], Fincas[ID])</f>
        <v>38</v>
      </c>
      <c r="C252" s="304" t="s">
        <v>675</v>
      </c>
      <c r="D252" s="304" t="s">
        <v>772</v>
      </c>
      <c r="E252" s="304"/>
      <c r="F252" s="304" t="s">
        <v>615</v>
      </c>
      <c r="G252" s="304"/>
      <c r="H252" s="338" t="s">
        <v>241</v>
      </c>
      <c r="I252" s="336"/>
      <c r="J252" s="305" t="s">
        <v>33</v>
      </c>
      <c r="K25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52" s="306" t="s">
        <v>738</v>
      </c>
      <c r="M252" s="306">
        <v>150</v>
      </c>
      <c r="N252" s="303">
        <v>0.26</v>
      </c>
      <c r="O252" s="307">
        <f>IFERROR(_xlfn.LET(_xlpm.boxType, J252, _xlpm.tallos, M252, _xlpm.cost, N252, _xlpm.precio, P252,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252" s="323">
        <v>1.19</v>
      </c>
      <c r="Q252" s="303" t="s">
        <v>726</v>
      </c>
      <c r="R25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52" s="303">
        <v>0.26</v>
      </c>
      <c r="T25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52" s="301">
        <v>0.69</v>
      </c>
    </row>
    <row r="253" spans="1:21" ht="15.75" thickBot="1" x14ac:dyDescent="0.3">
      <c r="A253" s="315" t="s">
        <v>41</v>
      </c>
      <c r="B253" s="316">
        <f>_xlfn.XLOOKUP(Catalogo[[#This Row],[Finca]], Fincas[Nombre], Fincas[ID])</f>
        <v>38</v>
      </c>
      <c r="C253" s="315" t="s">
        <v>675</v>
      </c>
      <c r="D253" s="315" t="s">
        <v>772</v>
      </c>
      <c r="E253" s="315"/>
      <c r="F253" s="315" t="s">
        <v>615</v>
      </c>
      <c r="G253" s="315"/>
      <c r="H253" s="344" t="s">
        <v>241</v>
      </c>
      <c r="I253" s="337"/>
      <c r="J253" s="316" t="s">
        <v>43</v>
      </c>
      <c r="K253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53" s="317" t="s">
        <v>342</v>
      </c>
      <c r="M253" s="317">
        <v>300</v>
      </c>
      <c r="N253" s="319">
        <v>0.26</v>
      </c>
      <c r="O253" s="318">
        <f>IFERROR(_xlfn.LET(_xlpm.boxType, J253, _xlpm.tallos, M253, _xlpm.cost, N253, _xlpm.precio, P253,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253" s="324">
        <v>1.19</v>
      </c>
      <c r="Q253" s="319" t="s">
        <v>727</v>
      </c>
      <c r="R253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53" s="319">
        <v>0.26</v>
      </c>
      <c r="T253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53" s="321">
        <v>0.69</v>
      </c>
    </row>
    <row r="254" spans="1:21" x14ac:dyDescent="0.25">
      <c r="A254" s="304" t="s">
        <v>41</v>
      </c>
      <c r="B254" s="305">
        <f>_xlfn.XLOOKUP(Catalogo[[#This Row],[Finca]], Fincas[Nombre], Fincas[ID])</f>
        <v>38</v>
      </c>
      <c r="C254" s="304" t="s">
        <v>675</v>
      </c>
      <c r="D254" s="304" t="s">
        <v>772</v>
      </c>
      <c r="E254" s="304"/>
      <c r="F254" s="304" t="s">
        <v>615</v>
      </c>
      <c r="G254" s="304"/>
      <c r="H254" s="338" t="s">
        <v>242</v>
      </c>
      <c r="I254" s="336"/>
      <c r="J254" s="305" t="s">
        <v>32</v>
      </c>
      <c r="K25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54" s="306" t="s">
        <v>737</v>
      </c>
      <c r="M254" s="306">
        <v>50</v>
      </c>
      <c r="N254" s="303">
        <v>0.36</v>
      </c>
      <c r="O254" s="307">
        <f>IFERROR(_xlfn.LET(_xlpm.boxType, J254, _xlpm.tallos, M254, _xlpm.cost, N254, _xlpm.precio, P254,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254" s="323">
        <v>1.49</v>
      </c>
      <c r="Q254" s="303" t="s">
        <v>725</v>
      </c>
      <c r="R25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54" s="303">
        <v>0.36</v>
      </c>
      <c r="T25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254" s="301">
        <v>0.85</v>
      </c>
    </row>
    <row r="255" spans="1:21" x14ac:dyDescent="0.25">
      <c r="A255" s="304" t="s">
        <v>41</v>
      </c>
      <c r="B255" s="305">
        <f>_xlfn.XLOOKUP(Catalogo[[#This Row],[Finca]], Fincas[Nombre], Fincas[ID])</f>
        <v>38</v>
      </c>
      <c r="C255" s="304" t="s">
        <v>675</v>
      </c>
      <c r="D255" s="304" t="s">
        <v>772</v>
      </c>
      <c r="E255" s="304"/>
      <c r="F255" s="304" t="s">
        <v>615</v>
      </c>
      <c r="G255" s="304"/>
      <c r="H255" s="338" t="s">
        <v>242</v>
      </c>
      <c r="I255" s="336"/>
      <c r="J255" s="305" t="s">
        <v>33</v>
      </c>
      <c r="K25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55" s="306" t="s">
        <v>738</v>
      </c>
      <c r="M255" s="306">
        <v>125</v>
      </c>
      <c r="N255" s="303">
        <v>0.36</v>
      </c>
      <c r="O255" s="307">
        <f>IFERROR(_xlfn.LET(_xlpm.boxType, J255, _xlpm.tallos, M255, _xlpm.cost, N255, _xlpm.precio, P255,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255" s="323">
        <v>1.39</v>
      </c>
      <c r="Q255" s="303" t="s">
        <v>726</v>
      </c>
      <c r="R25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55" s="303">
        <v>0.36</v>
      </c>
      <c r="T25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55" s="301">
        <v>0.79</v>
      </c>
    </row>
    <row r="256" spans="1:21" ht="15.75" thickBot="1" x14ac:dyDescent="0.3">
      <c r="A256" s="304" t="s">
        <v>41</v>
      </c>
      <c r="B256" s="305">
        <f>_xlfn.XLOOKUP(Catalogo[[#This Row],[Finca]], Fincas[Nombre], Fincas[ID])</f>
        <v>38</v>
      </c>
      <c r="C256" s="304" t="s">
        <v>675</v>
      </c>
      <c r="D256" s="304" t="s">
        <v>772</v>
      </c>
      <c r="E256" s="304"/>
      <c r="F256" s="304" t="s">
        <v>615</v>
      </c>
      <c r="G256" s="304"/>
      <c r="H256" s="338" t="s">
        <v>242</v>
      </c>
      <c r="I256" s="336"/>
      <c r="J256" s="305" t="s">
        <v>43</v>
      </c>
      <c r="K25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56" s="306" t="s">
        <v>342</v>
      </c>
      <c r="M256" s="306">
        <v>250</v>
      </c>
      <c r="N256" s="303">
        <v>0.36</v>
      </c>
      <c r="O256" s="307">
        <f>IFERROR(_xlfn.LET(_xlpm.boxType, J256, _xlpm.tallos, M256, _xlpm.cost, N256, _xlpm.precio, P256,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256" s="323">
        <v>1.39</v>
      </c>
      <c r="Q256" s="303" t="s">
        <v>727</v>
      </c>
      <c r="R25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56" s="303">
        <v>0.36</v>
      </c>
      <c r="T25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56" s="301">
        <v>0.79</v>
      </c>
    </row>
    <row r="257" spans="1:21" x14ac:dyDescent="0.25">
      <c r="A257" s="308" t="s">
        <v>41</v>
      </c>
      <c r="B257" s="309">
        <f>_xlfn.XLOOKUP(Catalogo[[#This Row],[Finca]], Fincas[Nombre], Fincas[ID])</f>
        <v>38</v>
      </c>
      <c r="C257" s="308" t="s">
        <v>675</v>
      </c>
      <c r="D257" s="308" t="s">
        <v>772</v>
      </c>
      <c r="E257" s="308"/>
      <c r="F257" s="308" t="s">
        <v>615</v>
      </c>
      <c r="G257" s="308"/>
      <c r="H257" s="343" t="s">
        <v>243</v>
      </c>
      <c r="I257" s="335"/>
      <c r="J257" s="309" t="s">
        <v>32</v>
      </c>
      <c r="K257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57" s="310" t="s">
        <v>737</v>
      </c>
      <c r="M257" s="310">
        <v>50</v>
      </c>
      <c r="N257" s="312">
        <v>0.42</v>
      </c>
      <c r="O257" s="311">
        <f>IFERROR(_xlfn.LET(_xlpm.boxType, J257, _xlpm.tallos, M257, _xlpm.cost, N257, _xlpm.precio, P257,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57" s="322">
        <v>1.59</v>
      </c>
      <c r="Q257" s="312" t="s">
        <v>725</v>
      </c>
      <c r="R257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57" s="312">
        <v>0.42</v>
      </c>
      <c r="T257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257" s="314">
        <v>0.99</v>
      </c>
    </row>
    <row r="258" spans="1:21" x14ac:dyDescent="0.25">
      <c r="A258" s="304" t="s">
        <v>41</v>
      </c>
      <c r="B258" s="305">
        <f>_xlfn.XLOOKUP(Catalogo[[#This Row],[Finca]], Fincas[Nombre], Fincas[ID])</f>
        <v>38</v>
      </c>
      <c r="C258" s="304" t="s">
        <v>675</v>
      </c>
      <c r="D258" s="304" t="s">
        <v>772</v>
      </c>
      <c r="E258" s="304"/>
      <c r="F258" s="304" t="s">
        <v>615</v>
      </c>
      <c r="G258" s="304"/>
      <c r="H258" s="338" t="s">
        <v>243</v>
      </c>
      <c r="I258" s="336"/>
      <c r="J258" s="305" t="s">
        <v>33</v>
      </c>
      <c r="K25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58" s="306" t="s">
        <v>738</v>
      </c>
      <c r="M258" s="306">
        <v>100</v>
      </c>
      <c r="N258" s="303">
        <v>0.42</v>
      </c>
      <c r="O258" s="307">
        <f>IFERROR(_xlfn.LET(_xlpm.boxType, J258, _xlpm.tallos, M258, _xlpm.cost, N258, _xlpm.precio, P258,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258" s="323">
        <v>1.59</v>
      </c>
      <c r="Q258" s="303" t="s">
        <v>726</v>
      </c>
      <c r="R25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58" s="303">
        <v>0.42</v>
      </c>
      <c r="T25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58" s="301">
        <v>0.89</v>
      </c>
    </row>
    <row r="259" spans="1:21" ht="15.75" thickBot="1" x14ac:dyDescent="0.3">
      <c r="A259" s="315" t="s">
        <v>41</v>
      </c>
      <c r="B259" s="316">
        <f>_xlfn.XLOOKUP(Catalogo[[#This Row],[Finca]], Fincas[Nombre], Fincas[ID])</f>
        <v>38</v>
      </c>
      <c r="C259" s="315" t="s">
        <v>675</v>
      </c>
      <c r="D259" s="315" t="s">
        <v>772</v>
      </c>
      <c r="E259" s="315"/>
      <c r="F259" s="315" t="s">
        <v>615</v>
      </c>
      <c r="G259" s="315"/>
      <c r="H259" s="344" t="s">
        <v>243</v>
      </c>
      <c r="I259" s="337"/>
      <c r="J259" s="316" t="s">
        <v>43</v>
      </c>
      <c r="K259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59" s="317" t="s">
        <v>342</v>
      </c>
      <c r="M259" s="317">
        <v>200</v>
      </c>
      <c r="N259" s="319">
        <v>0.42</v>
      </c>
      <c r="O259" s="318">
        <f>IFERROR(_xlfn.LET(_xlpm.boxType, J259, _xlpm.tallos, M259, _xlpm.cost, N259, _xlpm.precio, P259,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59" s="324">
        <v>1.59</v>
      </c>
      <c r="Q259" s="319" t="s">
        <v>727</v>
      </c>
      <c r="R259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59" s="319">
        <v>0.42</v>
      </c>
      <c r="T259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59" s="321">
        <v>0.89</v>
      </c>
    </row>
    <row r="260" spans="1:21" x14ac:dyDescent="0.25">
      <c r="A260" s="308" t="s">
        <v>41</v>
      </c>
      <c r="B260" s="309">
        <f>_xlfn.XLOOKUP(Catalogo[[#This Row],[Finca]], Fincas[Nombre], Fincas[ID])</f>
        <v>38</v>
      </c>
      <c r="C260" s="308" t="s">
        <v>675</v>
      </c>
      <c r="D260" s="308" t="s">
        <v>773</v>
      </c>
      <c r="E260" s="308"/>
      <c r="F260" s="308" t="s">
        <v>614</v>
      </c>
      <c r="G260" s="308"/>
      <c r="H260" s="343" t="s">
        <v>241</v>
      </c>
      <c r="I260" s="335"/>
      <c r="J260" s="309" t="s">
        <v>32</v>
      </c>
      <c r="K260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60" s="310" t="s">
        <v>737</v>
      </c>
      <c r="M260" s="310">
        <v>50</v>
      </c>
      <c r="N260" s="312">
        <v>0.26</v>
      </c>
      <c r="O260" s="311">
        <f>IFERROR(_xlfn.LET(_xlpm.boxType, J260, _xlpm.tallos, M260, _xlpm.cost, N260, _xlpm.precio, P260,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260" s="322">
        <v>1.29</v>
      </c>
      <c r="Q260" s="312" t="s">
        <v>725</v>
      </c>
      <c r="R260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60" s="312">
        <v>0.26</v>
      </c>
      <c r="T260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260" s="314">
        <v>0.75</v>
      </c>
    </row>
    <row r="261" spans="1:21" x14ac:dyDescent="0.25">
      <c r="A261" s="304" t="s">
        <v>41</v>
      </c>
      <c r="B261" s="305">
        <f>_xlfn.XLOOKUP(Catalogo[[#This Row],[Finca]], Fincas[Nombre], Fincas[ID])</f>
        <v>38</v>
      </c>
      <c r="C261" s="304" t="s">
        <v>675</v>
      </c>
      <c r="D261" s="304" t="s">
        <v>773</v>
      </c>
      <c r="E261" s="304"/>
      <c r="F261" s="304" t="s">
        <v>614</v>
      </c>
      <c r="G261" s="304"/>
      <c r="H261" s="338" t="s">
        <v>241</v>
      </c>
      <c r="I261" s="336"/>
      <c r="J261" s="305" t="s">
        <v>33</v>
      </c>
      <c r="K26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61" s="306" t="s">
        <v>738</v>
      </c>
      <c r="M261" s="306">
        <v>150</v>
      </c>
      <c r="N261" s="303">
        <v>0.26</v>
      </c>
      <c r="O261" s="307">
        <f>IFERROR(_xlfn.LET(_xlpm.boxType, J261, _xlpm.tallos, M261, _xlpm.cost, N261, _xlpm.precio, P261,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261" s="323">
        <v>1.19</v>
      </c>
      <c r="Q261" s="303" t="s">
        <v>726</v>
      </c>
      <c r="R26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61" s="303">
        <v>0.26</v>
      </c>
      <c r="T26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61" s="301">
        <v>0.69</v>
      </c>
    </row>
    <row r="262" spans="1:21" ht="15.75" thickBot="1" x14ac:dyDescent="0.3">
      <c r="A262" s="315" t="s">
        <v>41</v>
      </c>
      <c r="B262" s="316">
        <f>_xlfn.XLOOKUP(Catalogo[[#This Row],[Finca]], Fincas[Nombre], Fincas[ID])</f>
        <v>38</v>
      </c>
      <c r="C262" s="315" t="s">
        <v>675</v>
      </c>
      <c r="D262" s="315" t="s">
        <v>773</v>
      </c>
      <c r="E262" s="315"/>
      <c r="F262" s="315" t="s">
        <v>614</v>
      </c>
      <c r="G262" s="315"/>
      <c r="H262" s="344" t="s">
        <v>241</v>
      </c>
      <c r="I262" s="337"/>
      <c r="J262" s="316" t="s">
        <v>43</v>
      </c>
      <c r="K26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62" s="317" t="s">
        <v>342</v>
      </c>
      <c r="M262" s="317">
        <v>300</v>
      </c>
      <c r="N262" s="319">
        <v>0.26</v>
      </c>
      <c r="O262" s="318">
        <f>IFERROR(_xlfn.LET(_xlpm.boxType, J262, _xlpm.tallos, M262, _xlpm.cost, N262, _xlpm.precio, P262,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262" s="324">
        <v>1.19</v>
      </c>
      <c r="Q262" s="319" t="s">
        <v>727</v>
      </c>
      <c r="R26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62" s="319">
        <v>0.26</v>
      </c>
      <c r="T26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62" s="321">
        <v>0.69</v>
      </c>
    </row>
    <row r="263" spans="1:21" x14ac:dyDescent="0.25">
      <c r="A263" s="304" t="s">
        <v>41</v>
      </c>
      <c r="B263" s="305">
        <f>_xlfn.XLOOKUP(Catalogo[[#This Row],[Finca]], Fincas[Nombre], Fincas[ID])</f>
        <v>38</v>
      </c>
      <c r="C263" s="304" t="s">
        <v>675</v>
      </c>
      <c r="D263" s="304" t="s">
        <v>773</v>
      </c>
      <c r="E263" s="304"/>
      <c r="F263" s="304" t="s">
        <v>614</v>
      </c>
      <c r="G263" s="304"/>
      <c r="H263" s="338" t="s">
        <v>242</v>
      </c>
      <c r="I263" s="336"/>
      <c r="J263" s="305" t="s">
        <v>32</v>
      </c>
      <c r="K26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63" s="306" t="s">
        <v>737</v>
      </c>
      <c r="M263" s="306">
        <v>50</v>
      </c>
      <c r="N263" s="303">
        <v>0.36</v>
      </c>
      <c r="O263" s="307">
        <f>IFERROR(_xlfn.LET(_xlpm.boxType, J263, _xlpm.tallos, M263, _xlpm.cost, N263, _xlpm.precio, P263,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263" s="323">
        <v>1.49</v>
      </c>
      <c r="Q263" s="303" t="s">
        <v>725</v>
      </c>
      <c r="R26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63" s="303">
        <v>0.36</v>
      </c>
      <c r="T26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263" s="301">
        <v>0.85</v>
      </c>
    </row>
    <row r="264" spans="1:21" x14ac:dyDescent="0.25">
      <c r="A264" s="304" t="s">
        <v>41</v>
      </c>
      <c r="B264" s="305">
        <f>_xlfn.XLOOKUP(Catalogo[[#This Row],[Finca]], Fincas[Nombre], Fincas[ID])</f>
        <v>38</v>
      </c>
      <c r="C264" s="304" t="s">
        <v>675</v>
      </c>
      <c r="D264" s="304" t="s">
        <v>773</v>
      </c>
      <c r="E264" s="304"/>
      <c r="F264" s="304" t="s">
        <v>614</v>
      </c>
      <c r="G264" s="304"/>
      <c r="H264" s="338" t="s">
        <v>242</v>
      </c>
      <c r="I264" s="336"/>
      <c r="J264" s="305" t="s">
        <v>33</v>
      </c>
      <c r="K26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64" s="306" t="s">
        <v>738</v>
      </c>
      <c r="M264" s="306">
        <v>125</v>
      </c>
      <c r="N264" s="303">
        <v>0.36</v>
      </c>
      <c r="O264" s="307">
        <f>IFERROR(_xlfn.LET(_xlpm.boxType, J264, _xlpm.tallos, M264, _xlpm.cost, N264, _xlpm.precio, P264,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264" s="323">
        <v>1.39</v>
      </c>
      <c r="Q264" s="303" t="s">
        <v>726</v>
      </c>
      <c r="R26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64" s="303">
        <v>0.36</v>
      </c>
      <c r="T26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64" s="301">
        <v>0.79</v>
      </c>
    </row>
    <row r="265" spans="1:21" ht="15.75" thickBot="1" x14ac:dyDescent="0.3">
      <c r="A265" s="304" t="s">
        <v>41</v>
      </c>
      <c r="B265" s="305">
        <f>_xlfn.XLOOKUP(Catalogo[[#This Row],[Finca]], Fincas[Nombre], Fincas[ID])</f>
        <v>38</v>
      </c>
      <c r="C265" s="304" t="s">
        <v>675</v>
      </c>
      <c r="D265" s="304" t="s">
        <v>773</v>
      </c>
      <c r="E265" s="304"/>
      <c r="F265" s="304" t="s">
        <v>614</v>
      </c>
      <c r="G265" s="304"/>
      <c r="H265" s="338" t="s">
        <v>242</v>
      </c>
      <c r="I265" s="336"/>
      <c r="J265" s="305" t="s">
        <v>43</v>
      </c>
      <c r="K26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65" s="306" t="s">
        <v>342</v>
      </c>
      <c r="M265" s="306">
        <v>250</v>
      </c>
      <c r="N265" s="303">
        <v>0.36</v>
      </c>
      <c r="O265" s="307">
        <f>IFERROR(_xlfn.LET(_xlpm.boxType, J265, _xlpm.tallos, M265, _xlpm.cost, N265, _xlpm.precio, P265,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265" s="323">
        <v>1.39</v>
      </c>
      <c r="Q265" s="303" t="s">
        <v>727</v>
      </c>
      <c r="R26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65" s="303">
        <v>0.36</v>
      </c>
      <c r="T26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65" s="301">
        <v>0.79</v>
      </c>
    </row>
    <row r="266" spans="1:21" x14ac:dyDescent="0.25">
      <c r="A266" s="308" t="s">
        <v>41</v>
      </c>
      <c r="B266" s="309">
        <f>_xlfn.XLOOKUP(Catalogo[[#This Row],[Finca]], Fincas[Nombre], Fincas[ID])</f>
        <v>38</v>
      </c>
      <c r="C266" s="308" t="s">
        <v>675</v>
      </c>
      <c r="D266" s="308" t="s">
        <v>773</v>
      </c>
      <c r="E266" s="308"/>
      <c r="F266" s="308" t="s">
        <v>614</v>
      </c>
      <c r="G266" s="308"/>
      <c r="H266" s="343" t="s">
        <v>243</v>
      </c>
      <c r="I266" s="335"/>
      <c r="J266" s="309" t="s">
        <v>32</v>
      </c>
      <c r="K266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66" s="310" t="s">
        <v>737</v>
      </c>
      <c r="M266" s="310">
        <v>50</v>
      </c>
      <c r="N266" s="312">
        <v>0.42</v>
      </c>
      <c r="O266" s="311">
        <f>IFERROR(_xlfn.LET(_xlpm.boxType, J266, _xlpm.tallos, M266, _xlpm.cost, N266, _xlpm.precio, P266,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66" s="322">
        <v>1.59</v>
      </c>
      <c r="Q266" s="312" t="s">
        <v>725</v>
      </c>
      <c r="R266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66" s="312">
        <v>0.42</v>
      </c>
      <c r="T266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266" s="314">
        <v>0.99</v>
      </c>
    </row>
    <row r="267" spans="1:21" x14ac:dyDescent="0.25">
      <c r="A267" s="304" t="s">
        <v>41</v>
      </c>
      <c r="B267" s="305">
        <f>_xlfn.XLOOKUP(Catalogo[[#This Row],[Finca]], Fincas[Nombre], Fincas[ID])</f>
        <v>38</v>
      </c>
      <c r="C267" s="304" t="s">
        <v>675</v>
      </c>
      <c r="D267" s="304" t="s">
        <v>773</v>
      </c>
      <c r="E267" s="304"/>
      <c r="F267" s="304" t="s">
        <v>614</v>
      </c>
      <c r="G267" s="304"/>
      <c r="H267" s="338" t="s">
        <v>243</v>
      </c>
      <c r="I267" s="336"/>
      <c r="J267" s="305" t="s">
        <v>33</v>
      </c>
      <c r="K26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67" s="306" t="s">
        <v>738</v>
      </c>
      <c r="M267" s="306">
        <v>100</v>
      </c>
      <c r="N267" s="303">
        <v>0.42</v>
      </c>
      <c r="O267" s="307">
        <f>IFERROR(_xlfn.LET(_xlpm.boxType, J267, _xlpm.tallos, M267, _xlpm.cost, N267, _xlpm.precio, P267,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267" s="323">
        <v>1.59</v>
      </c>
      <c r="Q267" s="303" t="s">
        <v>726</v>
      </c>
      <c r="R26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67" s="303">
        <v>0.42</v>
      </c>
      <c r="T26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67" s="301">
        <v>0.89</v>
      </c>
    </row>
    <row r="268" spans="1:21" ht="15.75" thickBot="1" x14ac:dyDescent="0.3">
      <c r="A268" s="315" t="s">
        <v>41</v>
      </c>
      <c r="B268" s="316">
        <f>_xlfn.XLOOKUP(Catalogo[[#This Row],[Finca]], Fincas[Nombre], Fincas[ID])</f>
        <v>38</v>
      </c>
      <c r="C268" s="315" t="s">
        <v>675</v>
      </c>
      <c r="D268" s="315" t="s">
        <v>773</v>
      </c>
      <c r="E268" s="315"/>
      <c r="F268" s="315" t="s">
        <v>614</v>
      </c>
      <c r="G268" s="315"/>
      <c r="H268" s="344" t="s">
        <v>243</v>
      </c>
      <c r="I268" s="337"/>
      <c r="J268" s="316" t="s">
        <v>43</v>
      </c>
      <c r="K268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68" s="317" t="s">
        <v>342</v>
      </c>
      <c r="M268" s="317">
        <v>200</v>
      </c>
      <c r="N268" s="319">
        <v>0.42</v>
      </c>
      <c r="O268" s="318">
        <f>IFERROR(_xlfn.LET(_xlpm.boxType, J268, _xlpm.tallos, M268, _xlpm.cost, N268, _xlpm.precio, P268,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68" s="324">
        <v>1.59</v>
      </c>
      <c r="Q268" s="319" t="s">
        <v>727</v>
      </c>
      <c r="R268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68" s="319">
        <v>0.42</v>
      </c>
      <c r="T268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68" s="321">
        <v>0.89</v>
      </c>
    </row>
    <row r="269" spans="1:21" x14ac:dyDescent="0.25">
      <c r="A269" s="308" t="s">
        <v>41</v>
      </c>
      <c r="B269" s="309">
        <f>_xlfn.XLOOKUP(Catalogo[[#This Row],[Finca]], Fincas[Nombre], Fincas[ID])</f>
        <v>38</v>
      </c>
      <c r="C269" s="308" t="s">
        <v>675</v>
      </c>
      <c r="D269" s="308" t="s">
        <v>774</v>
      </c>
      <c r="E269" s="308"/>
      <c r="F269" s="308" t="s">
        <v>618</v>
      </c>
      <c r="G269" s="308" t="s">
        <v>614</v>
      </c>
      <c r="H269" s="343" t="s">
        <v>241</v>
      </c>
      <c r="I269" s="335"/>
      <c r="J269" s="309" t="s">
        <v>32</v>
      </c>
      <c r="K269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69" s="310" t="s">
        <v>737</v>
      </c>
      <c r="M269" s="310">
        <v>50</v>
      </c>
      <c r="N269" s="312">
        <v>0.26</v>
      </c>
      <c r="O269" s="311">
        <f>IFERROR(_xlfn.LET(_xlpm.boxType, J269, _xlpm.tallos, M269, _xlpm.cost, N269, _xlpm.precio, P269,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269" s="322">
        <v>1.29</v>
      </c>
      <c r="Q269" s="312" t="s">
        <v>725</v>
      </c>
      <c r="R269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69" s="312">
        <v>0.26</v>
      </c>
      <c r="T269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269" s="314">
        <v>0.75</v>
      </c>
    </row>
    <row r="270" spans="1:21" x14ac:dyDescent="0.25">
      <c r="A270" s="304" t="s">
        <v>41</v>
      </c>
      <c r="B270" s="305">
        <f>_xlfn.XLOOKUP(Catalogo[[#This Row],[Finca]], Fincas[Nombre], Fincas[ID])</f>
        <v>38</v>
      </c>
      <c r="C270" s="304" t="s">
        <v>675</v>
      </c>
      <c r="D270" s="304" t="s">
        <v>774</v>
      </c>
      <c r="E270" s="304"/>
      <c r="F270" s="304" t="s">
        <v>618</v>
      </c>
      <c r="G270" s="304" t="s">
        <v>614</v>
      </c>
      <c r="H270" s="338" t="s">
        <v>241</v>
      </c>
      <c r="I270" s="336"/>
      <c r="J270" s="305" t="s">
        <v>33</v>
      </c>
      <c r="K27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70" s="306" t="s">
        <v>738</v>
      </c>
      <c r="M270" s="306">
        <v>150</v>
      </c>
      <c r="N270" s="303">
        <v>0.26</v>
      </c>
      <c r="O270" s="307">
        <f>IFERROR(_xlfn.LET(_xlpm.boxType, J270, _xlpm.tallos, M270, _xlpm.cost, N270, _xlpm.precio, P270,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270" s="323">
        <v>1.19</v>
      </c>
      <c r="Q270" s="303" t="s">
        <v>726</v>
      </c>
      <c r="R27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70" s="303">
        <v>0.26</v>
      </c>
      <c r="T27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70" s="301">
        <v>0.69</v>
      </c>
    </row>
    <row r="271" spans="1:21" ht="15.75" thickBot="1" x14ac:dyDescent="0.3">
      <c r="A271" s="315" t="s">
        <v>41</v>
      </c>
      <c r="B271" s="316">
        <f>_xlfn.XLOOKUP(Catalogo[[#This Row],[Finca]], Fincas[Nombre], Fincas[ID])</f>
        <v>38</v>
      </c>
      <c r="C271" s="315" t="s">
        <v>675</v>
      </c>
      <c r="D271" s="315" t="s">
        <v>774</v>
      </c>
      <c r="E271" s="315"/>
      <c r="F271" s="315" t="s">
        <v>618</v>
      </c>
      <c r="G271" s="315" t="s">
        <v>614</v>
      </c>
      <c r="H271" s="344" t="s">
        <v>241</v>
      </c>
      <c r="I271" s="337"/>
      <c r="J271" s="316" t="s">
        <v>43</v>
      </c>
      <c r="K271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71" s="317" t="s">
        <v>342</v>
      </c>
      <c r="M271" s="317">
        <v>300</v>
      </c>
      <c r="N271" s="319">
        <v>0.26</v>
      </c>
      <c r="O271" s="318">
        <f>IFERROR(_xlfn.LET(_xlpm.boxType, J271, _xlpm.tallos, M271, _xlpm.cost, N271, _xlpm.precio, P271,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271" s="324">
        <v>1.19</v>
      </c>
      <c r="Q271" s="319" t="s">
        <v>727</v>
      </c>
      <c r="R271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71" s="319">
        <v>0.26</v>
      </c>
      <c r="T271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71" s="321">
        <v>0.69</v>
      </c>
    </row>
    <row r="272" spans="1:21" x14ac:dyDescent="0.25">
      <c r="A272" s="304" t="s">
        <v>41</v>
      </c>
      <c r="B272" s="305">
        <f>_xlfn.XLOOKUP(Catalogo[[#This Row],[Finca]], Fincas[Nombre], Fincas[ID])</f>
        <v>38</v>
      </c>
      <c r="C272" s="304" t="s">
        <v>675</v>
      </c>
      <c r="D272" s="304" t="s">
        <v>774</v>
      </c>
      <c r="E272" s="304"/>
      <c r="F272" s="304" t="s">
        <v>618</v>
      </c>
      <c r="G272" s="304" t="s">
        <v>614</v>
      </c>
      <c r="H272" s="338" t="s">
        <v>242</v>
      </c>
      <c r="I272" s="336"/>
      <c r="J272" s="305" t="s">
        <v>32</v>
      </c>
      <c r="K27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72" s="306" t="s">
        <v>737</v>
      </c>
      <c r="M272" s="306">
        <v>50</v>
      </c>
      <c r="N272" s="303">
        <v>0.36</v>
      </c>
      <c r="O272" s="307">
        <f>IFERROR(_xlfn.LET(_xlpm.boxType, J272, _xlpm.tallos, M272, _xlpm.cost, N272, _xlpm.precio, P272,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272" s="323">
        <v>1.49</v>
      </c>
      <c r="Q272" s="303" t="s">
        <v>725</v>
      </c>
      <c r="R27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72" s="303">
        <v>0.36</v>
      </c>
      <c r="T27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272" s="301">
        <v>0.85</v>
      </c>
    </row>
    <row r="273" spans="1:21" x14ac:dyDescent="0.25">
      <c r="A273" s="304" t="s">
        <v>41</v>
      </c>
      <c r="B273" s="305">
        <f>_xlfn.XLOOKUP(Catalogo[[#This Row],[Finca]], Fincas[Nombre], Fincas[ID])</f>
        <v>38</v>
      </c>
      <c r="C273" s="304" t="s">
        <v>675</v>
      </c>
      <c r="D273" s="304" t="s">
        <v>774</v>
      </c>
      <c r="E273" s="304"/>
      <c r="F273" s="304" t="s">
        <v>618</v>
      </c>
      <c r="G273" s="304" t="s">
        <v>614</v>
      </c>
      <c r="H273" s="338" t="s">
        <v>242</v>
      </c>
      <c r="I273" s="336"/>
      <c r="J273" s="305" t="s">
        <v>33</v>
      </c>
      <c r="K27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73" s="306" t="s">
        <v>738</v>
      </c>
      <c r="M273" s="306">
        <v>125</v>
      </c>
      <c r="N273" s="303">
        <v>0.36</v>
      </c>
      <c r="O273" s="307">
        <f>IFERROR(_xlfn.LET(_xlpm.boxType, J273, _xlpm.tallos, M273, _xlpm.cost, N273, _xlpm.precio, P273,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273" s="323">
        <v>1.39</v>
      </c>
      <c r="Q273" s="303" t="s">
        <v>726</v>
      </c>
      <c r="R27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73" s="303">
        <v>0.36</v>
      </c>
      <c r="T27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73" s="301">
        <v>0.79</v>
      </c>
    </row>
    <row r="274" spans="1:21" ht="15.75" thickBot="1" x14ac:dyDescent="0.3">
      <c r="A274" s="304" t="s">
        <v>41</v>
      </c>
      <c r="B274" s="305">
        <f>_xlfn.XLOOKUP(Catalogo[[#This Row],[Finca]], Fincas[Nombre], Fincas[ID])</f>
        <v>38</v>
      </c>
      <c r="C274" s="304" t="s">
        <v>675</v>
      </c>
      <c r="D274" s="304" t="s">
        <v>774</v>
      </c>
      <c r="E274" s="304"/>
      <c r="F274" s="304" t="s">
        <v>618</v>
      </c>
      <c r="G274" s="304" t="s">
        <v>614</v>
      </c>
      <c r="H274" s="338" t="s">
        <v>242</v>
      </c>
      <c r="I274" s="336"/>
      <c r="J274" s="305" t="s">
        <v>43</v>
      </c>
      <c r="K27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74" s="306" t="s">
        <v>342</v>
      </c>
      <c r="M274" s="306">
        <v>250</v>
      </c>
      <c r="N274" s="303">
        <v>0.36</v>
      </c>
      <c r="O274" s="307">
        <f>IFERROR(_xlfn.LET(_xlpm.boxType, J274, _xlpm.tallos, M274, _xlpm.cost, N274, _xlpm.precio, P274,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274" s="323">
        <v>1.39</v>
      </c>
      <c r="Q274" s="303" t="s">
        <v>727</v>
      </c>
      <c r="R27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74" s="303">
        <v>0.36</v>
      </c>
      <c r="T27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74" s="301">
        <v>0.79</v>
      </c>
    </row>
    <row r="275" spans="1:21" x14ac:dyDescent="0.25">
      <c r="A275" s="308" t="s">
        <v>41</v>
      </c>
      <c r="B275" s="309">
        <f>_xlfn.XLOOKUP(Catalogo[[#This Row],[Finca]], Fincas[Nombre], Fincas[ID])</f>
        <v>38</v>
      </c>
      <c r="C275" s="308" t="s">
        <v>675</v>
      </c>
      <c r="D275" s="308" t="s">
        <v>774</v>
      </c>
      <c r="E275" s="308"/>
      <c r="F275" s="308" t="s">
        <v>618</v>
      </c>
      <c r="G275" s="308" t="s">
        <v>614</v>
      </c>
      <c r="H275" s="343" t="s">
        <v>243</v>
      </c>
      <c r="I275" s="335"/>
      <c r="J275" s="309" t="s">
        <v>32</v>
      </c>
      <c r="K275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75" s="310" t="s">
        <v>737</v>
      </c>
      <c r="M275" s="310">
        <v>50</v>
      </c>
      <c r="N275" s="312">
        <v>0.42</v>
      </c>
      <c r="O275" s="311">
        <f>IFERROR(_xlfn.LET(_xlpm.boxType, J275, _xlpm.tallos, M275, _xlpm.cost, N275, _xlpm.precio, P275,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75" s="322">
        <v>1.59</v>
      </c>
      <c r="Q275" s="312" t="s">
        <v>725</v>
      </c>
      <c r="R275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75" s="312">
        <v>0.42</v>
      </c>
      <c r="T275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275" s="314">
        <v>0.99</v>
      </c>
    </row>
    <row r="276" spans="1:21" x14ac:dyDescent="0.25">
      <c r="A276" s="304" t="s">
        <v>41</v>
      </c>
      <c r="B276" s="305">
        <f>_xlfn.XLOOKUP(Catalogo[[#This Row],[Finca]], Fincas[Nombre], Fincas[ID])</f>
        <v>38</v>
      </c>
      <c r="C276" s="304" t="s">
        <v>675</v>
      </c>
      <c r="D276" s="304" t="s">
        <v>774</v>
      </c>
      <c r="E276" s="304"/>
      <c r="F276" s="304" t="s">
        <v>618</v>
      </c>
      <c r="G276" s="304" t="s">
        <v>614</v>
      </c>
      <c r="H276" s="338" t="s">
        <v>243</v>
      </c>
      <c r="I276" s="336"/>
      <c r="J276" s="305" t="s">
        <v>33</v>
      </c>
      <c r="K27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76" s="306" t="s">
        <v>738</v>
      </c>
      <c r="M276" s="306">
        <v>100</v>
      </c>
      <c r="N276" s="303">
        <v>0.42</v>
      </c>
      <c r="O276" s="307">
        <f>IFERROR(_xlfn.LET(_xlpm.boxType, J276, _xlpm.tallos, M276, _xlpm.cost, N276, _xlpm.precio, P276,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276" s="323">
        <v>1.59</v>
      </c>
      <c r="Q276" s="303" t="s">
        <v>726</v>
      </c>
      <c r="R27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76" s="303">
        <v>0.42</v>
      </c>
      <c r="T27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76" s="301">
        <v>0.89</v>
      </c>
    </row>
    <row r="277" spans="1:21" ht="15.75" thickBot="1" x14ac:dyDescent="0.3">
      <c r="A277" s="315" t="s">
        <v>41</v>
      </c>
      <c r="B277" s="316">
        <f>_xlfn.XLOOKUP(Catalogo[[#This Row],[Finca]], Fincas[Nombre], Fincas[ID])</f>
        <v>38</v>
      </c>
      <c r="C277" s="315" t="s">
        <v>675</v>
      </c>
      <c r="D277" s="315" t="s">
        <v>774</v>
      </c>
      <c r="E277" s="315"/>
      <c r="F277" s="315" t="s">
        <v>618</v>
      </c>
      <c r="G277" s="315" t="s">
        <v>614</v>
      </c>
      <c r="H277" s="344" t="s">
        <v>243</v>
      </c>
      <c r="I277" s="337"/>
      <c r="J277" s="316" t="s">
        <v>43</v>
      </c>
      <c r="K277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77" s="317" t="s">
        <v>342</v>
      </c>
      <c r="M277" s="317">
        <v>200</v>
      </c>
      <c r="N277" s="319">
        <v>0.42</v>
      </c>
      <c r="O277" s="318">
        <f>IFERROR(_xlfn.LET(_xlpm.boxType, J277, _xlpm.tallos, M277, _xlpm.cost, N277, _xlpm.precio, P277,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77" s="324">
        <v>1.59</v>
      </c>
      <c r="Q277" s="319" t="s">
        <v>727</v>
      </c>
      <c r="R277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77" s="319">
        <v>0.42</v>
      </c>
      <c r="T277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77" s="321">
        <v>0.89</v>
      </c>
    </row>
    <row r="278" spans="1:21" x14ac:dyDescent="0.25">
      <c r="A278" s="308" t="s">
        <v>41</v>
      </c>
      <c r="B278" s="309">
        <f>_xlfn.XLOOKUP(Catalogo[[#This Row],[Finca]], Fincas[Nombre], Fincas[ID])</f>
        <v>38</v>
      </c>
      <c r="C278" s="308" t="s">
        <v>675</v>
      </c>
      <c r="D278" s="308" t="s">
        <v>775</v>
      </c>
      <c r="E278" s="308"/>
      <c r="F278" s="308" t="s">
        <v>612</v>
      </c>
      <c r="G278" s="308"/>
      <c r="H278" s="343" t="s">
        <v>241</v>
      </c>
      <c r="I278" s="335"/>
      <c r="J278" s="309" t="s">
        <v>32</v>
      </c>
      <c r="K278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78" s="310" t="s">
        <v>737</v>
      </c>
      <c r="M278" s="310">
        <v>50</v>
      </c>
      <c r="N278" s="312">
        <v>0.26</v>
      </c>
      <c r="O278" s="311">
        <f>IFERROR(_xlfn.LET(_xlpm.boxType, J278, _xlpm.tallos, M278, _xlpm.cost, N278, _xlpm.precio, P278,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278" s="322">
        <v>1.29</v>
      </c>
      <c r="Q278" s="312" t="s">
        <v>725</v>
      </c>
      <c r="R278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78" s="312">
        <v>0.26</v>
      </c>
      <c r="T278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278" s="314">
        <v>0.75</v>
      </c>
    </row>
    <row r="279" spans="1:21" x14ac:dyDescent="0.25">
      <c r="A279" s="304" t="s">
        <v>41</v>
      </c>
      <c r="B279" s="305">
        <f>_xlfn.XLOOKUP(Catalogo[[#This Row],[Finca]], Fincas[Nombre], Fincas[ID])</f>
        <v>38</v>
      </c>
      <c r="C279" s="304" t="s">
        <v>675</v>
      </c>
      <c r="D279" s="304" t="s">
        <v>775</v>
      </c>
      <c r="E279" s="304"/>
      <c r="F279" s="304" t="s">
        <v>612</v>
      </c>
      <c r="G279" s="304"/>
      <c r="H279" s="338" t="s">
        <v>241</v>
      </c>
      <c r="I279" s="336"/>
      <c r="J279" s="305" t="s">
        <v>33</v>
      </c>
      <c r="K27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79" s="306" t="s">
        <v>738</v>
      </c>
      <c r="M279" s="306">
        <v>150</v>
      </c>
      <c r="N279" s="303">
        <v>0.26</v>
      </c>
      <c r="O279" s="307">
        <f>IFERROR(_xlfn.LET(_xlpm.boxType, J279, _xlpm.tallos, M279, _xlpm.cost, N279, _xlpm.precio, P279,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279" s="323">
        <v>1.19</v>
      </c>
      <c r="Q279" s="303" t="s">
        <v>726</v>
      </c>
      <c r="R27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79" s="303">
        <v>0.26</v>
      </c>
      <c r="T27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79" s="301">
        <v>0.69</v>
      </c>
    </row>
    <row r="280" spans="1:21" ht="15.75" thickBot="1" x14ac:dyDescent="0.3">
      <c r="A280" s="315" t="s">
        <v>41</v>
      </c>
      <c r="B280" s="316">
        <f>_xlfn.XLOOKUP(Catalogo[[#This Row],[Finca]], Fincas[Nombre], Fincas[ID])</f>
        <v>38</v>
      </c>
      <c r="C280" s="315" t="s">
        <v>675</v>
      </c>
      <c r="D280" s="315" t="s">
        <v>775</v>
      </c>
      <c r="E280" s="315"/>
      <c r="F280" s="315" t="s">
        <v>612</v>
      </c>
      <c r="G280" s="315"/>
      <c r="H280" s="344" t="s">
        <v>241</v>
      </c>
      <c r="I280" s="337"/>
      <c r="J280" s="316" t="s">
        <v>43</v>
      </c>
      <c r="K280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80" s="317" t="s">
        <v>342</v>
      </c>
      <c r="M280" s="317">
        <v>300</v>
      </c>
      <c r="N280" s="319">
        <v>0.26</v>
      </c>
      <c r="O280" s="318">
        <f>IFERROR(_xlfn.LET(_xlpm.boxType, J280, _xlpm.tallos, M280, _xlpm.cost, N280, _xlpm.precio, P280,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280" s="324">
        <v>1.19</v>
      </c>
      <c r="Q280" s="319" t="s">
        <v>727</v>
      </c>
      <c r="R280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80" s="319">
        <v>0.26</v>
      </c>
      <c r="T280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80" s="321">
        <v>0.69</v>
      </c>
    </row>
    <row r="281" spans="1:21" x14ac:dyDescent="0.25">
      <c r="A281" s="304" t="s">
        <v>41</v>
      </c>
      <c r="B281" s="305">
        <f>_xlfn.XLOOKUP(Catalogo[[#This Row],[Finca]], Fincas[Nombre], Fincas[ID])</f>
        <v>38</v>
      </c>
      <c r="C281" s="304" t="s">
        <v>675</v>
      </c>
      <c r="D281" s="304" t="s">
        <v>775</v>
      </c>
      <c r="E281" s="304"/>
      <c r="F281" s="304" t="s">
        <v>612</v>
      </c>
      <c r="G281" s="304"/>
      <c r="H281" s="338" t="s">
        <v>242</v>
      </c>
      <c r="I281" s="336"/>
      <c r="J281" s="305" t="s">
        <v>32</v>
      </c>
      <c r="K28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81" s="306" t="s">
        <v>737</v>
      </c>
      <c r="M281" s="306">
        <v>50</v>
      </c>
      <c r="N281" s="303">
        <v>0.36</v>
      </c>
      <c r="O281" s="307">
        <f>IFERROR(_xlfn.LET(_xlpm.boxType, J281, _xlpm.tallos, M281, _xlpm.cost, N281, _xlpm.precio, P281,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281" s="323">
        <v>1.49</v>
      </c>
      <c r="Q281" s="303" t="s">
        <v>725</v>
      </c>
      <c r="R28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81" s="303">
        <v>0.36</v>
      </c>
      <c r="T28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281" s="301">
        <v>0.85</v>
      </c>
    </row>
    <row r="282" spans="1:21" x14ac:dyDescent="0.25">
      <c r="A282" s="304" t="s">
        <v>41</v>
      </c>
      <c r="B282" s="305">
        <f>_xlfn.XLOOKUP(Catalogo[[#This Row],[Finca]], Fincas[Nombre], Fincas[ID])</f>
        <v>38</v>
      </c>
      <c r="C282" s="304" t="s">
        <v>675</v>
      </c>
      <c r="D282" s="304" t="s">
        <v>775</v>
      </c>
      <c r="E282" s="304"/>
      <c r="F282" s="304" t="s">
        <v>612</v>
      </c>
      <c r="G282" s="304"/>
      <c r="H282" s="338" t="s">
        <v>242</v>
      </c>
      <c r="I282" s="336"/>
      <c r="J282" s="305" t="s">
        <v>33</v>
      </c>
      <c r="K28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82" s="306" t="s">
        <v>738</v>
      </c>
      <c r="M282" s="306">
        <v>125</v>
      </c>
      <c r="N282" s="303">
        <v>0.36</v>
      </c>
      <c r="O282" s="307">
        <f>IFERROR(_xlfn.LET(_xlpm.boxType, J282, _xlpm.tallos, M282, _xlpm.cost, N282, _xlpm.precio, P282,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282" s="323">
        <v>1.39</v>
      </c>
      <c r="Q282" s="303" t="s">
        <v>726</v>
      </c>
      <c r="R28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82" s="303">
        <v>0.36</v>
      </c>
      <c r="T28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82" s="301">
        <v>0.79</v>
      </c>
    </row>
    <row r="283" spans="1:21" ht="15.75" thickBot="1" x14ac:dyDescent="0.3">
      <c r="A283" s="304" t="s">
        <v>41</v>
      </c>
      <c r="B283" s="305">
        <f>_xlfn.XLOOKUP(Catalogo[[#This Row],[Finca]], Fincas[Nombre], Fincas[ID])</f>
        <v>38</v>
      </c>
      <c r="C283" s="304" t="s">
        <v>675</v>
      </c>
      <c r="D283" s="304" t="s">
        <v>775</v>
      </c>
      <c r="E283" s="304"/>
      <c r="F283" s="304" t="s">
        <v>612</v>
      </c>
      <c r="G283" s="304"/>
      <c r="H283" s="338" t="s">
        <v>242</v>
      </c>
      <c r="I283" s="336"/>
      <c r="J283" s="305" t="s">
        <v>43</v>
      </c>
      <c r="K28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83" s="306" t="s">
        <v>342</v>
      </c>
      <c r="M283" s="306">
        <v>250</v>
      </c>
      <c r="N283" s="303">
        <v>0.36</v>
      </c>
      <c r="O283" s="307">
        <f>IFERROR(_xlfn.LET(_xlpm.boxType, J283, _xlpm.tallos, M283, _xlpm.cost, N283, _xlpm.precio, P283,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283" s="323">
        <v>1.39</v>
      </c>
      <c r="Q283" s="303" t="s">
        <v>727</v>
      </c>
      <c r="R28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83" s="303">
        <v>0.36</v>
      </c>
      <c r="T28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83" s="301">
        <v>0.79</v>
      </c>
    </row>
    <row r="284" spans="1:21" x14ac:dyDescent="0.25">
      <c r="A284" s="308" t="s">
        <v>41</v>
      </c>
      <c r="B284" s="309">
        <f>_xlfn.XLOOKUP(Catalogo[[#This Row],[Finca]], Fincas[Nombre], Fincas[ID])</f>
        <v>38</v>
      </c>
      <c r="C284" s="308" t="s">
        <v>675</v>
      </c>
      <c r="D284" s="308" t="s">
        <v>775</v>
      </c>
      <c r="E284" s="308"/>
      <c r="F284" s="308" t="s">
        <v>612</v>
      </c>
      <c r="G284" s="308"/>
      <c r="H284" s="343" t="s">
        <v>243</v>
      </c>
      <c r="I284" s="335"/>
      <c r="J284" s="309" t="s">
        <v>32</v>
      </c>
      <c r="K284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84" s="310" t="s">
        <v>737</v>
      </c>
      <c r="M284" s="310">
        <v>50</v>
      </c>
      <c r="N284" s="312">
        <v>0.42</v>
      </c>
      <c r="O284" s="311">
        <f>IFERROR(_xlfn.LET(_xlpm.boxType, J284, _xlpm.tallos, M284, _xlpm.cost, N284, _xlpm.precio, P284,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84" s="322">
        <v>1.59</v>
      </c>
      <c r="Q284" s="312" t="s">
        <v>725</v>
      </c>
      <c r="R284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84" s="312">
        <v>0.42</v>
      </c>
      <c r="T284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284" s="314">
        <v>0.99</v>
      </c>
    </row>
    <row r="285" spans="1:21" x14ac:dyDescent="0.25">
      <c r="A285" s="304" t="s">
        <v>41</v>
      </c>
      <c r="B285" s="305">
        <f>_xlfn.XLOOKUP(Catalogo[[#This Row],[Finca]], Fincas[Nombre], Fincas[ID])</f>
        <v>38</v>
      </c>
      <c r="C285" s="304" t="s">
        <v>675</v>
      </c>
      <c r="D285" s="304" t="s">
        <v>775</v>
      </c>
      <c r="E285" s="304"/>
      <c r="F285" s="304" t="s">
        <v>612</v>
      </c>
      <c r="G285" s="304"/>
      <c r="H285" s="338" t="s">
        <v>243</v>
      </c>
      <c r="I285" s="336"/>
      <c r="J285" s="305" t="s">
        <v>33</v>
      </c>
      <c r="K28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85" s="306" t="s">
        <v>738</v>
      </c>
      <c r="M285" s="306">
        <v>100</v>
      </c>
      <c r="N285" s="303">
        <v>0.42</v>
      </c>
      <c r="O285" s="307">
        <f>IFERROR(_xlfn.LET(_xlpm.boxType, J285, _xlpm.tallos, M285, _xlpm.cost, N285, _xlpm.precio, P285,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285" s="323">
        <v>1.59</v>
      </c>
      <c r="Q285" s="303" t="s">
        <v>726</v>
      </c>
      <c r="R28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85" s="303">
        <v>0.42</v>
      </c>
      <c r="T28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85" s="301">
        <v>0.89</v>
      </c>
    </row>
    <row r="286" spans="1:21" ht="15.75" thickBot="1" x14ac:dyDescent="0.3">
      <c r="A286" s="315" t="s">
        <v>41</v>
      </c>
      <c r="B286" s="316">
        <f>_xlfn.XLOOKUP(Catalogo[[#This Row],[Finca]], Fincas[Nombre], Fincas[ID])</f>
        <v>38</v>
      </c>
      <c r="C286" s="315" t="s">
        <v>675</v>
      </c>
      <c r="D286" s="315" t="s">
        <v>775</v>
      </c>
      <c r="E286" s="315"/>
      <c r="F286" s="315" t="s">
        <v>612</v>
      </c>
      <c r="G286" s="315"/>
      <c r="H286" s="344" t="s">
        <v>243</v>
      </c>
      <c r="I286" s="337"/>
      <c r="J286" s="316" t="s">
        <v>43</v>
      </c>
      <c r="K28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86" s="317" t="s">
        <v>342</v>
      </c>
      <c r="M286" s="317">
        <v>200</v>
      </c>
      <c r="N286" s="319">
        <v>0.42</v>
      </c>
      <c r="O286" s="318">
        <f>IFERROR(_xlfn.LET(_xlpm.boxType, J286, _xlpm.tallos, M286, _xlpm.cost, N286, _xlpm.precio, P286,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86" s="324">
        <v>1.59</v>
      </c>
      <c r="Q286" s="319" t="s">
        <v>727</v>
      </c>
      <c r="R28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86" s="319">
        <v>0.42</v>
      </c>
      <c r="T28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86" s="321">
        <v>0.89</v>
      </c>
    </row>
    <row r="287" spans="1:21" x14ac:dyDescent="0.25">
      <c r="A287" s="308" t="s">
        <v>41</v>
      </c>
      <c r="B287" s="309">
        <f>_xlfn.XLOOKUP(Catalogo[[#This Row],[Finca]], Fincas[Nombre], Fincas[ID])</f>
        <v>38</v>
      </c>
      <c r="C287" s="308" t="s">
        <v>675</v>
      </c>
      <c r="D287" s="308" t="s">
        <v>776</v>
      </c>
      <c r="E287" s="308"/>
      <c r="F287" s="308" t="s">
        <v>611</v>
      </c>
      <c r="G287" s="308"/>
      <c r="H287" s="343" t="s">
        <v>241</v>
      </c>
      <c r="I287" s="335"/>
      <c r="J287" s="309" t="s">
        <v>32</v>
      </c>
      <c r="K287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87" s="310" t="s">
        <v>737</v>
      </c>
      <c r="M287" s="310">
        <v>50</v>
      </c>
      <c r="N287" s="312">
        <v>0.26</v>
      </c>
      <c r="O287" s="311">
        <f>IFERROR(_xlfn.LET(_xlpm.boxType, J287, _xlpm.tallos, M287, _xlpm.cost, N287, _xlpm.precio, P287,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287" s="322">
        <v>1.29</v>
      </c>
      <c r="Q287" s="312" t="s">
        <v>725</v>
      </c>
      <c r="R287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87" s="312">
        <v>0.26</v>
      </c>
      <c r="T287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287" s="314">
        <v>0.75</v>
      </c>
    </row>
    <row r="288" spans="1:21" x14ac:dyDescent="0.25">
      <c r="A288" s="304" t="s">
        <v>41</v>
      </c>
      <c r="B288" s="305">
        <f>_xlfn.XLOOKUP(Catalogo[[#This Row],[Finca]], Fincas[Nombre], Fincas[ID])</f>
        <v>38</v>
      </c>
      <c r="C288" s="304" t="s">
        <v>675</v>
      </c>
      <c r="D288" s="304" t="s">
        <v>776</v>
      </c>
      <c r="E288" s="304"/>
      <c r="F288" s="304" t="s">
        <v>611</v>
      </c>
      <c r="G288" s="304"/>
      <c r="H288" s="338" t="s">
        <v>241</v>
      </c>
      <c r="I288" s="336"/>
      <c r="J288" s="305" t="s">
        <v>33</v>
      </c>
      <c r="K28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88" s="306" t="s">
        <v>738</v>
      </c>
      <c r="M288" s="306">
        <v>150</v>
      </c>
      <c r="N288" s="303">
        <v>0.26</v>
      </c>
      <c r="O288" s="307">
        <f>IFERROR(_xlfn.LET(_xlpm.boxType, J288, _xlpm.tallos, M288, _xlpm.cost, N288, _xlpm.precio, P288,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288" s="323">
        <v>1.19</v>
      </c>
      <c r="Q288" s="303" t="s">
        <v>726</v>
      </c>
      <c r="R28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88" s="303">
        <v>0.26</v>
      </c>
      <c r="T28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88" s="301">
        <v>0.69</v>
      </c>
    </row>
    <row r="289" spans="1:21" ht="15.75" thickBot="1" x14ac:dyDescent="0.3">
      <c r="A289" s="315" t="s">
        <v>41</v>
      </c>
      <c r="B289" s="316">
        <f>_xlfn.XLOOKUP(Catalogo[[#This Row],[Finca]], Fincas[Nombre], Fincas[ID])</f>
        <v>38</v>
      </c>
      <c r="C289" s="315" t="s">
        <v>675</v>
      </c>
      <c r="D289" s="315" t="s">
        <v>776</v>
      </c>
      <c r="E289" s="315"/>
      <c r="F289" s="315" t="s">
        <v>611</v>
      </c>
      <c r="G289" s="315"/>
      <c r="H289" s="344" t="s">
        <v>241</v>
      </c>
      <c r="I289" s="337"/>
      <c r="J289" s="316" t="s">
        <v>43</v>
      </c>
      <c r="K289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89" s="317" t="s">
        <v>342</v>
      </c>
      <c r="M289" s="317">
        <v>300</v>
      </c>
      <c r="N289" s="319">
        <v>0.26</v>
      </c>
      <c r="O289" s="318">
        <f>IFERROR(_xlfn.LET(_xlpm.boxType, J289, _xlpm.tallos, M289, _xlpm.cost, N289, _xlpm.precio, P289,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289" s="324">
        <v>1.19</v>
      </c>
      <c r="Q289" s="319" t="s">
        <v>727</v>
      </c>
      <c r="R289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89" s="319">
        <v>0.26</v>
      </c>
      <c r="T289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89" s="321">
        <v>0.69</v>
      </c>
    </row>
    <row r="290" spans="1:21" x14ac:dyDescent="0.25">
      <c r="A290" s="304" t="s">
        <v>41</v>
      </c>
      <c r="B290" s="305">
        <f>_xlfn.XLOOKUP(Catalogo[[#This Row],[Finca]], Fincas[Nombre], Fincas[ID])</f>
        <v>38</v>
      </c>
      <c r="C290" s="304" t="s">
        <v>675</v>
      </c>
      <c r="D290" s="304" t="s">
        <v>776</v>
      </c>
      <c r="E290" s="304"/>
      <c r="F290" s="304" t="s">
        <v>611</v>
      </c>
      <c r="G290" s="304"/>
      <c r="H290" s="338" t="s">
        <v>242</v>
      </c>
      <c r="I290" s="336"/>
      <c r="J290" s="305" t="s">
        <v>32</v>
      </c>
      <c r="K29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90" s="306" t="s">
        <v>737</v>
      </c>
      <c r="M290" s="306">
        <v>50</v>
      </c>
      <c r="N290" s="303">
        <v>0.36</v>
      </c>
      <c r="O290" s="307">
        <f>IFERROR(_xlfn.LET(_xlpm.boxType, J290, _xlpm.tallos, M290, _xlpm.cost, N290, _xlpm.precio, P290,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290" s="323">
        <v>1.49</v>
      </c>
      <c r="Q290" s="303" t="s">
        <v>725</v>
      </c>
      <c r="R29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90" s="303">
        <v>0.36</v>
      </c>
      <c r="T29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290" s="301">
        <v>0.85</v>
      </c>
    </row>
    <row r="291" spans="1:21" x14ac:dyDescent="0.25">
      <c r="A291" s="304" t="s">
        <v>41</v>
      </c>
      <c r="B291" s="305">
        <f>_xlfn.XLOOKUP(Catalogo[[#This Row],[Finca]], Fincas[Nombre], Fincas[ID])</f>
        <v>38</v>
      </c>
      <c r="C291" s="304" t="s">
        <v>675</v>
      </c>
      <c r="D291" s="304" t="s">
        <v>776</v>
      </c>
      <c r="E291" s="304"/>
      <c r="F291" s="304" t="s">
        <v>611</v>
      </c>
      <c r="G291" s="304"/>
      <c r="H291" s="338" t="s">
        <v>242</v>
      </c>
      <c r="I291" s="336"/>
      <c r="J291" s="305" t="s">
        <v>33</v>
      </c>
      <c r="K29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91" s="306" t="s">
        <v>738</v>
      </c>
      <c r="M291" s="306">
        <v>125</v>
      </c>
      <c r="N291" s="303">
        <v>0.36</v>
      </c>
      <c r="O291" s="307">
        <f>IFERROR(_xlfn.LET(_xlpm.boxType, J291, _xlpm.tallos, M291, _xlpm.cost, N291, _xlpm.precio, P291,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291" s="323">
        <v>1.39</v>
      </c>
      <c r="Q291" s="303" t="s">
        <v>726</v>
      </c>
      <c r="R29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91" s="303">
        <v>0.36</v>
      </c>
      <c r="T29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91" s="301">
        <v>0.79</v>
      </c>
    </row>
    <row r="292" spans="1:21" ht="15.75" thickBot="1" x14ac:dyDescent="0.3">
      <c r="A292" s="304" t="s">
        <v>41</v>
      </c>
      <c r="B292" s="305">
        <f>_xlfn.XLOOKUP(Catalogo[[#This Row],[Finca]], Fincas[Nombre], Fincas[ID])</f>
        <v>38</v>
      </c>
      <c r="C292" s="304" t="s">
        <v>675</v>
      </c>
      <c r="D292" s="304" t="s">
        <v>776</v>
      </c>
      <c r="E292" s="304"/>
      <c r="F292" s="304" t="s">
        <v>611</v>
      </c>
      <c r="G292" s="304"/>
      <c r="H292" s="338" t="s">
        <v>242</v>
      </c>
      <c r="I292" s="336"/>
      <c r="J292" s="305" t="s">
        <v>43</v>
      </c>
      <c r="K29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92" s="306" t="s">
        <v>342</v>
      </c>
      <c r="M292" s="306">
        <v>250</v>
      </c>
      <c r="N292" s="303">
        <v>0.36</v>
      </c>
      <c r="O292" s="307">
        <f>IFERROR(_xlfn.LET(_xlpm.boxType, J292, _xlpm.tallos, M292, _xlpm.cost, N292, _xlpm.precio, P292,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292" s="323">
        <v>1.39</v>
      </c>
      <c r="Q292" s="303" t="s">
        <v>727</v>
      </c>
      <c r="R29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92" s="303">
        <v>0.36</v>
      </c>
      <c r="T29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292" s="301">
        <v>0.79</v>
      </c>
    </row>
    <row r="293" spans="1:21" x14ac:dyDescent="0.25">
      <c r="A293" s="308" t="s">
        <v>41</v>
      </c>
      <c r="B293" s="309">
        <f>_xlfn.XLOOKUP(Catalogo[[#This Row],[Finca]], Fincas[Nombre], Fincas[ID])</f>
        <v>38</v>
      </c>
      <c r="C293" s="308" t="s">
        <v>675</v>
      </c>
      <c r="D293" s="308" t="s">
        <v>776</v>
      </c>
      <c r="E293" s="308"/>
      <c r="F293" s="308" t="s">
        <v>611</v>
      </c>
      <c r="G293" s="308"/>
      <c r="H293" s="343" t="s">
        <v>243</v>
      </c>
      <c r="I293" s="335"/>
      <c r="J293" s="309" t="s">
        <v>32</v>
      </c>
      <c r="K293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93" s="310" t="s">
        <v>737</v>
      </c>
      <c r="M293" s="310">
        <v>50</v>
      </c>
      <c r="N293" s="312">
        <v>0.42</v>
      </c>
      <c r="O293" s="311">
        <f>IFERROR(_xlfn.LET(_xlpm.boxType, J293, _xlpm.tallos, M293, _xlpm.cost, N293, _xlpm.precio, P293,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93" s="322">
        <v>1.59</v>
      </c>
      <c r="Q293" s="312" t="s">
        <v>725</v>
      </c>
      <c r="R293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93" s="312">
        <v>0.42</v>
      </c>
      <c r="T293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293" s="314">
        <v>0.99</v>
      </c>
    </row>
    <row r="294" spans="1:21" x14ac:dyDescent="0.25">
      <c r="A294" s="304" t="s">
        <v>41</v>
      </c>
      <c r="B294" s="305">
        <f>_xlfn.XLOOKUP(Catalogo[[#This Row],[Finca]], Fincas[Nombre], Fincas[ID])</f>
        <v>38</v>
      </c>
      <c r="C294" s="304" t="s">
        <v>675</v>
      </c>
      <c r="D294" s="304" t="s">
        <v>776</v>
      </c>
      <c r="E294" s="304"/>
      <c r="F294" s="304" t="s">
        <v>611</v>
      </c>
      <c r="G294" s="304"/>
      <c r="H294" s="338" t="s">
        <v>243</v>
      </c>
      <c r="I294" s="336"/>
      <c r="J294" s="305" t="s">
        <v>33</v>
      </c>
      <c r="K29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94" s="306" t="s">
        <v>738</v>
      </c>
      <c r="M294" s="306">
        <v>100</v>
      </c>
      <c r="N294" s="303">
        <v>0.42</v>
      </c>
      <c r="O294" s="307">
        <f>IFERROR(_xlfn.LET(_xlpm.boxType, J294, _xlpm.tallos, M294, _xlpm.cost, N294, _xlpm.precio, P294,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294" s="323">
        <v>1.59</v>
      </c>
      <c r="Q294" s="303" t="s">
        <v>726</v>
      </c>
      <c r="R29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94" s="303">
        <v>0.42</v>
      </c>
      <c r="T29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94" s="301">
        <v>0.89</v>
      </c>
    </row>
    <row r="295" spans="1:21" ht="15.75" thickBot="1" x14ac:dyDescent="0.3">
      <c r="A295" s="315" t="s">
        <v>41</v>
      </c>
      <c r="B295" s="316">
        <f>_xlfn.XLOOKUP(Catalogo[[#This Row],[Finca]], Fincas[Nombre], Fincas[ID])</f>
        <v>38</v>
      </c>
      <c r="C295" s="315" t="s">
        <v>675</v>
      </c>
      <c r="D295" s="315" t="s">
        <v>776</v>
      </c>
      <c r="E295" s="315"/>
      <c r="F295" s="315" t="s">
        <v>611</v>
      </c>
      <c r="G295" s="315"/>
      <c r="H295" s="344" t="s">
        <v>243</v>
      </c>
      <c r="I295" s="337"/>
      <c r="J295" s="316" t="s">
        <v>43</v>
      </c>
      <c r="K295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95" s="317" t="s">
        <v>342</v>
      </c>
      <c r="M295" s="317">
        <v>200</v>
      </c>
      <c r="N295" s="319">
        <v>0.42</v>
      </c>
      <c r="O295" s="318">
        <f>IFERROR(_xlfn.LET(_xlpm.boxType, J295, _xlpm.tallos, M295, _xlpm.cost, N295, _xlpm.precio, P295,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295" s="324">
        <v>1.59</v>
      </c>
      <c r="Q295" s="319" t="s">
        <v>727</v>
      </c>
      <c r="R295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95" s="319">
        <v>0.42</v>
      </c>
      <c r="T295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295" s="321">
        <v>0.89</v>
      </c>
    </row>
    <row r="296" spans="1:21" x14ac:dyDescent="0.25">
      <c r="A296" s="308" t="s">
        <v>41</v>
      </c>
      <c r="B296" s="309">
        <f>_xlfn.XLOOKUP(Catalogo[[#This Row],[Finca]], Fincas[Nombre], Fincas[ID])</f>
        <v>38</v>
      </c>
      <c r="C296" s="308" t="s">
        <v>675</v>
      </c>
      <c r="D296" s="308" t="s">
        <v>777</v>
      </c>
      <c r="E296" s="308"/>
      <c r="F296" s="308" t="s">
        <v>618</v>
      </c>
      <c r="G296" s="308"/>
      <c r="H296" s="343" t="s">
        <v>241</v>
      </c>
      <c r="I296" s="335"/>
      <c r="J296" s="309" t="s">
        <v>32</v>
      </c>
      <c r="K296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96" s="310" t="s">
        <v>737</v>
      </c>
      <c r="M296" s="310">
        <v>50</v>
      </c>
      <c r="N296" s="312">
        <v>0.26</v>
      </c>
      <c r="O296" s="311">
        <f>IFERROR(_xlfn.LET(_xlpm.boxType, J296, _xlpm.tallos, M296, _xlpm.cost, N296, _xlpm.precio, P296,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296" s="322">
        <v>1.29</v>
      </c>
      <c r="Q296" s="312" t="s">
        <v>725</v>
      </c>
      <c r="R296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96" s="312">
        <v>0.26</v>
      </c>
      <c r="T296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296" s="314">
        <v>0.75</v>
      </c>
    </row>
    <row r="297" spans="1:21" x14ac:dyDescent="0.25">
      <c r="A297" s="304" t="s">
        <v>41</v>
      </c>
      <c r="B297" s="305">
        <f>_xlfn.XLOOKUP(Catalogo[[#This Row],[Finca]], Fincas[Nombre], Fincas[ID])</f>
        <v>38</v>
      </c>
      <c r="C297" s="304" t="s">
        <v>675</v>
      </c>
      <c r="D297" s="304" t="s">
        <v>777</v>
      </c>
      <c r="E297" s="304"/>
      <c r="F297" s="304" t="s">
        <v>618</v>
      </c>
      <c r="G297" s="304"/>
      <c r="H297" s="338" t="s">
        <v>241</v>
      </c>
      <c r="I297" s="336"/>
      <c r="J297" s="305" t="s">
        <v>33</v>
      </c>
      <c r="K29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97" s="306" t="s">
        <v>738</v>
      </c>
      <c r="M297" s="306">
        <v>150</v>
      </c>
      <c r="N297" s="303">
        <v>0.26</v>
      </c>
      <c r="O297" s="307">
        <f>IFERROR(_xlfn.LET(_xlpm.boxType, J297, _xlpm.tallos, M297, _xlpm.cost, N297, _xlpm.precio, P297,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297" s="323">
        <v>1.19</v>
      </c>
      <c r="Q297" s="303" t="s">
        <v>726</v>
      </c>
      <c r="R29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97" s="303">
        <v>0.26</v>
      </c>
      <c r="T29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97" s="301">
        <v>0.69</v>
      </c>
    </row>
    <row r="298" spans="1:21" ht="15.75" thickBot="1" x14ac:dyDescent="0.3">
      <c r="A298" s="315" t="s">
        <v>41</v>
      </c>
      <c r="B298" s="316">
        <f>_xlfn.XLOOKUP(Catalogo[[#This Row],[Finca]], Fincas[Nombre], Fincas[ID])</f>
        <v>38</v>
      </c>
      <c r="C298" s="315" t="s">
        <v>675</v>
      </c>
      <c r="D298" s="315" t="s">
        <v>777</v>
      </c>
      <c r="E298" s="315"/>
      <c r="F298" s="315" t="s">
        <v>618</v>
      </c>
      <c r="G298" s="315"/>
      <c r="H298" s="344" t="s">
        <v>241</v>
      </c>
      <c r="I298" s="337"/>
      <c r="J298" s="316" t="s">
        <v>43</v>
      </c>
      <c r="K298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98" s="317" t="s">
        <v>342</v>
      </c>
      <c r="M298" s="317">
        <v>300</v>
      </c>
      <c r="N298" s="319">
        <v>0.26</v>
      </c>
      <c r="O298" s="318">
        <f>IFERROR(_xlfn.LET(_xlpm.boxType, J298, _xlpm.tallos, M298, _xlpm.cost, N298, _xlpm.precio, P298,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298" s="324">
        <v>1.19</v>
      </c>
      <c r="Q298" s="319" t="s">
        <v>727</v>
      </c>
      <c r="R298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98" s="319">
        <v>0.26</v>
      </c>
      <c r="T298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298" s="321">
        <v>0.69</v>
      </c>
    </row>
    <row r="299" spans="1:21" x14ac:dyDescent="0.25">
      <c r="A299" s="304" t="s">
        <v>41</v>
      </c>
      <c r="B299" s="305">
        <f>_xlfn.XLOOKUP(Catalogo[[#This Row],[Finca]], Fincas[Nombre], Fincas[ID])</f>
        <v>38</v>
      </c>
      <c r="C299" s="304" t="s">
        <v>675</v>
      </c>
      <c r="D299" s="304" t="s">
        <v>777</v>
      </c>
      <c r="E299" s="304"/>
      <c r="F299" s="304" t="s">
        <v>618</v>
      </c>
      <c r="G299" s="304"/>
      <c r="H299" s="338" t="s">
        <v>242</v>
      </c>
      <c r="I299" s="336"/>
      <c r="J299" s="305" t="s">
        <v>32</v>
      </c>
      <c r="K29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299" s="306" t="s">
        <v>737</v>
      </c>
      <c r="M299" s="306">
        <v>50</v>
      </c>
      <c r="N299" s="303">
        <v>0.36</v>
      </c>
      <c r="O299" s="307">
        <f>IFERROR(_xlfn.LET(_xlpm.boxType, J299, _xlpm.tallos, M299, _xlpm.cost, N299, _xlpm.precio, P299,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299" s="323">
        <v>1.49</v>
      </c>
      <c r="Q299" s="303" t="s">
        <v>725</v>
      </c>
      <c r="R29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299" s="303">
        <v>0.36</v>
      </c>
      <c r="T29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299" s="301">
        <v>0.85</v>
      </c>
    </row>
    <row r="300" spans="1:21" x14ac:dyDescent="0.25">
      <c r="A300" s="304" t="s">
        <v>41</v>
      </c>
      <c r="B300" s="305">
        <f>_xlfn.XLOOKUP(Catalogo[[#This Row],[Finca]], Fincas[Nombre], Fincas[ID])</f>
        <v>38</v>
      </c>
      <c r="C300" s="304" t="s">
        <v>675</v>
      </c>
      <c r="D300" s="304" t="s">
        <v>777</v>
      </c>
      <c r="E300" s="304"/>
      <c r="F300" s="304" t="s">
        <v>618</v>
      </c>
      <c r="G300" s="304"/>
      <c r="H300" s="338" t="s">
        <v>242</v>
      </c>
      <c r="I300" s="336"/>
      <c r="J300" s="305" t="s">
        <v>33</v>
      </c>
      <c r="K30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00" s="306" t="s">
        <v>738</v>
      </c>
      <c r="M300" s="306">
        <v>125</v>
      </c>
      <c r="N300" s="303">
        <v>0.36</v>
      </c>
      <c r="O300" s="307">
        <f>IFERROR(_xlfn.LET(_xlpm.boxType, J300, _xlpm.tallos, M300, _xlpm.cost, N300, _xlpm.precio, P300,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00" s="323">
        <v>1.39</v>
      </c>
      <c r="Q300" s="303" t="s">
        <v>726</v>
      </c>
      <c r="R30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00" s="303">
        <v>0.36</v>
      </c>
      <c r="T30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00" s="301">
        <v>0.79</v>
      </c>
    </row>
    <row r="301" spans="1:21" ht="15.75" thickBot="1" x14ac:dyDescent="0.3">
      <c r="A301" s="304" t="s">
        <v>41</v>
      </c>
      <c r="B301" s="305">
        <f>_xlfn.XLOOKUP(Catalogo[[#This Row],[Finca]], Fincas[Nombre], Fincas[ID])</f>
        <v>38</v>
      </c>
      <c r="C301" s="304" t="s">
        <v>675</v>
      </c>
      <c r="D301" s="304" t="s">
        <v>777</v>
      </c>
      <c r="E301" s="304"/>
      <c r="F301" s="304" t="s">
        <v>618</v>
      </c>
      <c r="G301" s="304"/>
      <c r="H301" s="338" t="s">
        <v>242</v>
      </c>
      <c r="I301" s="336"/>
      <c r="J301" s="305" t="s">
        <v>43</v>
      </c>
      <c r="K30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01" s="306" t="s">
        <v>342</v>
      </c>
      <c r="M301" s="306">
        <v>250</v>
      </c>
      <c r="N301" s="303">
        <v>0.36</v>
      </c>
      <c r="O301" s="307">
        <f>IFERROR(_xlfn.LET(_xlpm.boxType, J301, _xlpm.tallos, M301, _xlpm.cost, N301, _xlpm.precio, P301,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301" s="323">
        <v>1.39</v>
      </c>
      <c r="Q301" s="303" t="s">
        <v>727</v>
      </c>
      <c r="R30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01" s="303">
        <v>0.36</v>
      </c>
      <c r="T30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01" s="301">
        <v>0.79</v>
      </c>
    </row>
    <row r="302" spans="1:21" x14ac:dyDescent="0.25">
      <c r="A302" s="308" t="s">
        <v>41</v>
      </c>
      <c r="B302" s="309">
        <f>_xlfn.XLOOKUP(Catalogo[[#This Row],[Finca]], Fincas[Nombre], Fincas[ID])</f>
        <v>38</v>
      </c>
      <c r="C302" s="308" t="s">
        <v>675</v>
      </c>
      <c r="D302" s="308" t="s">
        <v>777</v>
      </c>
      <c r="E302" s="308"/>
      <c r="F302" s="308" t="s">
        <v>618</v>
      </c>
      <c r="G302" s="308"/>
      <c r="H302" s="343" t="s">
        <v>243</v>
      </c>
      <c r="I302" s="335"/>
      <c r="J302" s="309" t="s">
        <v>32</v>
      </c>
      <c r="K302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02" s="310" t="s">
        <v>737</v>
      </c>
      <c r="M302" s="310">
        <v>50</v>
      </c>
      <c r="N302" s="312">
        <v>0.42</v>
      </c>
      <c r="O302" s="311">
        <f>IFERROR(_xlfn.LET(_xlpm.boxType, J302, _xlpm.tallos, M302, _xlpm.cost, N302, _xlpm.precio, P302,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02" s="322">
        <v>1.59</v>
      </c>
      <c r="Q302" s="312" t="s">
        <v>725</v>
      </c>
      <c r="R302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02" s="312">
        <v>0.42</v>
      </c>
      <c r="T302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02" s="314">
        <v>0.99</v>
      </c>
    </row>
    <row r="303" spans="1:21" x14ac:dyDescent="0.25">
      <c r="A303" s="304" t="s">
        <v>41</v>
      </c>
      <c r="B303" s="305">
        <f>_xlfn.XLOOKUP(Catalogo[[#This Row],[Finca]], Fincas[Nombre], Fincas[ID])</f>
        <v>38</v>
      </c>
      <c r="C303" s="304" t="s">
        <v>675</v>
      </c>
      <c r="D303" s="304" t="s">
        <v>777</v>
      </c>
      <c r="E303" s="304"/>
      <c r="F303" s="304" t="s">
        <v>618</v>
      </c>
      <c r="G303" s="304"/>
      <c r="H303" s="338" t="s">
        <v>243</v>
      </c>
      <c r="I303" s="336"/>
      <c r="J303" s="305" t="s">
        <v>33</v>
      </c>
      <c r="K30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03" s="306" t="s">
        <v>738</v>
      </c>
      <c r="M303" s="306">
        <v>100</v>
      </c>
      <c r="N303" s="303">
        <v>0.42</v>
      </c>
      <c r="O303" s="307">
        <f>IFERROR(_xlfn.LET(_xlpm.boxType, J303, _xlpm.tallos, M303, _xlpm.cost, N303, _xlpm.precio, P303,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303" s="323">
        <v>1.59</v>
      </c>
      <c r="Q303" s="303" t="s">
        <v>726</v>
      </c>
      <c r="R30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03" s="303">
        <v>0.42</v>
      </c>
      <c r="T30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03" s="301">
        <v>0.89</v>
      </c>
    </row>
    <row r="304" spans="1:21" ht="15.75" thickBot="1" x14ac:dyDescent="0.3">
      <c r="A304" s="315" t="s">
        <v>41</v>
      </c>
      <c r="B304" s="316">
        <f>_xlfn.XLOOKUP(Catalogo[[#This Row],[Finca]], Fincas[Nombre], Fincas[ID])</f>
        <v>38</v>
      </c>
      <c r="C304" s="315" t="s">
        <v>675</v>
      </c>
      <c r="D304" s="315" t="s">
        <v>777</v>
      </c>
      <c r="E304" s="315"/>
      <c r="F304" s="315" t="s">
        <v>618</v>
      </c>
      <c r="G304" s="315"/>
      <c r="H304" s="344" t="s">
        <v>243</v>
      </c>
      <c r="I304" s="337"/>
      <c r="J304" s="316" t="s">
        <v>43</v>
      </c>
      <c r="K304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04" s="317" t="s">
        <v>342</v>
      </c>
      <c r="M304" s="317">
        <v>200</v>
      </c>
      <c r="N304" s="319">
        <v>0.42</v>
      </c>
      <c r="O304" s="318">
        <f>IFERROR(_xlfn.LET(_xlpm.boxType, J304, _xlpm.tallos, M304, _xlpm.cost, N304, _xlpm.precio, P304,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04" s="324">
        <v>1.59</v>
      </c>
      <c r="Q304" s="319" t="s">
        <v>727</v>
      </c>
      <c r="R304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04" s="319">
        <v>0.42</v>
      </c>
      <c r="T304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04" s="321">
        <v>0.89</v>
      </c>
    </row>
    <row r="305" spans="1:21" x14ac:dyDescent="0.25">
      <c r="A305" s="308" t="s">
        <v>41</v>
      </c>
      <c r="B305" s="309">
        <f>_xlfn.XLOOKUP(Catalogo[[#This Row],[Finca]], Fincas[Nombre], Fincas[ID])</f>
        <v>38</v>
      </c>
      <c r="C305" s="308" t="s">
        <v>675</v>
      </c>
      <c r="D305" s="308" t="s">
        <v>778</v>
      </c>
      <c r="E305" s="308"/>
      <c r="F305" s="308" t="s">
        <v>620</v>
      </c>
      <c r="G305" s="308" t="s">
        <v>611</v>
      </c>
      <c r="H305" s="343" t="s">
        <v>241</v>
      </c>
      <c r="I305" s="335"/>
      <c r="J305" s="309" t="s">
        <v>32</v>
      </c>
      <c r="K305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05" s="310" t="s">
        <v>737</v>
      </c>
      <c r="M305" s="310">
        <v>50</v>
      </c>
      <c r="N305" s="312">
        <v>0.26</v>
      </c>
      <c r="O305" s="311">
        <f>IFERROR(_xlfn.LET(_xlpm.boxType, J305, _xlpm.tallos, M305, _xlpm.cost, N305, _xlpm.precio, P305,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305" s="322">
        <v>1.29</v>
      </c>
      <c r="Q305" s="312" t="s">
        <v>725</v>
      </c>
      <c r="R305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05" s="312">
        <v>0.26</v>
      </c>
      <c r="T305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305" s="314">
        <v>0.75</v>
      </c>
    </row>
    <row r="306" spans="1:21" x14ac:dyDescent="0.25">
      <c r="A306" s="304" t="s">
        <v>41</v>
      </c>
      <c r="B306" s="305">
        <f>_xlfn.XLOOKUP(Catalogo[[#This Row],[Finca]], Fincas[Nombre], Fincas[ID])</f>
        <v>38</v>
      </c>
      <c r="C306" s="304" t="s">
        <v>675</v>
      </c>
      <c r="D306" s="304" t="s">
        <v>778</v>
      </c>
      <c r="E306" s="304"/>
      <c r="F306" s="304" t="s">
        <v>620</v>
      </c>
      <c r="G306" s="304" t="s">
        <v>611</v>
      </c>
      <c r="H306" s="338" t="s">
        <v>241</v>
      </c>
      <c r="I306" s="336"/>
      <c r="J306" s="305" t="s">
        <v>33</v>
      </c>
      <c r="K30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06" s="306" t="s">
        <v>738</v>
      </c>
      <c r="M306" s="306">
        <v>150</v>
      </c>
      <c r="N306" s="303">
        <v>0.26</v>
      </c>
      <c r="O306" s="307">
        <f>IFERROR(_xlfn.LET(_xlpm.boxType, J306, _xlpm.tallos, M306, _xlpm.cost, N306, _xlpm.precio, P306,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306" s="323">
        <v>1.19</v>
      </c>
      <c r="Q306" s="303" t="s">
        <v>726</v>
      </c>
      <c r="R30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06" s="303">
        <v>0.26</v>
      </c>
      <c r="T30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06" s="301">
        <v>0.69</v>
      </c>
    </row>
    <row r="307" spans="1:21" ht="15.75" thickBot="1" x14ac:dyDescent="0.3">
      <c r="A307" s="315" t="s">
        <v>41</v>
      </c>
      <c r="B307" s="316">
        <f>_xlfn.XLOOKUP(Catalogo[[#This Row],[Finca]], Fincas[Nombre], Fincas[ID])</f>
        <v>38</v>
      </c>
      <c r="C307" s="315" t="s">
        <v>675</v>
      </c>
      <c r="D307" s="315" t="s">
        <v>778</v>
      </c>
      <c r="E307" s="315"/>
      <c r="F307" s="315" t="s">
        <v>620</v>
      </c>
      <c r="G307" s="315" t="s">
        <v>611</v>
      </c>
      <c r="H307" s="344" t="s">
        <v>241</v>
      </c>
      <c r="I307" s="337"/>
      <c r="J307" s="316" t="s">
        <v>43</v>
      </c>
      <c r="K307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07" s="317" t="s">
        <v>342</v>
      </c>
      <c r="M307" s="317">
        <v>300</v>
      </c>
      <c r="N307" s="319">
        <v>0.26</v>
      </c>
      <c r="O307" s="318">
        <f>IFERROR(_xlfn.LET(_xlpm.boxType, J307, _xlpm.tallos, M307, _xlpm.cost, N307, _xlpm.precio, P307,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307" s="324">
        <v>1.19</v>
      </c>
      <c r="Q307" s="319" t="s">
        <v>727</v>
      </c>
      <c r="R307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07" s="319">
        <v>0.26</v>
      </c>
      <c r="T307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07" s="321">
        <v>0.69</v>
      </c>
    </row>
    <row r="308" spans="1:21" x14ac:dyDescent="0.25">
      <c r="A308" s="304" t="s">
        <v>41</v>
      </c>
      <c r="B308" s="305">
        <f>_xlfn.XLOOKUP(Catalogo[[#This Row],[Finca]], Fincas[Nombre], Fincas[ID])</f>
        <v>38</v>
      </c>
      <c r="C308" s="304" t="s">
        <v>675</v>
      </c>
      <c r="D308" s="304" t="s">
        <v>778</v>
      </c>
      <c r="E308" s="304"/>
      <c r="F308" s="304" t="s">
        <v>620</v>
      </c>
      <c r="G308" s="304" t="s">
        <v>611</v>
      </c>
      <c r="H308" s="338" t="s">
        <v>242</v>
      </c>
      <c r="I308" s="336"/>
      <c r="J308" s="305" t="s">
        <v>32</v>
      </c>
      <c r="K30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08" s="306" t="s">
        <v>737</v>
      </c>
      <c r="M308" s="306">
        <v>50</v>
      </c>
      <c r="N308" s="303">
        <v>0.36</v>
      </c>
      <c r="O308" s="307">
        <f>IFERROR(_xlfn.LET(_xlpm.boxType, J308, _xlpm.tallos, M308, _xlpm.cost, N308, _xlpm.precio, P308,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308" s="323">
        <v>1.49</v>
      </c>
      <c r="Q308" s="303" t="s">
        <v>725</v>
      </c>
      <c r="R30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08" s="303">
        <v>0.36</v>
      </c>
      <c r="T30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308" s="301">
        <v>0.85</v>
      </c>
    </row>
    <row r="309" spans="1:21" x14ac:dyDescent="0.25">
      <c r="A309" s="304" t="s">
        <v>41</v>
      </c>
      <c r="B309" s="305">
        <f>_xlfn.XLOOKUP(Catalogo[[#This Row],[Finca]], Fincas[Nombre], Fincas[ID])</f>
        <v>38</v>
      </c>
      <c r="C309" s="304" t="s">
        <v>675</v>
      </c>
      <c r="D309" s="304" t="s">
        <v>778</v>
      </c>
      <c r="E309" s="304"/>
      <c r="F309" s="304" t="s">
        <v>620</v>
      </c>
      <c r="G309" s="304" t="s">
        <v>611</v>
      </c>
      <c r="H309" s="338" t="s">
        <v>242</v>
      </c>
      <c r="I309" s="336"/>
      <c r="J309" s="305" t="s">
        <v>33</v>
      </c>
      <c r="K30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09" s="306" t="s">
        <v>738</v>
      </c>
      <c r="M309" s="306">
        <v>125</v>
      </c>
      <c r="N309" s="303">
        <v>0.36</v>
      </c>
      <c r="O309" s="307">
        <f>IFERROR(_xlfn.LET(_xlpm.boxType, J309, _xlpm.tallos, M309, _xlpm.cost, N309, _xlpm.precio, P309,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09" s="323">
        <v>1.39</v>
      </c>
      <c r="Q309" s="303" t="s">
        <v>726</v>
      </c>
      <c r="R30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09" s="303">
        <v>0.36</v>
      </c>
      <c r="T30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09" s="301">
        <v>0.79</v>
      </c>
    </row>
    <row r="310" spans="1:21" ht="15.75" thickBot="1" x14ac:dyDescent="0.3">
      <c r="A310" s="304" t="s">
        <v>41</v>
      </c>
      <c r="B310" s="305">
        <f>_xlfn.XLOOKUP(Catalogo[[#This Row],[Finca]], Fincas[Nombre], Fincas[ID])</f>
        <v>38</v>
      </c>
      <c r="C310" s="304" t="s">
        <v>675</v>
      </c>
      <c r="D310" s="304" t="s">
        <v>778</v>
      </c>
      <c r="E310" s="304"/>
      <c r="F310" s="304" t="s">
        <v>620</v>
      </c>
      <c r="G310" s="304" t="s">
        <v>611</v>
      </c>
      <c r="H310" s="338" t="s">
        <v>242</v>
      </c>
      <c r="I310" s="336"/>
      <c r="J310" s="305" t="s">
        <v>43</v>
      </c>
      <c r="K31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10" s="306" t="s">
        <v>342</v>
      </c>
      <c r="M310" s="306">
        <v>250</v>
      </c>
      <c r="N310" s="303">
        <v>0.36</v>
      </c>
      <c r="O310" s="307">
        <f>IFERROR(_xlfn.LET(_xlpm.boxType, J310, _xlpm.tallos, M310, _xlpm.cost, N310, _xlpm.precio, P310,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310" s="323">
        <v>1.39</v>
      </c>
      <c r="Q310" s="303" t="s">
        <v>727</v>
      </c>
      <c r="R31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10" s="303">
        <v>0.36</v>
      </c>
      <c r="T31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10" s="301">
        <v>0.79</v>
      </c>
    </row>
    <row r="311" spans="1:21" x14ac:dyDescent="0.25">
      <c r="A311" s="308" t="s">
        <v>41</v>
      </c>
      <c r="B311" s="309">
        <f>_xlfn.XLOOKUP(Catalogo[[#This Row],[Finca]], Fincas[Nombre], Fincas[ID])</f>
        <v>38</v>
      </c>
      <c r="C311" s="308" t="s">
        <v>675</v>
      </c>
      <c r="D311" s="308" t="s">
        <v>778</v>
      </c>
      <c r="E311" s="308"/>
      <c r="F311" s="308" t="s">
        <v>620</v>
      </c>
      <c r="G311" s="308" t="s">
        <v>611</v>
      </c>
      <c r="H311" s="343" t="s">
        <v>243</v>
      </c>
      <c r="I311" s="335"/>
      <c r="J311" s="309" t="s">
        <v>32</v>
      </c>
      <c r="K311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11" s="310" t="s">
        <v>737</v>
      </c>
      <c r="M311" s="310">
        <v>50</v>
      </c>
      <c r="N311" s="312">
        <v>0.42</v>
      </c>
      <c r="O311" s="311">
        <f>IFERROR(_xlfn.LET(_xlpm.boxType, J311, _xlpm.tallos, M311, _xlpm.cost, N311, _xlpm.precio, P311,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11" s="322">
        <v>1.59</v>
      </c>
      <c r="Q311" s="312" t="s">
        <v>725</v>
      </c>
      <c r="R311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11" s="312">
        <v>0.42</v>
      </c>
      <c r="T311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11" s="314">
        <v>0.99</v>
      </c>
    </row>
    <row r="312" spans="1:21" x14ac:dyDescent="0.25">
      <c r="A312" s="304" t="s">
        <v>41</v>
      </c>
      <c r="B312" s="305">
        <f>_xlfn.XLOOKUP(Catalogo[[#This Row],[Finca]], Fincas[Nombre], Fincas[ID])</f>
        <v>38</v>
      </c>
      <c r="C312" s="304" t="s">
        <v>675</v>
      </c>
      <c r="D312" s="304" t="s">
        <v>778</v>
      </c>
      <c r="E312" s="304"/>
      <c r="F312" s="304" t="s">
        <v>620</v>
      </c>
      <c r="G312" s="304" t="s">
        <v>611</v>
      </c>
      <c r="H312" s="338" t="s">
        <v>243</v>
      </c>
      <c r="I312" s="336"/>
      <c r="J312" s="305" t="s">
        <v>33</v>
      </c>
      <c r="K31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12" s="306" t="s">
        <v>738</v>
      </c>
      <c r="M312" s="306">
        <v>100</v>
      </c>
      <c r="N312" s="303">
        <v>0.42</v>
      </c>
      <c r="O312" s="307">
        <f>IFERROR(_xlfn.LET(_xlpm.boxType, J312, _xlpm.tallos, M312, _xlpm.cost, N312, _xlpm.precio, P312,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312" s="323">
        <v>1.59</v>
      </c>
      <c r="Q312" s="303" t="s">
        <v>726</v>
      </c>
      <c r="R31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12" s="303">
        <v>0.42</v>
      </c>
      <c r="T31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12" s="301">
        <v>0.89</v>
      </c>
    </row>
    <row r="313" spans="1:21" ht="15.75" thickBot="1" x14ac:dyDescent="0.3">
      <c r="A313" s="315" t="s">
        <v>41</v>
      </c>
      <c r="B313" s="316">
        <f>_xlfn.XLOOKUP(Catalogo[[#This Row],[Finca]], Fincas[Nombre], Fincas[ID])</f>
        <v>38</v>
      </c>
      <c r="C313" s="315" t="s">
        <v>675</v>
      </c>
      <c r="D313" s="315" t="s">
        <v>778</v>
      </c>
      <c r="E313" s="315"/>
      <c r="F313" s="315" t="s">
        <v>620</v>
      </c>
      <c r="G313" s="315" t="s">
        <v>611</v>
      </c>
      <c r="H313" s="344" t="s">
        <v>243</v>
      </c>
      <c r="I313" s="337"/>
      <c r="J313" s="316" t="s">
        <v>43</v>
      </c>
      <c r="K313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13" s="317" t="s">
        <v>342</v>
      </c>
      <c r="M313" s="317">
        <v>200</v>
      </c>
      <c r="N313" s="319">
        <v>0.42</v>
      </c>
      <c r="O313" s="318">
        <f>IFERROR(_xlfn.LET(_xlpm.boxType, J313, _xlpm.tallos, M313, _xlpm.cost, N313, _xlpm.precio, P313,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13" s="324">
        <v>1.59</v>
      </c>
      <c r="Q313" s="319" t="s">
        <v>727</v>
      </c>
      <c r="R313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13" s="319">
        <v>0.42</v>
      </c>
      <c r="T313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13" s="321">
        <v>0.89</v>
      </c>
    </row>
    <row r="314" spans="1:21" x14ac:dyDescent="0.25">
      <c r="A314" s="308" t="s">
        <v>41</v>
      </c>
      <c r="B314" s="309">
        <f>_xlfn.XLOOKUP(Catalogo[[#This Row],[Finca]], Fincas[Nombre], Fincas[ID])</f>
        <v>38</v>
      </c>
      <c r="C314" s="308" t="s">
        <v>675</v>
      </c>
      <c r="D314" s="308" t="s">
        <v>779</v>
      </c>
      <c r="E314" s="308"/>
      <c r="F314" s="308" t="s">
        <v>610</v>
      </c>
      <c r="G314" s="308"/>
      <c r="H314" s="343" t="s">
        <v>241</v>
      </c>
      <c r="I314" s="335"/>
      <c r="J314" s="309" t="s">
        <v>32</v>
      </c>
      <c r="K314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14" s="310" t="s">
        <v>737</v>
      </c>
      <c r="M314" s="310">
        <v>50</v>
      </c>
      <c r="N314" s="312">
        <v>0.26</v>
      </c>
      <c r="O314" s="311">
        <f>IFERROR(_xlfn.LET(_xlpm.boxType, J314, _xlpm.tallos, M314, _xlpm.cost, N314, _xlpm.precio, P314,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314" s="322">
        <v>1.29</v>
      </c>
      <c r="Q314" s="312" t="s">
        <v>725</v>
      </c>
      <c r="R314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14" s="312">
        <v>0.26</v>
      </c>
      <c r="T314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314" s="314">
        <v>0.75</v>
      </c>
    </row>
    <row r="315" spans="1:21" x14ac:dyDescent="0.25">
      <c r="A315" s="304" t="s">
        <v>41</v>
      </c>
      <c r="B315" s="305">
        <f>_xlfn.XLOOKUP(Catalogo[[#This Row],[Finca]], Fincas[Nombre], Fincas[ID])</f>
        <v>38</v>
      </c>
      <c r="C315" s="304" t="s">
        <v>675</v>
      </c>
      <c r="D315" s="304" t="s">
        <v>779</v>
      </c>
      <c r="E315" s="304"/>
      <c r="F315" s="304" t="s">
        <v>610</v>
      </c>
      <c r="G315" s="304"/>
      <c r="H315" s="338" t="s">
        <v>241</v>
      </c>
      <c r="I315" s="336"/>
      <c r="J315" s="305" t="s">
        <v>33</v>
      </c>
      <c r="K31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15" s="306" t="s">
        <v>738</v>
      </c>
      <c r="M315" s="306">
        <v>150</v>
      </c>
      <c r="N315" s="303">
        <v>0.26</v>
      </c>
      <c r="O315" s="307">
        <f>IFERROR(_xlfn.LET(_xlpm.boxType, J315, _xlpm.tallos, M315, _xlpm.cost, N315, _xlpm.precio, P315,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315" s="323">
        <v>1.19</v>
      </c>
      <c r="Q315" s="303" t="s">
        <v>726</v>
      </c>
      <c r="R31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15" s="303">
        <v>0.26</v>
      </c>
      <c r="T31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15" s="301">
        <v>0.69</v>
      </c>
    </row>
    <row r="316" spans="1:21" ht="15.75" thickBot="1" x14ac:dyDescent="0.3">
      <c r="A316" s="315" t="s">
        <v>41</v>
      </c>
      <c r="B316" s="316">
        <f>_xlfn.XLOOKUP(Catalogo[[#This Row],[Finca]], Fincas[Nombre], Fincas[ID])</f>
        <v>38</v>
      </c>
      <c r="C316" s="315" t="s">
        <v>675</v>
      </c>
      <c r="D316" s="315" t="s">
        <v>779</v>
      </c>
      <c r="E316" s="315"/>
      <c r="F316" s="315" t="s">
        <v>610</v>
      </c>
      <c r="G316" s="315"/>
      <c r="H316" s="344" t="s">
        <v>241</v>
      </c>
      <c r="I316" s="337"/>
      <c r="J316" s="316" t="s">
        <v>43</v>
      </c>
      <c r="K31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16" s="317" t="s">
        <v>342</v>
      </c>
      <c r="M316" s="317">
        <v>300</v>
      </c>
      <c r="N316" s="319">
        <v>0.26</v>
      </c>
      <c r="O316" s="318">
        <f>IFERROR(_xlfn.LET(_xlpm.boxType, J316, _xlpm.tallos, M316, _xlpm.cost, N316, _xlpm.precio, P316,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316" s="324">
        <v>1.19</v>
      </c>
      <c r="Q316" s="319" t="s">
        <v>727</v>
      </c>
      <c r="R31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16" s="319">
        <v>0.26</v>
      </c>
      <c r="T31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16" s="321">
        <v>0.69</v>
      </c>
    </row>
    <row r="317" spans="1:21" x14ac:dyDescent="0.25">
      <c r="A317" s="304" t="s">
        <v>41</v>
      </c>
      <c r="B317" s="305">
        <f>_xlfn.XLOOKUP(Catalogo[[#This Row],[Finca]], Fincas[Nombre], Fincas[ID])</f>
        <v>38</v>
      </c>
      <c r="C317" s="304" t="s">
        <v>675</v>
      </c>
      <c r="D317" s="304" t="s">
        <v>779</v>
      </c>
      <c r="E317" s="304"/>
      <c r="F317" s="304" t="s">
        <v>610</v>
      </c>
      <c r="G317" s="304"/>
      <c r="H317" s="338" t="s">
        <v>242</v>
      </c>
      <c r="I317" s="336"/>
      <c r="J317" s="305" t="s">
        <v>32</v>
      </c>
      <c r="K31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17" s="306" t="s">
        <v>737</v>
      </c>
      <c r="M317" s="306">
        <v>50</v>
      </c>
      <c r="N317" s="303">
        <v>0.36</v>
      </c>
      <c r="O317" s="307">
        <f>IFERROR(_xlfn.LET(_xlpm.boxType, J317, _xlpm.tallos, M317, _xlpm.cost, N317, _xlpm.precio, P317,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317" s="323">
        <v>1.49</v>
      </c>
      <c r="Q317" s="303" t="s">
        <v>725</v>
      </c>
      <c r="R31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17" s="303">
        <v>0.36</v>
      </c>
      <c r="T31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317" s="301">
        <v>0.85</v>
      </c>
    </row>
    <row r="318" spans="1:21" x14ac:dyDescent="0.25">
      <c r="A318" s="304" t="s">
        <v>41</v>
      </c>
      <c r="B318" s="305">
        <f>_xlfn.XLOOKUP(Catalogo[[#This Row],[Finca]], Fincas[Nombre], Fincas[ID])</f>
        <v>38</v>
      </c>
      <c r="C318" s="304" t="s">
        <v>675</v>
      </c>
      <c r="D318" s="304" t="s">
        <v>779</v>
      </c>
      <c r="E318" s="304"/>
      <c r="F318" s="304" t="s">
        <v>610</v>
      </c>
      <c r="G318" s="304"/>
      <c r="H318" s="338" t="s">
        <v>242</v>
      </c>
      <c r="I318" s="336"/>
      <c r="J318" s="305" t="s">
        <v>33</v>
      </c>
      <c r="K31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18" s="306" t="s">
        <v>738</v>
      </c>
      <c r="M318" s="306">
        <v>125</v>
      </c>
      <c r="N318" s="303">
        <v>0.36</v>
      </c>
      <c r="O318" s="307">
        <f>IFERROR(_xlfn.LET(_xlpm.boxType, J318, _xlpm.tallos, M318, _xlpm.cost, N318, _xlpm.precio, P318,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18" s="323">
        <v>1.39</v>
      </c>
      <c r="Q318" s="303" t="s">
        <v>726</v>
      </c>
      <c r="R31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18" s="303">
        <v>0.36</v>
      </c>
      <c r="T31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18" s="301">
        <v>0.79</v>
      </c>
    </row>
    <row r="319" spans="1:21" ht="15.75" thickBot="1" x14ac:dyDescent="0.3">
      <c r="A319" s="304" t="s">
        <v>41</v>
      </c>
      <c r="B319" s="305">
        <f>_xlfn.XLOOKUP(Catalogo[[#This Row],[Finca]], Fincas[Nombre], Fincas[ID])</f>
        <v>38</v>
      </c>
      <c r="C319" s="304" t="s">
        <v>675</v>
      </c>
      <c r="D319" s="304" t="s">
        <v>779</v>
      </c>
      <c r="E319" s="304"/>
      <c r="F319" s="304" t="s">
        <v>610</v>
      </c>
      <c r="G319" s="304"/>
      <c r="H319" s="338" t="s">
        <v>242</v>
      </c>
      <c r="I319" s="336"/>
      <c r="J319" s="305" t="s">
        <v>43</v>
      </c>
      <c r="K31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19" s="306" t="s">
        <v>342</v>
      </c>
      <c r="M319" s="306">
        <v>250</v>
      </c>
      <c r="N319" s="303">
        <v>0.36</v>
      </c>
      <c r="O319" s="307">
        <f>IFERROR(_xlfn.LET(_xlpm.boxType, J319, _xlpm.tallos, M319, _xlpm.cost, N319, _xlpm.precio, P319,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319" s="323">
        <v>1.39</v>
      </c>
      <c r="Q319" s="303" t="s">
        <v>727</v>
      </c>
      <c r="R31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19" s="303">
        <v>0.36</v>
      </c>
      <c r="T31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19" s="301">
        <v>0.79</v>
      </c>
    </row>
    <row r="320" spans="1:21" x14ac:dyDescent="0.25">
      <c r="A320" s="308" t="s">
        <v>41</v>
      </c>
      <c r="B320" s="309">
        <f>_xlfn.XLOOKUP(Catalogo[[#This Row],[Finca]], Fincas[Nombre], Fincas[ID])</f>
        <v>38</v>
      </c>
      <c r="C320" s="308" t="s">
        <v>675</v>
      </c>
      <c r="D320" s="308" t="s">
        <v>779</v>
      </c>
      <c r="E320" s="308"/>
      <c r="F320" s="308" t="s">
        <v>610</v>
      </c>
      <c r="G320" s="308"/>
      <c r="H320" s="343" t="s">
        <v>243</v>
      </c>
      <c r="I320" s="335"/>
      <c r="J320" s="309" t="s">
        <v>32</v>
      </c>
      <c r="K320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20" s="310" t="s">
        <v>737</v>
      </c>
      <c r="M320" s="310">
        <v>50</v>
      </c>
      <c r="N320" s="312">
        <v>0.42</v>
      </c>
      <c r="O320" s="311">
        <f>IFERROR(_xlfn.LET(_xlpm.boxType, J320, _xlpm.tallos, M320, _xlpm.cost, N320, _xlpm.precio, P320,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20" s="322">
        <v>1.59</v>
      </c>
      <c r="Q320" s="312" t="s">
        <v>725</v>
      </c>
      <c r="R320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20" s="312">
        <v>0.42</v>
      </c>
      <c r="T320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20" s="314">
        <v>0.99</v>
      </c>
    </row>
    <row r="321" spans="1:21" x14ac:dyDescent="0.25">
      <c r="A321" s="304" t="s">
        <v>41</v>
      </c>
      <c r="B321" s="305">
        <f>_xlfn.XLOOKUP(Catalogo[[#This Row],[Finca]], Fincas[Nombre], Fincas[ID])</f>
        <v>38</v>
      </c>
      <c r="C321" s="304" t="s">
        <v>675</v>
      </c>
      <c r="D321" s="304" t="s">
        <v>779</v>
      </c>
      <c r="E321" s="304"/>
      <c r="F321" s="304" t="s">
        <v>610</v>
      </c>
      <c r="G321" s="304"/>
      <c r="H321" s="338" t="s">
        <v>243</v>
      </c>
      <c r="I321" s="336"/>
      <c r="J321" s="305" t="s">
        <v>33</v>
      </c>
      <c r="K32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21" s="306" t="s">
        <v>738</v>
      </c>
      <c r="M321" s="306">
        <v>100</v>
      </c>
      <c r="N321" s="303">
        <v>0.42</v>
      </c>
      <c r="O321" s="307">
        <f>IFERROR(_xlfn.LET(_xlpm.boxType, J321, _xlpm.tallos, M321, _xlpm.cost, N321, _xlpm.precio, P321,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321" s="323">
        <v>1.59</v>
      </c>
      <c r="Q321" s="303" t="s">
        <v>726</v>
      </c>
      <c r="R32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21" s="303">
        <v>0.42</v>
      </c>
      <c r="T32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21" s="301">
        <v>0.89</v>
      </c>
    </row>
    <row r="322" spans="1:21" ht="15.75" thickBot="1" x14ac:dyDescent="0.3">
      <c r="A322" s="315" t="s">
        <v>41</v>
      </c>
      <c r="B322" s="316">
        <f>_xlfn.XLOOKUP(Catalogo[[#This Row],[Finca]], Fincas[Nombre], Fincas[ID])</f>
        <v>38</v>
      </c>
      <c r="C322" s="315" t="s">
        <v>675</v>
      </c>
      <c r="D322" s="315" t="s">
        <v>779</v>
      </c>
      <c r="E322" s="315"/>
      <c r="F322" s="315" t="s">
        <v>610</v>
      </c>
      <c r="G322" s="315"/>
      <c r="H322" s="344" t="s">
        <v>243</v>
      </c>
      <c r="I322" s="337"/>
      <c r="J322" s="316" t="s">
        <v>43</v>
      </c>
      <c r="K32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22" s="317" t="s">
        <v>342</v>
      </c>
      <c r="M322" s="317">
        <v>200</v>
      </c>
      <c r="N322" s="319">
        <v>0.42</v>
      </c>
      <c r="O322" s="318">
        <f>IFERROR(_xlfn.LET(_xlpm.boxType, J322, _xlpm.tallos, M322, _xlpm.cost, N322, _xlpm.precio, P322,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22" s="324">
        <v>1.59</v>
      </c>
      <c r="Q322" s="319" t="s">
        <v>727</v>
      </c>
      <c r="R32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22" s="319">
        <v>0.42</v>
      </c>
      <c r="T32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22" s="321">
        <v>0.89</v>
      </c>
    </row>
    <row r="323" spans="1:21" x14ac:dyDescent="0.25">
      <c r="A323" s="308" t="s">
        <v>41</v>
      </c>
      <c r="B323" s="309">
        <f>_xlfn.XLOOKUP(Catalogo[[#This Row],[Finca]], Fincas[Nombre], Fincas[ID])</f>
        <v>38</v>
      </c>
      <c r="C323" s="308" t="s">
        <v>675</v>
      </c>
      <c r="D323" s="308" t="s">
        <v>780</v>
      </c>
      <c r="E323" s="308"/>
      <c r="F323" s="308" t="s">
        <v>610</v>
      </c>
      <c r="G323" s="308"/>
      <c r="H323" s="343" t="s">
        <v>241</v>
      </c>
      <c r="I323" s="335"/>
      <c r="J323" s="309" t="s">
        <v>32</v>
      </c>
      <c r="K323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23" s="310" t="s">
        <v>737</v>
      </c>
      <c r="M323" s="310">
        <v>50</v>
      </c>
      <c r="N323" s="312">
        <v>0.26</v>
      </c>
      <c r="O323" s="311">
        <f>IFERROR(_xlfn.LET(_xlpm.boxType, J323, _xlpm.tallos, M323, _xlpm.cost, N323, _xlpm.precio, P323,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323" s="322">
        <v>1.29</v>
      </c>
      <c r="Q323" s="312" t="s">
        <v>725</v>
      </c>
      <c r="R323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23" s="312">
        <v>0.26</v>
      </c>
      <c r="T323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323" s="314">
        <v>0.75</v>
      </c>
    </row>
    <row r="324" spans="1:21" x14ac:dyDescent="0.25">
      <c r="A324" s="304" t="s">
        <v>41</v>
      </c>
      <c r="B324" s="305">
        <f>_xlfn.XLOOKUP(Catalogo[[#This Row],[Finca]], Fincas[Nombre], Fincas[ID])</f>
        <v>38</v>
      </c>
      <c r="C324" s="304" t="s">
        <v>675</v>
      </c>
      <c r="D324" s="304" t="s">
        <v>780</v>
      </c>
      <c r="E324" s="304"/>
      <c r="F324" s="304" t="s">
        <v>610</v>
      </c>
      <c r="G324" s="304"/>
      <c r="H324" s="338" t="s">
        <v>241</v>
      </c>
      <c r="I324" s="336"/>
      <c r="J324" s="305" t="s">
        <v>33</v>
      </c>
      <c r="K32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24" s="306" t="s">
        <v>738</v>
      </c>
      <c r="M324" s="306">
        <v>150</v>
      </c>
      <c r="N324" s="303">
        <v>0.26</v>
      </c>
      <c r="O324" s="307">
        <f>IFERROR(_xlfn.LET(_xlpm.boxType, J324, _xlpm.tallos, M324, _xlpm.cost, N324, _xlpm.precio, P324,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324" s="323">
        <v>1.19</v>
      </c>
      <c r="Q324" s="303" t="s">
        <v>726</v>
      </c>
      <c r="R32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24" s="303">
        <v>0.26</v>
      </c>
      <c r="T32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24" s="301">
        <v>0.69</v>
      </c>
    </row>
    <row r="325" spans="1:21" ht="15.75" thickBot="1" x14ac:dyDescent="0.3">
      <c r="A325" s="315" t="s">
        <v>41</v>
      </c>
      <c r="B325" s="316">
        <f>_xlfn.XLOOKUP(Catalogo[[#This Row],[Finca]], Fincas[Nombre], Fincas[ID])</f>
        <v>38</v>
      </c>
      <c r="C325" s="315" t="s">
        <v>675</v>
      </c>
      <c r="D325" s="315" t="s">
        <v>780</v>
      </c>
      <c r="E325" s="315"/>
      <c r="F325" s="315" t="s">
        <v>610</v>
      </c>
      <c r="G325" s="315"/>
      <c r="H325" s="344" t="s">
        <v>241</v>
      </c>
      <c r="I325" s="337"/>
      <c r="J325" s="316" t="s">
        <v>43</v>
      </c>
      <c r="K325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25" s="317" t="s">
        <v>342</v>
      </c>
      <c r="M325" s="317">
        <v>300</v>
      </c>
      <c r="N325" s="319">
        <v>0.26</v>
      </c>
      <c r="O325" s="318">
        <f>IFERROR(_xlfn.LET(_xlpm.boxType, J325, _xlpm.tallos, M325, _xlpm.cost, N325, _xlpm.precio, P325,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325" s="324">
        <v>1.19</v>
      </c>
      <c r="Q325" s="319" t="s">
        <v>727</v>
      </c>
      <c r="R325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25" s="319">
        <v>0.26</v>
      </c>
      <c r="T325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25" s="321">
        <v>0.69</v>
      </c>
    </row>
    <row r="326" spans="1:21" x14ac:dyDescent="0.25">
      <c r="A326" s="304" t="s">
        <v>41</v>
      </c>
      <c r="B326" s="305">
        <f>_xlfn.XLOOKUP(Catalogo[[#This Row],[Finca]], Fincas[Nombre], Fincas[ID])</f>
        <v>38</v>
      </c>
      <c r="C326" s="304" t="s">
        <v>675</v>
      </c>
      <c r="D326" s="304" t="s">
        <v>780</v>
      </c>
      <c r="E326" s="304"/>
      <c r="F326" s="304" t="s">
        <v>610</v>
      </c>
      <c r="G326" s="304"/>
      <c r="H326" s="338" t="s">
        <v>242</v>
      </c>
      <c r="I326" s="336"/>
      <c r="J326" s="305" t="s">
        <v>32</v>
      </c>
      <c r="K32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26" s="306" t="s">
        <v>737</v>
      </c>
      <c r="M326" s="306">
        <v>50</v>
      </c>
      <c r="N326" s="303">
        <v>0.36</v>
      </c>
      <c r="O326" s="307">
        <f>IFERROR(_xlfn.LET(_xlpm.boxType, J326, _xlpm.tallos, M326, _xlpm.cost, N326, _xlpm.precio, P326,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326" s="323">
        <v>1.49</v>
      </c>
      <c r="Q326" s="303" t="s">
        <v>725</v>
      </c>
      <c r="R32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26" s="303">
        <v>0.36</v>
      </c>
      <c r="T32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326" s="301">
        <v>0.85</v>
      </c>
    </row>
    <row r="327" spans="1:21" x14ac:dyDescent="0.25">
      <c r="A327" s="304" t="s">
        <v>41</v>
      </c>
      <c r="B327" s="305">
        <f>_xlfn.XLOOKUP(Catalogo[[#This Row],[Finca]], Fincas[Nombre], Fincas[ID])</f>
        <v>38</v>
      </c>
      <c r="C327" s="304" t="s">
        <v>675</v>
      </c>
      <c r="D327" s="304" t="s">
        <v>780</v>
      </c>
      <c r="E327" s="304"/>
      <c r="F327" s="304" t="s">
        <v>610</v>
      </c>
      <c r="G327" s="304"/>
      <c r="H327" s="338" t="s">
        <v>242</v>
      </c>
      <c r="I327" s="336"/>
      <c r="J327" s="305" t="s">
        <v>33</v>
      </c>
      <c r="K32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27" s="306" t="s">
        <v>738</v>
      </c>
      <c r="M327" s="306">
        <v>125</v>
      </c>
      <c r="N327" s="303">
        <v>0.36</v>
      </c>
      <c r="O327" s="307">
        <f>IFERROR(_xlfn.LET(_xlpm.boxType, J327, _xlpm.tallos, M327, _xlpm.cost, N327, _xlpm.precio, P327,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27" s="323">
        <v>1.39</v>
      </c>
      <c r="Q327" s="303" t="s">
        <v>726</v>
      </c>
      <c r="R32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27" s="303">
        <v>0.36</v>
      </c>
      <c r="T32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27" s="301">
        <v>0.79</v>
      </c>
    </row>
    <row r="328" spans="1:21" ht="15.75" thickBot="1" x14ac:dyDescent="0.3">
      <c r="A328" s="304" t="s">
        <v>41</v>
      </c>
      <c r="B328" s="305">
        <f>_xlfn.XLOOKUP(Catalogo[[#This Row],[Finca]], Fincas[Nombre], Fincas[ID])</f>
        <v>38</v>
      </c>
      <c r="C328" s="304" t="s">
        <v>675</v>
      </c>
      <c r="D328" s="304" t="s">
        <v>780</v>
      </c>
      <c r="E328" s="304"/>
      <c r="F328" s="304" t="s">
        <v>610</v>
      </c>
      <c r="G328" s="304"/>
      <c r="H328" s="338" t="s">
        <v>242</v>
      </c>
      <c r="I328" s="336"/>
      <c r="J328" s="305" t="s">
        <v>43</v>
      </c>
      <c r="K32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28" s="306" t="s">
        <v>342</v>
      </c>
      <c r="M328" s="306">
        <v>250</v>
      </c>
      <c r="N328" s="303">
        <v>0.36</v>
      </c>
      <c r="O328" s="307">
        <f>IFERROR(_xlfn.LET(_xlpm.boxType, J328, _xlpm.tallos, M328, _xlpm.cost, N328, _xlpm.precio, P328,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328" s="323">
        <v>1.39</v>
      </c>
      <c r="Q328" s="303" t="s">
        <v>727</v>
      </c>
      <c r="R32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28" s="303">
        <v>0.36</v>
      </c>
      <c r="T32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28" s="301">
        <v>0.79</v>
      </c>
    </row>
    <row r="329" spans="1:21" x14ac:dyDescent="0.25">
      <c r="A329" s="308" t="s">
        <v>41</v>
      </c>
      <c r="B329" s="309">
        <f>_xlfn.XLOOKUP(Catalogo[[#This Row],[Finca]], Fincas[Nombre], Fincas[ID])</f>
        <v>38</v>
      </c>
      <c r="C329" s="308" t="s">
        <v>675</v>
      </c>
      <c r="D329" s="308" t="s">
        <v>780</v>
      </c>
      <c r="E329" s="308"/>
      <c r="F329" s="308" t="s">
        <v>610</v>
      </c>
      <c r="G329" s="308"/>
      <c r="H329" s="343" t="s">
        <v>243</v>
      </c>
      <c r="I329" s="335"/>
      <c r="J329" s="309" t="s">
        <v>32</v>
      </c>
      <c r="K329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29" s="310" t="s">
        <v>737</v>
      </c>
      <c r="M329" s="310">
        <v>50</v>
      </c>
      <c r="N329" s="312">
        <v>0.42</v>
      </c>
      <c r="O329" s="311">
        <f>IFERROR(_xlfn.LET(_xlpm.boxType, J329, _xlpm.tallos, M329, _xlpm.cost, N329, _xlpm.precio, P329,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29" s="322">
        <v>1.59</v>
      </c>
      <c r="Q329" s="312" t="s">
        <v>725</v>
      </c>
      <c r="R329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29" s="312">
        <v>0.42</v>
      </c>
      <c r="T329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29" s="314">
        <v>0.99</v>
      </c>
    </row>
    <row r="330" spans="1:21" x14ac:dyDescent="0.25">
      <c r="A330" s="304" t="s">
        <v>41</v>
      </c>
      <c r="B330" s="305">
        <f>_xlfn.XLOOKUP(Catalogo[[#This Row],[Finca]], Fincas[Nombre], Fincas[ID])</f>
        <v>38</v>
      </c>
      <c r="C330" s="304" t="s">
        <v>675</v>
      </c>
      <c r="D330" s="304" t="s">
        <v>780</v>
      </c>
      <c r="E330" s="304"/>
      <c r="F330" s="304" t="s">
        <v>610</v>
      </c>
      <c r="G330" s="304"/>
      <c r="H330" s="338" t="s">
        <v>243</v>
      </c>
      <c r="I330" s="336"/>
      <c r="J330" s="305" t="s">
        <v>33</v>
      </c>
      <c r="K33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30" s="306" t="s">
        <v>738</v>
      </c>
      <c r="M330" s="306">
        <v>100</v>
      </c>
      <c r="N330" s="303">
        <v>0.42</v>
      </c>
      <c r="O330" s="307">
        <f>IFERROR(_xlfn.LET(_xlpm.boxType, J330, _xlpm.tallos, M330, _xlpm.cost, N330, _xlpm.precio, P330,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330" s="323">
        <v>1.59</v>
      </c>
      <c r="Q330" s="303" t="s">
        <v>726</v>
      </c>
      <c r="R33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30" s="303">
        <v>0.42</v>
      </c>
      <c r="T33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30" s="301">
        <v>0.89</v>
      </c>
    </row>
    <row r="331" spans="1:21" ht="15.75" thickBot="1" x14ac:dyDescent="0.3">
      <c r="A331" s="315" t="s">
        <v>41</v>
      </c>
      <c r="B331" s="316">
        <f>_xlfn.XLOOKUP(Catalogo[[#This Row],[Finca]], Fincas[Nombre], Fincas[ID])</f>
        <v>38</v>
      </c>
      <c r="C331" s="315" t="s">
        <v>675</v>
      </c>
      <c r="D331" s="315" t="s">
        <v>780</v>
      </c>
      <c r="E331" s="315"/>
      <c r="F331" s="315" t="s">
        <v>610</v>
      </c>
      <c r="G331" s="315"/>
      <c r="H331" s="344" t="s">
        <v>243</v>
      </c>
      <c r="I331" s="337"/>
      <c r="J331" s="316" t="s">
        <v>43</v>
      </c>
      <c r="K331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31" s="317" t="s">
        <v>342</v>
      </c>
      <c r="M331" s="317">
        <v>200</v>
      </c>
      <c r="N331" s="319">
        <v>0.42</v>
      </c>
      <c r="O331" s="318">
        <f>IFERROR(_xlfn.LET(_xlpm.boxType, J331, _xlpm.tallos, M331, _xlpm.cost, N331, _xlpm.precio, P331,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31" s="324">
        <v>1.59</v>
      </c>
      <c r="Q331" s="319" t="s">
        <v>727</v>
      </c>
      <c r="R331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31" s="319">
        <v>0.42</v>
      </c>
      <c r="T331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31" s="321">
        <v>0.89</v>
      </c>
    </row>
    <row r="332" spans="1:21" x14ac:dyDescent="0.25">
      <c r="A332" s="308" t="s">
        <v>41</v>
      </c>
      <c r="B332" s="309">
        <f>_xlfn.XLOOKUP(Catalogo[[#This Row],[Finca]], Fincas[Nombre], Fincas[ID])</f>
        <v>38</v>
      </c>
      <c r="C332" s="308" t="s">
        <v>675</v>
      </c>
      <c r="D332" s="308" t="s">
        <v>781</v>
      </c>
      <c r="E332" s="308"/>
      <c r="F332" s="308" t="s">
        <v>179</v>
      </c>
      <c r="G332" s="308" t="s">
        <v>618</v>
      </c>
      <c r="H332" s="343" t="s">
        <v>241</v>
      </c>
      <c r="I332" s="335"/>
      <c r="J332" s="309" t="s">
        <v>32</v>
      </c>
      <c r="K332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32" s="310" t="s">
        <v>737</v>
      </c>
      <c r="M332" s="310">
        <v>50</v>
      </c>
      <c r="N332" s="312">
        <v>0.26</v>
      </c>
      <c r="O332" s="311">
        <f>IFERROR(_xlfn.LET(_xlpm.boxType, J332, _xlpm.tallos, M332, _xlpm.cost, N332, _xlpm.precio, P332,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332" s="322">
        <v>1.29</v>
      </c>
      <c r="Q332" s="312" t="s">
        <v>725</v>
      </c>
      <c r="R332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32" s="312">
        <v>0.26</v>
      </c>
      <c r="T332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332" s="314">
        <v>0.75</v>
      </c>
    </row>
    <row r="333" spans="1:21" x14ac:dyDescent="0.25">
      <c r="A333" s="304" t="s">
        <v>41</v>
      </c>
      <c r="B333" s="305">
        <f>_xlfn.XLOOKUP(Catalogo[[#This Row],[Finca]], Fincas[Nombre], Fincas[ID])</f>
        <v>38</v>
      </c>
      <c r="C333" s="304" t="s">
        <v>675</v>
      </c>
      <c r="D333" s="304" t="s">
        <v>781</v>
      </c>
      <c r="E333" s="304"/>
      <c r="F333" s="304" t="s">
        <v>179</v>
      </c>
      <c r="G333" s="304" t="s">
        <v>618</v>
      </c>
      <c r="H333" s="338" t="s">
        <v>241</v>
      </c>
      <c r="I333" s="336"/>
      <c r="J333" s="305" t="s">
        <v>33</v>
      </c>
      <c r="K33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33" s="306" t="s">
        <v>738</v>
      </c>
      <c r="M333" s="306">
        <v>150</v>
      </c>
      <c r="N333" s="303">
        <v>0.26</v>
      </c>
      <c r="O333" s="307">
        <f>IFERROR(_xlfn.LET(_xlpm.boxType, J333, _xlpm.tallos, M333, _xlpm.cost, N333, _xlpm.precio, P333,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333" s="323">
        <v>1.19</v>
      </c>
      <c r="Q333" s="303" t="s">
        <v>726</v>
      </c>
      <c r="R33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33" s="303">
        <v>0.26</v>
      </c>
      <c r="T33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33" s="301">
        <v>0.69</v>
      </c>
    </row>
    <row r="334" spans="1:21" ht="15.75" thickBot="1" x14ac:dyDescent="0.3">
      <c r="A334" s="315" t="s">
        <v>41</v>
      </c>
      <c r="B334" s="316">
        <f>_xlfn.XLOOKUP(Catalogo[[#This Row],[Finca]], Fincas[Nombre], Fincas[ID])</f>
        <v>38</v>
      </c>
      <c r="C334" s="315" t="s">
        <v>675</v>
      </c>
      <c r="D334" s="315" t="s">
        <v>781</v>
      </c>
      <c r="E334" s="315"/>
      <c r="F334" s="315" t="s">
        <v>179</v>
      </c>
      <c r="G334" s="315" t="s">
        <v>618</v>
      </c>
      <c r="H334" s="344" t="s">
        <v>241</v>
      </c>
      <c r="I334" s="337"/>
      <c r="J334" s="316" t="s">
        <v>43</v>
      </c>
      <c r="K334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34" s="317" t="s">
        <v>342</v>
      </c>
      <c r="M334" s="317">
        <v>300</v>
      </c>
      <c r="N334" s="319">
        <v>0.26</v>
      </c>
      <c r="O334" s="318">
        <f>IFERROR(_xlfn.LET(_xlpm.boxType, J334, _xlpm.tallos, M334, _xlpm.cost, N334, _xlpm.precio, P334,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334" s="324">
        <v>1.19</v>
      </c>
      <c r="Q334" s="319" t="s">
        <v>727</v>
      </c>
      <c r="R334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34" s="319">
        <v>0.26</v>
      </c>
      <c r="T334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34" s="321">
        <v>0.69</v>
      </c>
    </row>
    <row r="335" spans="1:21" x14ac:dyDescent="0.25">
      <c r="A335" s="304" t="s">
        <v>41</v>
      </c>
      <c r="B335" s="305">
        <f>_xlfn.XLOOKUP(Catalogo[[#This Row],[Finca]], Fincas[Nombre], Fincas[ID])</f>
        <v>38</v>
      </c>
      <c r="C335" s="304" t="s">
        <v>675</v>
      </c>
      <c r="D335" s="304" t="s">
        <v>781</v>
      </c>
      <c r="E335" s="304"/>
      <c r="F335" s="304" t="s">
        <v>179</v>
      </c>
      <c r="G335" s="304" t="s">
        <v>618</v>
      </c>
      <c r="H335" s="338" t="s">
        <v>242</v>
      </c>
      <c r="I335" s="336"/>
      <c r="J335" s="305" t="s">
        <v>32</v>
      </c>
      <c r="K33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35" s="306" t="s">
        <v>737</v>
      </c>
      <c r="M335" s="306">
        <v>50</v>
      </c>
      <c r="N335" s="303">
        <v>0.36</v>
      </c>
      <c r="O335" s="307">
        <f>IFERROR(_xlfn.LET(_xlpm.boxType, J335, _xlpm.tallos, M335, _xlpm.cost, N335, _xlpm.precio, P335,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335" s="323">
        <v>1.49</v>
      </c>
      <c r="Q335" s="303" t="s">
        <v>725</v>
      </c>
      <c r="R33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35" s="303">
        <v>0.36</v>
      </c>
      <c r="T33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335" s="301">
        <v>0.85</v>
      </c>
    </row>
    <row r="336" spans="1:21" x14ac:dyDescent="0.25">
      <c r="A336" s="304" t="s">
        <v>41</v>
      </c>
      <c r="B336" s="305">
        <f>_xlfn.XLOOKUP(Catalogo[[#This Row],[Finca]], Fincas[Nombre], Fincas[ID])</f>
        <v>38</v>
      </c>
      <c r="C336" s="304" t="s">
        <v>675</v>
      </c>
      <c r="D336" s="304" t="s">
        <v>781</v>
      </c>
      <c r="E336" s="304"/>
      <c r="F336" s="304" t="s">
        <v>179</v>
      </c>
      <c r="G336" s="304" t="s">
        <v>618</v>
      </c>
      <c r="H336" s="338" t="s">
        <v>242</v>
      </c>
      <c r="I336" s="336"/>
      <c r="J336" s="305" t="s">
        <v>33</v>
      </c>
      <c r="K33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36" s="306" t="s">
        <v>738</v>
      </c>
      <c r="M336" s="306">
        <v>125</v>
      </c>
      <c r="N336" s="303">
        <v>0.36</v>
      </c>
      <c r="O336" s="307">
        <f>IFERROR(_xlfn.LET(_xlpm.boxType, J336, _xlpm.tallos, M336, _xlpm.cost, N336, _xlpm.precio, P336,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36" s="323">
        <v>1.39</v>
      </c>
      <c r="Q336" s="303" t="s">
        <v>726</v>
      </c>
      <c r="R33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36" s="303">
        <v>0.36</v>
      </c>
      <c r="T33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36" s="301">
        <v>0.79</v>
      </c>
    </row>
    <row r="337" spans="1:21" ht="15.75" thickBot="1" x14ac:dyDescent="0.3">
      <c r="A337" s="304" t="s">
        <v>41</v>
      </c>
      <c r="B337" s="305">
        <f>_xlfn.XLOOKUP(Catalogo[[#This Row],[Finca]], Fincas[Nombre], Fincas[ID])</f>
        <v>38</v>
      </c>
      <c r="C337" s="304" t="s">
        <v>675</v>
      </c>
      <c r="D337" s="304" t="s">
        <v>781</v>
      </c>
      <c r="E337" s="304"/>
      <c r="F337" s="304" t="s">
        <v>179</v>
      </c>
      <c r="G337" s="304" t="s">
        <v>618</v>
      </c>
      <c r="H337" s="338" t="s">
        <v>242</v>
      </c>
      <c r="I337" s="336"/>
      <c r="J337" s="305" t="s">
        <v>43</v>
      </c>
      <c r="K33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37" s="306" t="s">
        <v>342</v>
      </c>
      <c r="M337" s="306">
        <v>250</v>
      </c>
      <c r="N337" s="303">
        <v>0.36</v>
      </c>
      <c r="O337" s="307">
        <f>IFERROR(_xlfn.LET(_xlpm.boxType, J337, _xlpm.tallos, M337, _xlpm.cost, N337, _xlpm.precio, P337,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337" s="323">
        <v>1.39</v>
      </c>
      <c r="Q337" s="303" t="s">
        <v>727</v>
      </c>
      <c r="R33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37" s="303">
        <v>0.36</v>
      </c>
      <c r="T33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37" s="301">
        <v>0.79</v>
      </c>
    </row>
    <row r="338" spans="1:21" x14ac:dyDescent="0.25">
      <c r="A338" s="308" t="s">
        <v>41</v>
      </c>
      <c r="B338" s="309">
        <f>_xlfn.XLOOKUP(Catalogo[[#This Row],[Finca]], Fincas[Nombre], Fincas[ID])</f>
        <v>38</v>
      </c>
      <c r="C338" s="308" t="s">
        <v>675</v>
      </c>
      <c r="D338" s="308" t="s">
        <v>781</v>
      </c>
      <c r="E338" s="308"/>
      <c r="F338" s="308" t="s">
        <v>179</v>
      </c>
      <c r="G338" s="308" t="s">
        <v>618</v>
      </c>
      <c r="H338" s="343" t="s">
        <v>243</v>
      </c>
      <c r="I338" s="335"/>
      <c r="J338" s="309" t="s">
        <v>32</v>
      </c>
      <c r="K338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38" s="310" t="s">
        <v>737</v>
      </c>
      <c r="M338" s="310">
        <v>50</v>
      </c>
      <c r="N338" s="312">
        <v>0.42</v>
      </c>
      <c r="O338" s="311">
        <f>IFERROR(_xlfn.LET(_xlpm.boxType, J338, _xlpm.tallos, M338, _xlpm.cost, N338, _xlpm.precio, P338,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38" s="322">
        <v>1.59</v>
      </c>
      <c r="Q338" s="312" t="s">
        <v>725</v>
      </c>
      <c r="R338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38" s="312">
        <v>0.42</v>
      </c>
      <c r="T338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38" s="314">
        <v>0.99</v>
      </c>
    </row>
    <row r="339" spans="1:21" x14ac:dyDescent="0.25">
      <c r="A339" s="304" t="s">
        <v>41</v>
      </c>
      <c r="B339" s="305">
        <f>_xlfn.XLOOKUP(Catalogo[[#This Row],[Finca]], Fincas[Nombre], Fincas[ID])</f>
        <v>38</v>
      </c>
      <c r="C339" s="304" t="s">
        <v>675</v>
      </c>
      <c r="D339" s="304" t="s">
        <v>781</v>
      </c>
      <c r="E339" s="304"/>
      <c r="F339" s="304" t="s">
        <v>179</v>
      </c>
      <c r="G339" s="304" t="s">
        <v>618</v>
      </c>
      <c r="H339" s="338" t="s">
        <v>243</v>
      </c>
      <c r="I339" s="336"/>
      <c r="J339" s="305" t="s">
        <v>33</v>
      </c>
      <c r="K33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39" s="306" t="s">
        <v>738</v>
      </c>
      <c r="M339" s="306">
        <v>100</v>
      </c>
      <c r="N339" s="303">
        <v>0.42</v>
      </c>
      <c r="O339" s="307">
        <f>IFERROR(_xlfn.LET(_xlpm.boxType, J339, _xlpm.tallos, M339, _xlpm.cost, N339, _xlpm.precio, P339,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339" s="323">
        <v>1.59</v>
      </c>
      <c r="Q339" s="303" t="s">
        <v>726</v>
      </c>
      <c r="R33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39" s="303">
        <v>0.42</v>
      </c>
      <c r="T33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39" s="301">
        <v>0.89</v>
      </c>
    </row>
    <row r="340" spans="1:21" ht="15.75" thickBot="1" x14ac:dyDescent="0.3">
      <c r="A340" s="315" t="s">
        <v>41</v>
      </c>
      <c r="B340" s="316">
        <f>_xlfn.XLOOKUP(Catalogo[[#This Row],[Finca]], Fincas[Nombre], Fincas[ID])</f>
        <v>38</v>
      </c>
      <c r="C340" s="315" t="s">
        <v>675</v>
      </c>
      <c r="D340" s="315" t="s">
        <v>781</v>
      </c>
      <c r="E340" s="315"/>
      <c r="F340" s="315" t="s">
        <v>179</v>
      </c>
      <c r="G340" s="315" t="s">
        <v>618</v>
      </c>
      <c r="H340" s="344" t="s">
        <v>243</v>
      </c>
      <c r="I340" s="337"/>
      <c r="J340" s="316" t="s">
        <v>43</v>
      </c>
      <c r="K340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40" s="317" t="s">
        <v>342</v>
      </c>
      <c r="M340" s="317">
        <v>200</v>
      </c>
      <c r="N340" s="319">
        <v>0.42</v>
      </c>
      <c r="O340" s="318">
        <f>IFERROR(_xlfn.LET(_xlpm.boxType, J340, _xlpm.tallos, M340, _xlpm.cost, N340, _xlpm.precio, P340,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40" s="324">
        <v>1.59</v>
      </c>
      <c r="Q340" s="319" t="s">
        <v>727</v>
      </c>
      <c r="R340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40" s="319">
        <v>0.42</v>
      </c>
      <c r="T340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40" s="321">
        <v>0.89</v>
      </c>
    </row>
    <row r="341" spans="1:21" x14ac:dyDescent="0.25">
      <c r="A341" s="308" t="s">
        <v>41</v>
      </c>
      <c r="B341" s="309">
        <f>_xlfn.XLOOKUP(Catalogo[[#This Row],[Finca]], Fincas[Nombre], Fincas[ID])</f>
        <v>38</v>
      </c>
      <c r="C341" s="308" t="s">
        <v>675</v>
      </c>
      <c r="D341" s="308" t="s">
        <v>782</v>
      </c>
      <c r="E341" s="308"/>
      <c r="F341" s="308" t="s">
        <v>610</v>
      </c>
      <c r="G341" s="308" t="s">
        <v>616</v>
      </c>
      <c r="H341" s="343" t="s">
        <v>241</v>
      </c>
      <c r="I341" s="335"/>
      <c r="J341" s="309" t="s">
        <v>32</v>
      </c>
      <c r="K341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41" s="310" t="s">
        <v>737</v>
      </c>
      <c r="M341" s="310">
        <v>50</v>
      </c>
      <c r="N341" s="312">
        <v>0.26</v>
      </c>
      <c r="O341" s="311">
        <f>IFERROR(_xlfn.LET(_xlpm.boxType, J341, _xlpm.tallos, M341, _xlpm.cost, N341, _xlpm.precio, P341,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341" s="322">
        <v>1.29</v>
      </c>
      <c r="Q341" s="312" t="s">
        <v>725</v>
      </c>
      <c r="R341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41" s="312">
        <v>0.26</v>
      </c>
      <c r="T341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341" s="314">
        <v>0.75</v>
      </c>
    </row>
    <row r="342" spans="1:21" x14ac:dyDescent="0.25">
      <c r="A342" s="304" t="s">
        <v>41</v>
      </c>
      <c r="B342" s="305">
        <f>_xlfn.XLOOKUP(Catalogo[[#This Row],[Finca]], Fincas[Nombre], Fincas[ID])</f>
        <v>38</v>
      </c>
      <c r="C342" s="304" t="s">
        <v>675</v>
      </c>
      <c r="D342" s="304" t="s">
        <v>782</v>
      </c>
      <c r="E342" s="304"/>
      <c r="F342" s="304" t="s">
        <v>610</v>
      </c>
      <c r="G342" s="304" t="s">
        <v>616</v>
      </c>
      <c r="H342" s="338" t="s">
        <v>241</v>
      </c>
      <c r="I342" s="336"/>
      <c r="J342" s="305" t="s">
        <v>33</v>
      </c>
      <c r="K34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42" s="306" t="s">
        <v>738</v>
      </c>
      <c r="M342" s="306">
        <v>150</v>
      </c>
      <c r="N342" s="303">
        <v>0.26</v>
      </c>
      <c r="O342" s="307">
        <f>IFERROR(_xlfn.LET(_xlpm.boxType, J342, _xlpm.tallos, M342, _xlpm.cost, N342, _xlpm.precio, P342,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342" s="323">
        <v>1.19</v>
      </c>
      <c r="Q342" s="303" t="s">
        <v>726</v>
      </c>
      <c r="R34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42" s="303">
        <v>0.26</v>
      </c>
      <c r="T34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42" s="301">
        <v>0.69</v>
      </c>
    </row>
    <row r="343" spans="1:21" ht="15.75" thickBot="1" x14ac:dyDescent="0.3">
      <c r="A343" s="315" t="s">
        <v>41</v>
      </c>
      <c r="B343" s="316">
        <f>_xlfn.XLOOKUP(Catalogo[[#This Row],[Finca]], Fincas[Nombre], Fincas[ID])</f>
        <v>38</v>
      </c>
      <c r="C343" s="315" t="s">
        <v>675</v>
      </c>
      <c r="D343" s="315" t="s">
        <v>782</v>
      </c>
      <c r="E343" s="315"/>
      <c r="F343" s="315" t="s">
        <v>610</v>
      </c>
      <c r="G343" s="315" t="s">
        <v>616</v>
      </c>
      <c r="H343" s="344" t="s">
        <v>241</v>
      </c>
      <c r="I343" s="337"/>
      <c r="J343" s="316" t="s">
        <v>43</v>
      </c>
      <c r="K343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43" s="317" t="s">
        <v>342</v>
      </c>
      <c r="M343" s="317">
        <v>300</v>
      </c>
      <c r="N343" s="319">
        <v>0.26</v>
      </c>
      <c r="O343" s="318">
        <f>IFERROR(_xlfn.LET(_xlpm.boxType, J343, _xlpm.tallos, M343, _xlpm.cost, N343, _xlpm.precio, P343,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343" s="324">
        <v>1.19</v>
      </c>
      <c r="Q343" s="319" t="s">
        <v>727</v>
      </c>
      <c r="R343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43" s="319">
        <v>0.26</v>
      </c>
      <c r="T343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43" s="321">
        <v>0.69</v>
      </c>
    </row>
    <row r="344" spans="1:21" x14ac:dyDescent="0.25">
      <c r="A344" s="304" t="s">
        <v>41</v>
      </c>
      <c r="B344" s="305">
        <f>_xlfn.XLOOKUP(Catalogo[[#This Row],[Finca]], Fincas[Nombre], Fincas[ID])</f>
        <v>38</v>
      </c>
      <c r="C344" s="304" t="s">
        <v>675</v>
      </c>
      <c r="D344" s="304" t="s">
        <v>782</v>
      </c>
      <c r="E344" s="304"/>
      <c r="F344" s="304" t="s">
        <v>610</v>
      </c>
      <c r="G344" s="304" t="s">
        <v>616</v>
      </c>
      <c r="H344" s="338" t="s">
        <v>242</v>
      </c>
      <c r="I344" s="336"/>
      <c r="J344" s="305" t="s">
        <v>32</v>
      </c>
      <c r="K34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44" s="306" t="s">
        <v>737</v>
      </c>
      <c r="M344" s="306">
        <v>50</v>
      </c>
      <c r="N344" s="303">
        <v>0.36</v>
      </c>
      <c r="O344" s="307">
        <f>IFERROR(_xlfn.LET(_xlpm.boxType, J344, _xlpm.tallos, M344, _xlpm.cost, N344, _xlpm.precio, P344,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344" s="323">
        <v>1.49</v>
      </c>
      <c r="Q344" s="303" t="s">
        <v>725</v>
      </c>
      <c r="R34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44" s="303">
        <v>0.36</v>
      </c>
      <c r="T34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344" s="301">
        <v>0.85</v>
      </c>
    </row>
    <row r="345" spans="1:21" x14ac:dyDescent="0.25">
      <c r="A345" s="304" t="s">
        <v>41</v>
      </c>
      <c r="B345" s="305">
        <f>_xlfn.XLOOKUP(Catalogo[[#This Row],[Finca]], Fincas[Nombre], Fincas[ID])</f>
        <v>38</v>
      </c>
      <c r="C345" s="304" t="s">
        <v>675</v>
      </c>
      <c r="D345" s="304" t="s">
        <v>782</v>
      </c>
      <c r="E345" s="304"/>
      <c r="F345" s="304" t="s">
        <v>610</v>
      </c>
      <c r="G345" s="304" t="s">
        <v>616</v>
      </c>
      <c r="H345" s="338" t="s">
        <v>242</v>
      </c>
      <c r="I345" s="336"/>
      <c r="J345" s="305" t="s">
        <v>33</v>
      </c>
      <c r="K34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45" s="306" t="s">
        <v>738</v>
      </c>
      <c r="M345" s="306">
        <v>125</v>
      </c>
      <c r="N345" s="303">
        <v>0.36</v>
      </c>
      <c r="O345" s="307">
        <f>IFERROR(_xlfn.LET(_xlpm.boxType, J345, _xlpm.tallos, M345, _xlpm.cost, N345, _xlpm.precio, P345,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45" s="323">
        <v>1.39</v>
      </c>
      <c r="Q345" s="303" t="s">
        <v>726</v>
      </c>
      <c r="R34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45" s="303">
        <v>0.36</v>
      </c>
      <c r="T34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45" s="301">
        <v>0.79</v>
      </c>
    </row>
    <row r="346" spans="1:21" ht="15.75" thickBot="1" x14ac:dyDescent="0.3">
      <c r="A346" s="304" t="s">
        <v>41</v>
      </c>
      <c r="B346" s="305">
        <f>_xlfn.XLOOKUP(Catalogo[[#This Row],[Finca]], Fincas[Nombre], Fincas[ID])</f>
        <v>38</v>
      </c>
      <c r="C346" s="304" t="s">
        <v>675</v>
      </c>
      <c r="D346" s="304" t="s">
        <v>782</v>
      </c>
      <c r="E346" s="304"/>
      <c r="F346" s="304" t="s">
        <v>610</v>
      </c>
      <c r="G346" s="304" t="s">
        <v>616</v>
      </c>
      <c r="H346" s="338" t="s">
        <v>242</v>
      </c>
      <c r="I346" s="336"/>
      <c r="J346" s="305" t="s">
        <v>43</v>
      </c>
      <c r="K34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46" s="306" t="s">
        <v>342</v>
      </c>
      <c r="M346" s="306">
        <v>250</v>
      </c>
      <c r="N346" s="303">
        <v>0.36</v>
      </c>
      <c r="O346" s="307">
        <f>IFERROR(_xlfn.LET(_xlpm.boxType, J346, _xlpm.tallos, M346, _xlpm.cost, N346, _xlpm.precio, P346,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346" s="323">
        <v>1.39</v>
      </c>
      <c r="Q346" s="303" t="s">
        <v>727</v>
      </c>
      <c r="R34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46" s="303">
        <v>0.36</v>
      </c>
      <c r="T34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46" s="301">
        <v>0.79</v>
      </c>
    </row>
    <row r="347" spans="1:21" x14ac:dyDescent="0.25">
      <c r="A347" s="308" t="s">
        <v>41</v>
      </c>
      <c r="B347" s="309">
        <f>_xlfn.XLOOKUP(Catalogo[[#This Row],[Finca]], Fincas[Nombre], Fincas[ID])</f>
        <v>38</v>
      </c>
      <c r="C347" s="308" t="s">
        <v>675</v>
      </c>
      <c r="D347" s="308" t="s">
        <v>782</v>
      </c>
      <c r="E347" s="308"/>
      <c r="F347" s="308" t="s">
        <v>610</v>
      </c>
      <c r="G347" s="308" t="s">
        <v>616</v>
      </c>
      <c r="H347" s="343" t="s">
        <v>243</v>
      </c>
      <c r="I347" s="335"/>
      <c r="J347" s="309" t="s">
        <v>32</v>
      </c>
      <c r="K347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47" s="310" t="s">
        <v>737</v>
      </c>
      <c r="M347" s="310">
        <v>50</v>
      </c>
      <c r="N347" s="312">
        <v>0.42</v>
      </c>
      <c r="O347" s="311">
        <f>IFERROR(_xlfn.LET(_xlpm.boxType, J347, _xlpm.tallos, M347, _xlpm.cost, N347, _xlpm.precio, P347,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47" s="322">
        <v>1.59</v>
      </c>
      <c r="Q347" s="312" t="s">
        <v>725</v>
      </c>
      <c r="R347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47" s="312">
        <v>0.42</v>
      </c>
      <c r="T347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47" s="314">
        <v>0.99</v>
      </c>
    </row>
    <row r="348" spans="1:21" x14ac:dyDescent="0.25">
      <c r="A348" s="304" t="s">
        <v>41</v>
      </c>
      <c r="B348" s="305">
        <f>_xlfn.XLOOKUP(Catalogo[[#This Row],[Finca]], Fincas[Nombre], Fincas[ID])</f>
        <v>38</v>
      </c>
      <c r="C348" s="304" t="s">
        <v>675</v>
      </c>
      <c r="D348" s="304" t="s">
        <v>782</v>
      </c>
      <c r="E348" s="304"/>
      <c r="F348" s="304" t="s">
        <v>610</v>
      </c>
      <c r="G348" s="304" t="s">
        <v>616</v>
      </c>
      <c r="H348" s="338" t="s">
        <v>243</v>
      </c>
      <c r="I348" s="336"/>
      <c r="J348" s="305" t="s">
        <v>33</v>
      </c>
      <c r="K34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48" s="306" t="s">
        <v>738</v>
      </c>
      <c r="M348" s="306">
        <v>100</v>
      </c>
      <c r="N348" s="303">
        <v>0.42</v>
      </c>
      <c r="O348" s="307">
        <f>IFERROR(_xlfn.LET(_xlpm.boxType, J348, _xlpm.tallos, M348, _xlpm.cost, N348, _xlpm.precio, P348,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348" s="323">
        <v>1.59</v>
      </c>
      <c r="Q348" s="303" t="s">
        <v>726</v>
      </c>
      <c r="R34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48" s="303">
        <v>0.42</v>
      </c>
      <c r="T34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48" s="301">
        <v>0.89</v>
      </c>
    </row>
    <row r="349" spans="1:21" ht="15.75" thickBot="1" x14ac:dyDescent="0.3">
      <c r="A349" s="315" t="s">
        <v>41</v>
      </c>
      <c r="B349" s="316">
        <f>_xlfn.XLOOKUP(Catalogo[[#This Row],[Finca]], Fincas[Nombre], Fincas[ID])</f>
        <v>38</v>
      </c>
      <c r="C349" s="315" t="s">
        <v>675</v>
      </c>
      <c r="D349" s="315" t="s">
        <v>782</v>
      </c>
      <c r="E349" s="315"/>
      <c r="F349" s="315" t="s">
        <v>610</v>
      </c>
      <c r="G349" s="315" t="s">
        <v>616</v>
      </c>
      <c r="H349" s="344" t="s">
        <v>243</v>
      </c>
      <c r="I349" s="337"/>
      <c r="J349" s="316" t="s">
        <v>43</v>
      </c>
      <c r="K349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49" s="317" t="s">
        <v>342</v>
      </c>
      <c r="M349" s="317">
        <v>200</v>
      </c>
      <c r="N349" s="319">
        <v>0.42</v>
      </c>
      <c r="O349" s="318">
        <f>IFERROR(_xlfn.LET(_xlpm.boxType, J349, _xlpm.tallos, M349, _xlpm.cost, N349, _xlpm.precio, P349,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49" s="324">
        <v>1.59</v>
      </c>
      <c r="Q349" s="319" t="s">
        <v>727</v>
      </c>
      <c r="R349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49" s="319">
        <v>0.42</v>
      </c>
      <c r="T349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49" s="321">
        <v>0.89</v>
      </c>
    </row>
    <row r="350" spans="1:21" x14ac:dyDescent="0.25">
      <c r="A350" s="308" t="s">
        <v>41</v>
      </c>
      <c r="B350" s="309">
        <f>_xlfn.XLOOKUP(Catalogo[[#This Row],[Finca]], Fincas[Nombre], Fincas[ID])</f>
        <v>38</v>
      </c>
      <c r="C350" s="308" t="s">
        <v>675</v>
      </c>
      <c r="D350" s="308" t="s">
        <v>783</v>
      </c>
      <c r="E350" s="308"/>
      <c r="F350" s="308" t="s">
        <v>614</v>
      </c>
      <c r="G350" s="308"/>
      <c r="H350" s="343" t="s">
        <v>241</v>
      </c>
      <c r="I350" s="335"/>
      <c r="J350" s="309" t="s">
        <v>32</v>
      </c>
      <c r="K350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50" s="310" t="s">
        <v>737</v>
      </c>
      <c r="M350" s="310">
        <v>50</v>
      </c>
      <c r="N350" s="312">
        <v>0.26</v>
      </c>
      <c r="O350" s="311">
        <f>IFERROR(_xlfn.LET(_xlpm.boxType, J350, _xlpm.tallos, M350, _xlpm.cost, N350, _xlpm.precio, P350,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350" s="322">
        <v>1.29</v>
      </c>
      <c r="Q350" s="312" t="s">
        <v>725</v>
      </c>
      <c r="R350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50" s="312">
        <v>0.26</v>
      </c>
      <c r="T350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350" s="314">
        <v>0.75</v>
      </c>
    </row>
    <row r="351" spans="1:21" x14ac:dyDescent="0.25">
      <c r="A351" s="304" t="s">
        <v>41</v>
      </c>
      <c r="B351" s="305">
        <f>_xlfn.XLOOKUP(Catalogo[[#This Row],[Finca]], Fincas[Nombre], Fincas[ID])</f>
        <v>38</v>
      </c>
      <c r="C351" s="304" t="s">
        <v>675</v>
      </c>
      <c r="D351" s="304" t="s">
        <v>783</v>
      </c>
      <c r="E351" s="304"/>
      <c r="F351" s="304" t="s">
        <v>614</v>
      </c>
      <c r="G351" s="304"/>
      <c r="H351" s="338" t="s">
        <v>241</v>
      </c>
      <c r="I351" s="336"/>
      <c r="J351" s="305" t="s">
        <v>33</v>
      </c>
      <c r="K35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51" s="306" t="s">
        <v>738</v>
      </c>
      <c r="M351" s="306">
        <v>150</v>
      </c>
      <c r="N351" s="303">
        <v>0.26</v>
      </c>
      <c r="O351" s="307">
        <f>IFERROR(_xlfn.LET(_xlpm.boxType, J351, _xlpm.tallos, M351, _xlpm.cost, N351, _xlpm.precio, P351,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351" s="323">
        <v>1.19</v>
      </c>
      <c r="Q351" s="303" t="s">
        <v>726</v>
      </c>
      <c r="R35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51" s="303">
        <v>0.26</v>
      </c>
      <c r="T35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51" s="301">
        <v>0.69</v>
      </c>
    </row>
    <row r="352" spans="1:21" ht="15.75" thickBot="1" x14ac:dyDescent="0.3">
      <c r="A352" s="315" t="s">
        <v>41</v>
      </c>
      <c r="B352" s="316">
        <f>_xlfn.XLOOKUP(Catalogo[[#This Row],[Finca]], Fincas[Nombre], Fincas[ID])</f>
        <v>38</v>
      </c>
      <c r="C352" s="315" t="s">
        <v>675</v>
      </c>
      <c r="D352" s="315" t="s">
        <v>783</v>
      </c>
      <c r="E352" s="315"/>
      <c r="F352" s="315" t="s">
        <v>614</v>
      </c>
      <c r="G352" s="315"/>
      <c r="H352" s="344" t="s">
        <v>241</v>
      </c>
      <c r="I352" s="337"/>
      <c r="J352" s="316" t="s">
        <v>43</v>
      </c>
      <c r="K35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52" s="317" t="s">
        <v>342</v>
      </c>
      <c r="M352" s="317">
        <v>300</v>
      </c>
      <c r="N352" s="319">
        <v>0.26</v>
      </c>
      <c r="O352" s="318">
        <f>IFERROR(_xlfn.LET(_xlpm.boxType, J352, _xlpm.tallos, M352, _xlpm.cost, N352, _xlpm.precio, P352,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352" s="324">
        <v>1.19</v>
      </c>
      <c r="Q352" s="319" t="s">
        <v>727</v>
      </c>
      <c r="R35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52" s="319">
        <v>0.26</v>
      </c>
      <c r="T35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52" s="321">
        <v>0.69</v>
      </c>
    </row>
    <row r="353" spans="1:21" x14ac:dyDescent="0.25">
      <c r="A353" s="304" t="s">
        <v>41</v>
      </c>
      <c r="B353" s="305">
        <f>_xlfn.XLOOKUP(Catalogo[[#This Row],[Finca]], Fincas[Nombre], Fincas[ID])</f>
        <v>38</v>
      </c>
      <c r="C353" s="304" t="s">
        <v>675</v>
      </c>
      <c r="D353" s="304" t="s">
        <v>783</v>
      </c>
      <c r="E353" s="304"/>
      <c r="F353" s="304" t="s">
        <v>614</v>
      </c>
      <c r="G353" s="304"/>
      <c r="H353" s="338" t="s">
        <v>242</v>
      </c>
      <c r="I353" s="336"/>
      <c r="J353" s="305" t="s">
        <v>32</v>
      </c>
      <c r="K35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53" s="306" t="s">
        <v>737</v>
      </c>
      <c r="M353" s="306">
        <v>50</v>
      </c>
      <c r="N353" s="303">
        <v>0.36</v>
      </c>
      <c r="O353" s="307">
        <f>IFERROR(_xlfn.LET(_xlpm.boxType, J353, _xlpm.tallos, M353, _xlpm.cost, N353, _xlpm.precio, P353,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353" s="323">
        <v>1.49</v>
      </c>
      <c r="Q353" s="303" t="s">
        <v>725</v>
      </c>
      <c r="R35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53" s="303">
        <v>0.36</v>
      </c>
      <c r="T35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353" s="301">
        <v>0.85</v>
      </c>
    </row>
    <row r="354" spans="1:21" x14ac:dyDescent="0.25">
      <c r="A354" s="304" t="s">
        <v>41</v>
      </c>
      <c r="B354" s="305">
        <f>_xlfn.XLOOKUP(Catalogo[[#This Row],[Finca]], Fincas[Nombre], Fincas[ID])</f>
        <v>38</v>
      </c>
      <c r="C354" s="304" t="s">
        <v>675</v>
      </c>
      <c r="D354" s="304" t="s">
        <v>783</v>
      </c>
      <c r="E354" s="304"/>
      <c r="F354" s="304" t="s">
        <v>614</v>
      </c>
      <c r="G354" s="304"/>
      <c r="H354" s="338" t="s">
        <v>242</v>
      </c>
      <c r="I354" s="336"/>
      <c r="J354" s="305" t="s">
        <v>33</v>
      </c>
      <c r="K35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54" s="306" t="s">
        <v>738</v>
      </c>
      <c r="M354" s="306">
        <v>125</v>
      </c>
      <c r="N354" s="303">
        <v>0.36</v>
      </c>
      <c r="O354" s="307">
        <f>IFERROR(_xlfn.LET(_xlpm.boxType, J354, _xlpm.tallos, M354, _xlpm.cost, N354, _xlpm.precio, P354,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54" s="323">
        <v>1.39</v>
      </c>
      <c r="Q354" s="303" t="s">
        <v>726</v>
      </c>
      <c r="R35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54" s="303">
        <v>0.36</v>
      </c>
      <c r="T35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54" s="301">
        <v>0.79</v>
      </c>
    </row>
    <row r="355" spans="1:21" ht="15.75" thickBot="1" x14ac:dyDescent="0.3">
      <c r="A355" s="304" t="s">
        <v>41</v>
      </c>
      <c r="B355" s="305">
        <f>_xlfn.XLOOKUP(Catalogo[[#This Row],[Finca]], Fincas[Nombre], Fincas[ID])</f>
        <v>38</v>
      </c>
      <c r="C355" s="304" t="s">
        <v>675</v>
      </c>
      <c r="D355" s="304" t="s">
        <v>783</v>
      </c>
      <c r="E355" s="304"/>
      <c r="F355" s="304" t="s">
        <v>614</v>
      </c>
      <c r="G355" s="304"/>
      <c r="H355" s="338" t="s">
        <v>242</v>
      </c>
      <c r="I355" s="336"/>
      <c r="J355" s="305" t="s">
        <v>43</v>
      </c>
      <c r="K35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55" s="306" t="s">
        <v>342</v>
      </c>
      <c r="M355" s="306">
        <v>250</v>
      </c>
      <c r="N355" s="303">
        <v>0.36</v>
      </c>
      <c r="O355" s="307">
        <f>IFERROR(_xlfn.LET(_xlpm.boxType, J355, _xlpm.tallos, M355, _xlpm.cost, N355, _xlpm.precio, P355,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355" s="323">
        <v>1.39</v>
      </c>
      <c r="Q355" s="303" t="s">
        <v>727</v>
      </c>
      <c r="R35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55" s="303">
        <v>0.36</v>
      </c>
      <c r="T35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55" s="301">
        <v>0.79</v>
      </c>
    </row>
    <row r="356" spans="1:21" x14ac:dyDescent="0.25">
      <c r="A356" s="308" t="s">
        <v>41</v>
      </c>
      <c r="B356" s="309">
        <f>_xlfn.XLOOKUP(Catalogo[[#This Row],[Finca]], Fincas[Nombre], Fincas[ID])</f>
        <v>38</v>
      </c>
      <c r="C356" s="308" t="s">
        <v>675</v>
      </c>
      <c r="D356" s="308" t="s">
        <v>783</v>
      </c>
      <c r="E356" s="308"/>
      <c r="F356" s="308" t="s">
        <v>614</v>
      </c>
      <c r="G356" s="308"/>
      <c r="H356" s="343" t="s">
        <v>243</v>
      </c>
      <c r="I356" s="335"/>
      <c r="J356" s="309" t="s">
        <v>32</v>
      </c>
      <c r="K356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56" s="310" t="s">
        <v>737</v>
      </c>
      <c r="M356" s="310">
        <v>50</v>
      </c>
      <c r="N356" s="312">
        <v>0.42</v>
      </c>
      <c r="O356" s="311">
        <f>IFERROR(_xlfn.LET(_xlpm.boxType, J356, _xlpm.tallos, M356, _xlpm.cost, N356, _xlpm.precio, P356,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56" s="322">
        <v>1.59</v>
      </c>
      <c r="Q356" s="312" t="s">
        <v>725</v>
      </c>
      <c r="R356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56" s="312">
        <v>0.42</v>
      </c>
      <c r="T356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56" s="314">
        <v>0.99</v>
      </c>
    </row>
    <row r="357" spans="1:21" x14ac:dyDescent="0.25">
      <c r="A357" s="304" t="s">
        <v>41</v>
      </c>
      <c r="B357" s="305">
        <f>_xlfn.XLOOKUP(Catalogo[[#This Row],[Finca]], Fincas[Nombre], Fincas[ID])</f>
        <v>38</v>
      </c>
      <c r="C357" s="304" t="s">
        <v>675</v>
      </c>
      <c r="D357" s="304" t="s">
        <v>783</v>
      </c>
      <c r="E357" s="304"/>
      <c r="F357" s="304" t="s">
        <v>614</v>
      </c>
      <c r="G357" s="304"/>
      <c r="H357" s="338" t="s">
        <v>243</v>
      </c>
      <c r="I357" s="336"/>
      <c r="J357" s="305" t="s">
        <v>33</v>
      </c>
      <c r="K35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57" s="306" t="s">
        <v>738</v>
      </c>
      <c r="M357" s="306">
        <v>100</v>
      </c>
      <c r="N357" s="303">
        <v>0.42</v>
      </c>
      <c r="O357" s="307">
        <f>IFERROR(_xlfn.LET(_xlpm.boxType, J357, _xlpm.tallos, M357, _xlpm.cost, N357, _xlpm.precio, P357,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357" s="323">
        <v>1.59</v>
      </c>
      <c r="Q357" s="303" t="s">
        <v>726</v>
      </c>
      <c r="R35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57" s="303">
        <v>0.42</v>
      </c>
      <c r="T35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57" s="301">
        <v>0.89</v>
      </c>
    </row>
    <row r="358" spans="1:21" ht="15.75" thickBot="1" x14ac:dyDescent="0.3">
      <c r="A358" s="315" t="s">
        <v>41</v>
      </c>
      <c r="B358" s="316">
        <f>_xlfn.XLOOKUP(Catalogo[[#This Row],[Finca]], Fincas[Nombre], Fincas[ID])</f>
        <v>38</v>
      </c>
      <c r="C358" s="315" t="s">
        <v>675</v>
      </c>
      <c r="D358" s="315" t="s">
        <v>783</v>
      </c>
      <c r="E358" s="315"/>
      <c r="F358" s="315" t="s">
        <v>614</v>
      </c>
      <c r="G358" s="315"/>
      <c r="H358" s="344" t="s">
        <v>243</v>
      </c>
      <c r="I358" s="337"/>
      <c r="J358" s="316" t="s">
        <v>43</v>
      </c>
      <c r="K358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58" s="317" t="s">
        <v>342</v>
      </c>
      <c r="M358" s="317">
        <v>200</v>
      </c>
      <c r="N358" s="319">
        <v>0.42</v>
      </c>
      <c r="O358" s="318">
        <f>IFERROR(_xlfn.LET(_xlpm.boxType, J358, _xlpm.tallos, M358, _xlpm.cost, N358, _xlpm.precio, P358,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58" s="324">
        <v>1.59</v>
      </c>
      <c r="Q358" s="319" t="s">
        <v>727</v>
      </c>
      <c r="R358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58" s="319">
        <v>0.42</v>
      </c>
      <c r="T358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58" s="321">
        <v>0.89</v>
      </c>
    </row>
    <row r="359" spans="1:21" x14ac:dyDescent="0.25">
      <c r="A359" s="308" t="s">
        <v>41</v>
      </c>
      <c r="B359" s="309">
        <f>_xlfn.XLOOKUP(Catalogo[[#This Row],[Finca]], Fincas[Nombre], Fincas[ID])</f>
        <v>38</v>
      </c>
      <c r="C359" s="308" t="s">
        <v>675</v>
      </c>
      <c r="D359" s="308" t="s">
        <v>784</v>
      </c>
      <c r="E359" s="308"/>
      <c r="F359" s="308" t="s">
        <v>623</v>
      </c>
      <c r="G359" s="308" t="s">
        <v>614</v>
      </c>
      <c r="H359" s="343" t="s">
        <v>241</v>
      </c>
      <c r="I359" s="335"/>
      <c r="J359" s="309" t="s">
        <v>32</v>
      </c>
      <c r="K359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59" s="310" t="s">
        <v>737</v>
      </c>
      <c r="M359" s="310">
        <v>50</v>
      </c>
      <c r="N359" s="312">
        <v>0.26</v>
      </c>
      <c r="O359" s="311">
        <f>IFERROR(_xlfn.LET(_xlpm.boxType, J359, _xlpm.tallos, M359, _xlpm.cost, N359, _xlpm.precio, P359,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359" s="322">
        <v>1.29</v>
      </c>
      <c r="Q359" s="312" t="s">
        <v>725</v>
      </c>
      <c r="R359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59" s="312">
        <v>0.26</v>
      </c>
      <c r="T359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359" s="314">
        <v>0.75</v>
      </c>
    </row>
    <row r="360" spans="1:21" x14ac:dyDescent="0.25">
      <c r="A360" s="304" t="s">
        <v>41</v>
      </c>
      <c r="B360" s="305">
        <f>_xlfn.XLOOKUP(Catalogo[[#This Row],[Finca]], Fincas[Nombre], Fincas[ID])</f>
        <v>38</v>
      </c>
      <c r="C360" s="304" t="s">
        <v>675</v>
      </c>
      <c r="D360" s="304" t="s">
        <v>784</v>
      </c>
      <c r="E360" s="304"/>
      <c r="F360" s="304" t="s">
        <v>623</v>
      </c>
      <c r="G360" s="304" t="s">
        <v>614</v>
      </c>
      <c r="H360" s="338" t="s">
        <v>241</v>
      </c>
      <c r="I360" s="336"/>
      <c r="J360" s="305" t="s">
        <v>33</v>
      </c>
      <c r="K36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60" s="306" t="s">
        <v>738</v>
      </c>
      <c r="M360" s="306">
        <v>150</v>
      </c>
      <c r="N360" s="303">
        <v>0.26</v>
      </c>
      <c r="O360" s="307">
        <f>IFERROR(_xlfn.LET(_xlpm.boxType, J360, _xlpm.tallos, M360, _xlpm.cost, N360, _xlpm.precio, P360,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360" s="323">
        <v>1.19</v>
      </c>
      <c r="Q360" s="303" t="s">
        <v>726</v>
      </c>
      <c r="R36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60" s="303">
        <v>0.26</v>
      </c>
      <c r="T36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60" s="301">
        <v>0.69</v>
      </c>
    </row>
    <row r="361" spans="1:21" ht="15.75" thickBot="1" x14ac:dyDescent="0.3">
      <c r="A361" s="315" t="s">
        <v>41</v>
      </c>
      <c r="B361" s="316">
        <f>_xlfn.XLOOKUP(Catalogo[[#This Row],[Finca]], Fincas[Nombre], Fincas[ID])</f>
        <v>38</v>
      </c>
      <c r="C361" s="315" t="s">
        <v>675</v>
      </c>
      <c r="D361" s="315" t="s">
        <v>784</v>
      </c>
      <c r="E361" s="315"/>
      <c r="F361" s="315" t="s">
        <v>623</v>
      </c>
      <c r="G361" s="315" t="s">
        <v>614</v>
      </c>
      <c r="H361" s="344" t="s">
        <v>241</v>
      </c>
      <c r="I361" s="337"/>
      <c r="J361" s="316" t="s">
        <v>43</v>
      </c>
      <c r="K361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61" s="317" t="s">
        <v>342</v>
      </c>
      <c r="M361" s="317">
        <v>300</v>
      </c>
      <c r="N361" s="319">
        <v>0.26</v>
      </c>
      <c r="O361" s="318">
        <f>IFERROR(_xlfn.LET(_xlpm.boxType, J361, _xlpm.tallos, M361, _xlpm.cost, N361, _xlpm.precio, P361,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361" s="324">
        <v>1.19</v>
      </c>
      <c r="Q361" s="319" t="s">
        <v>727</v>
      </c>
      <c r="R361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61" s="319">
        <v>0.26</v>
      </c>
      <c r="T361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61" s="321">
        <v>0.69</v>
      </c>
    </row>
    <row r="362" spans="1:21" x14ac:dyDescent="0.25">
      <c r="A362" s="304" t="s">
        <v>41</v>
      </c>
      <c r="B362" s="305">
        <f>_xlfn.XLOOKUP(Catalogo[[#This Row],[Finca]], Fincas[Nombre], Fincas[ID])</f>
        <v>38</v>
      </c>
      <c r="C362" s="304" t="s">
        <v>675</v>
      </c>
      <c r="D362" s="304" t="s">
        <v>784</v>
      </c>
      <c r="E362" s="304"/>
      <c r="F362" s="304" t="s">
        <v>623</v>
      </c>
      <c r="G362" s="304" t="s">
        <v>614</v>
      </c>
      <c r="H362" s="338" t="s">
        <v>242</v>
      </c>
      <c r="I362" s="336"/>
      <c r="J362" s="305" t="s">
        <v>32</v>
      </c>
      <c r="K36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62" s="306" t="s">
        <v>737</v>
      </c>
      <c r="M362" s="306">
        <v>50</v>
      </c>
      <c r="N362" s="303">
        <v>0.36</v>
      </c>
      <c r="O362" s="307">
        <f>IFERROR(_xlfn.LET(_xlpm.boxType, J362, _xlpm.tallos, M362, _xlpm.cost, N362, _xlpm.precio, P362,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362" s="323">
        <v>1.49</v>
      </c>
      <c r="Q362" s="303" t="s">
        <v>725</v>
      </c>
      <c r="R36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62" s="303">
        <v>0.36</v>
      </c>
      <c r="T36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362" s="301">
        <v>0.85</v>
      </c>
    </row>
    <row r="363" spans="1:21" x14ac:dyDescent="0.25">
      <c r="A363" s="304" t="s">
        <v>41</v>
      </c>
      <c r="B363" s="305">
        <f>_xlfn.XLOOKUP(Catalogo[[#This Row],[Finca]], Fincas[Nombre], Fincas[ID])</f>
        <v>38</v>
      </c>
      <c r="C363" s="304" t="s">
        <v>675</v>
      </c>
      <c r="D363" s="304" t="s">
        <v>784</v>
      </c>
      <c r="E363" s="304"/>
      <c r="F363" s="304" t="s">
        <v>623</v>
      </c>
      <c r="G363" s="304" t="s">
        <v>614</v>
      </c>
      <c r="H363" s="338" t="s">
        <v>242</v>
      </c>
      <c r="I363" s="336"/>
      <c r="J363" s="305" t="s">
        <v>33</v>
      </c>
      <c r="K36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63" s="306" t="s">
        <v>738</v>
      </c>
      <c r="M363" s="306">
        <v>125</v>
      </c>
      <c r="N363" s="303">
        <v>0.36</v>
      </c>
      <c r="O363" s="307">
        <f>IFERROR(_xlfn.LET(_xlpm.boxType, J363, _xlpm.tallos, M363, _xlpm.cost, N363, _xlpm.precio, P363,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63" s="323">
        <v>1.39</v>
      </c>
      <c r="Q363" s="303" t="s">
        <v>726</v>
      </c>
      <c r="R36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63" s="303">
        <v>0.36</v>
      </c>
      <c r="T36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63" s="301">
        <v>0.79</v>
      </c>
    </row>
    <row r="364" spans="1:21" ht="15.75" thickBot="1" x14ac:dyDescent="0.3">
      <c r="A364" s="304" t="s">
        <v>41</v>
      </c>
      <c r="B364" s="305">
        <f>_xlfn.XLOOKUP(Catalogo[[#This Row],[Finca]], Fincas[Nombre], Fincas[ID])</f>
        <v>38</v>
      </c>
      <c r="C364" s="304" t="s">
        <v>675</v>
      </c>
      <c r="D364" s="304" t="s">
        <v>784</v>
      </c>
      <c r="E364" s="304"/>
      <c r="F364" s="304" t="s">
        <v>623</v>
      </c>
      <c r="G364" s="304" t="s">
        <v>614</v>
      </c>
      <c r="H364" s="338" t="s">
        <v>242</v>
      </c>
      <c r="I364" s="336"/>
      <c r="J364" s="305" t="s">
        <v>43</v>
      </c>
      <c r="K36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64" s="306" t="s">
        <v>342</v>
      </c>
      <c r="M364" s="306">
        <v>250</v>
      </c>
      <c r="N364" s="303">
        <v>0.36</v>
      </c>
      <c r="O364" s="307">
        <f>IFERROR(_xlfn.LET(_xlpm.boxType, J364, _xlpm.tallos, M364, _xlpm.cost, N364, _xlpm.precio, P364,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364" s="323">
        <v>1.39</v>
      </c>
      <c r="Q364" s="303" t="s">
        <v>727</v>
      </c>
      <c r="R36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64" s="303">
        <v>0.36</v>
      </c>
      <c r="T36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64" s="301">
        <v>0.79</v>
      </c>
    </row>
    <row r="365" spans="1:21" x14ac:dyDescent="0.25">
      <c r="A365" s="308" t="s">
        <v>41</v>
      </c>
      <c r="B365" s="309">
        <f>_xlfn.XLOOKUP(Catalogo[[#This Row],[Finca]], Fincas[Nombre], Fincas[ID])</f>
        <v>38</v>
      </c>
      <c r="C365" s="308" t="s">
        <v>675</v>
      </c>
      <c r="D365" s="308" t="s">
        <v>784</v>
      </c>
      <c r="E365" s="308"/>
      <c r="F365" s="308" t="s">
        <v>623</v>
      </c>
      <c r="G365" s="308" t="s">
        <v>614</v>
      </c>
      <c r="H365" s="343" t="s">
        <v>243</v>
      </c>
      <c r="I365" s="335"/>
      <c r="J365" s="309" t="s">
        <v>32</v>
      </c>
      <c r="K365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65" s="310" t="s">
        <v>737</v>
      </c>
      <c r="M365" s="310">
        <v>50</v>
      </c>
      <c r="N365" s="312">
        <v>0.42</v>
      </c>
      <c r="O365" s="311">
        <f>IFERROR(_xlfn.LET(_xlpm.boxType, J365, _xlpm.tallos, M365, _xlpm.cost, N365, _xlpm.precio, P365,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65" s="322">
        <v>1.59</v>
      </c>
      <c r="Q365" s="312" t="s">
        <v>725</v>
      </c>
      <c r="R365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65" s="312">
        <v>0.42</v>
      </c>
      <c r="T365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65" s="314">
        <v>0.99</v>
      </c>
    </row>
    <row r="366" spans="1:21" x14ac:dyDescent="0.25">
      <c r="A366" s="304" t="s">
        <v>41</v>
      </c>
      <c r="B366" s="305">
        <f>_xlfn.XLOOKUP(Catalogo[[#This Row],[Finca]], Fincas[Nombre], Fincas[ID])</f>
        <v>38</v>
      </c>
      <c r="C366" s="304" t="s">
        <v>675</v>
      </c>
      <c r="D366" s="304" t="s">
        <v>784</v>
      </c>
      <c r="E366" s="304"/>
      <c r="F366" s="304" t="s">
        <v>623</v>
      </c>
      <c r="G366" s="304" t="s">
        <v>614</v>
      </c>
      <c r="H366" s="338" t="s">
        <v>243</v>
      </c>
      <c r="I366" s="336"/>
      <c r="J366" s="305" t="s">
        <v>33</v>
      </c>
      <c r="K36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66" s="306" t="s">
        <v>738</v>
      </c>
      <c r="M366" s="306">
        <v>100</v>
      </c>
      <c r="N366" s="303">
        <v>0.42</v>
      </c>
      <c r="O366" s="307">
        <f>IFERROR(_xlfn.LET(_xlpm.boxType, J366, _xlpm.tallos, M366, _xlpm.cost, N366, _xlpm.precio, P366,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366" s="323">
        <v>1.59</v>
      </c>
      <c r="Q366" s="303" t="s">
        <v>726</v>
      </c>
      <c r="R36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66" s="303">
        <v>0.42</v>
      </c>
      <c r="T36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66" s="301">
        <v>0.89</v>
      </c>
    </row>
    <row r="367" spans="1:21" ht="15.75" thickBot="1" x14ac:dyDescent="0.3">
      <c r="A367" s="315" t="s">
        <v>41</v>
      </c>
      <c r="B367" s="316">
        <f>_xlfn.XLOOKUP(Catalogo[[#This Row],[Finca]], Fincas[Nombre], Fincas[ID])</f>
        <v>38</v>
      </c>
      <c r="C367" s="315" t="s">
        <v>675</v>
      </c>
      <c r="D367" s="315" t="s">
        <v>784</v>
      </c>
      <c r="E367" s="315"/>
      <c r="F367" s="315" t="s">
        <v>623</v>
      </c>
      <c r="G367" s="315" t="s">
        <v>614</v>
      </c>
      <c r="H367" s="344" t="s">
        <v>243</v>
      </c>
      <c r="I367" s="337"/>
      <c r="J367" s="316" t="s">
        <v>43</v>
      </c>
      <c r="K367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67" s="317" t="s">
        <v>342</v>
      </c>
      <c r="M367" s="317">
        <v>200</v>
      </c>
      <c r="N367" s="319">
        <v>0.42</v>
      </c>
      <c r="O367" s="318">
        <f>IFERROR(_xlfn.LET(_xlpm.boxType, J367, _xlpm.tallos, M367, _xlpm.cost, N367, _xlpm.precio, P367,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67" s="324">
        <v>1.59</v>
      </c>
      <c r="Q367" s="319" t="s">
        <v>727</v>
      </c>
      <c r="R367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67" s="319">
        <v>0.42</v>
      </c>
      <c r="T367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67" s="321">
        <v>0.89</v>
      </c>
    </row>
    <row r="368" spans="1:21" x14ac:dyDescent="0.25">
      <c r="A368" s="308" t="s">
        <v>41</v>
      </c>
      <c r="B368" s="309">
        <f>_xlfn.XLOOKUP(Catalogo[[#This Row],[Finca]], Fincas[Nombre], Fincas[ID])</f>
        <v>38</v>
      </c>
      <c r="C368" s="308" t="s">
        <v>675</v>
      </c>
      <c r="D368" s="308" t="s">
        <v>785</v>
      </c>
      <c r="E368" s="308"/>
      <c r="F368" s="308" t="s">
        <v>179</v>
      </c>
      <c r="G368" s="308"/>
      <c r="H368" s="343" t="s">
        <v>241</v>
      </c>
      <c r="I368" s="335"/>
      <c r="J368" s="309" t="s">
        <v>32</v>
      </c>
      <c r="K368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68" s="310" t="s">
        <v>737</v>
      </c>
      <c r="M368" s="310">
        <v>50</v>
      </c>
      <c r="N368" s="312">
        <v>0.26</v>
      </c>
      <c r="O368" s="311">
        <f>IFERROR(_xlfn.LET(_xlpm.boxType, J368, _xlpm.tallos, M368, _xlpm.cost, N368, _xlpm.precio, P368,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368" s="322">
        <v>1.29</v>
      </c>
      <c r="Q368" s="312" t="s">
        <v>725</v>
      </c>
      <c r="R368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68" s="312">
        <v>0.26</v>
      </c>
      <c r="T368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368" s="314">
        <v>0.75</v>
      </c>
    </row>
    <row r="369" spans="1:21" x14ac:dyDescent="0.25">
      <c r="A369" s="304" t="s">
        <v>41</v>
      </c>
      <c r="B369" s="305">
        <f>_xlfn.XLOOKUP(Catalogo[[#This Row],[Finca]], Fincas[Nombre], Fincas[ID])</f>
        <v>38</v>
      </c>
      <c r="C369" s="304" t="s">
        <v>675</v>
      </c>
      <c r="D369" s="304" t="s">
        <v>785</v>
      </c>
      <c r="E369" s="304"/>
      <c r="F369" s="304" t="s">
        <v>179</v>
      </c>
      <c r="G369" s="304"/>
      <c r="H369" s="338" t="s">
        <v>241</v>
      </c>
      <c r="I369" s="336"/>
      <c r="J369" s="305" t="s">
        <v>33</v>
      </c>
      <c r="K36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69" s="306" t="s">
        <v>738</v>
      </c>
      <c r="M369" s="306">
        <v>150</v>
      </c>
      <c r="N369" s="303">
        <v>0.26</v>
      </c>
      <c r="O369" s="307">
        <f>IFERROR(_xlfn.LET(_xlpm.boxType, J369, _xlpm.tallos, M369, _xlpm.cost, N369, _xlpm.precio, P369,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369" s="323">
        <v>1.19</v>
      </c>
      <c r="Q369" s="303" t="s">
        <v>726</v>
      </c>
      <c r="R36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69" s="303">
        <v>0.26</v>
      </c>
      <c r="T36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69" s="301">
        <v>0.69</v>
      </c>
    </row>
    <row r="370" spans="1:21" ht="15.75" thickBot="1" x14ac:dyDescent="0.3">
      <c r="A370" s="315" t="s">
        <v>41</v>
      </c>
      <c r="B370" s="316">
        <f>_xlfn.XLOOKUP(Catalogo[[#This Row],[Finca]], Fincas[Nombre], Fincas[ID])</f>
        <v>38</v>
      </c>
      <c r="C370" s="315" t="s">
        <v>675</v>
      </c>
      <c r="D370" s="315" t="s">
        <v>785</v>
      </c>
      <c r="E370" s="315"/>
      <c r="F370" s="315" t="s">
        <v>179</v>
      </c>
      <c r="G370" s="315"/>
      <c r="H370" s="344" t="s">
        <v>241</v>
      </c>
      <c r="I370" s="337"/>
      <c r="J370" s="316" t="s">
        <v>43</v>
      </c>
      <c r="K370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70" s="317" t="s">
        <v>342</v>
      </c>
      <c r="M370" s="317">
        <v>300</v>
      </c>
      <c r="N370" s="319">
        <v>0.26</v>
      </c>
      <c r="O370" s="318">
        <f>IFERROR(_xlfn.LET(_xlpm.boxType, J370, _xlpm.tallos, M370, _xlpm.cost, N370, _xlpm.precio, P370,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370" s="324">
        <v>1.19</v>
      </c>
      <c r="Q370" s="319" t="s">
        <v>727</v>
      </c>
      <c r="R370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70" s="319">
        <v>0.26</v>
      </c>
      <c r="T370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70" s="321">
        <v>0.69</v>
      </c>
    </row>
    <row r="371" spans="1:21" x14ac:dyDescent="0.25">
      <c r="A371" s="304" t="s">
        <v>41</v>
      </c>
      <c r="B371" s="305">
        <f>_xlfn.XLOOKUP(Catalogo[[#This Row],[Finca]], Fincas[Nombre], Fincas[ID])</f>
        <v>38</v>
      </c>
      <c r="C371" s="304" t="s">
        <v>675</v>
      </c>
      <c r="D371" s="304" t="s">
        <v>785</v>
      </c>
      <c r="E371" s="304"/>
      <c r="F371" s="304" t="s">
        <v>179</v>
      </c>
      <c r="G371" s="304"/>
      <c r="H371" s="338" t="s">
        <v>242</v>
      </c>
      <c r="I371" s="336"/>
      <c r="J371" s="305" t="s">
        <v>32</v>
      </c>
      <c r="K37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71" s="306" t="s">
        <v>737</v>
      </c>
      <c r="M371" s="306">
        <v>50</v>
      </c>
      <c r="N371" s="303">
        <v>0.36</v>
      </c>
      <c r="O371" s="307">
        <f>IFERROR(_xlfn.LET(_xlpm.boxType, J371, _xlpm.tallos, M371, _xlpm.cost, N371, _xlpm.precio, P371,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371" s="323">
        <v>1.49</v>
      </c>
      <c r="Q371" s="303" t="s">
        <v>725</v>
      </c>
      <c r="R37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71" s="303">
        <v>0.36</v>
      </c>
      <c r="T37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371" s="301">
        <v>0.85</v>
      </c>
    </row>
    <row r="372" spans="1:21" x14ac:dyDescent="0.25">
      <c r="A372" s="304" t="s">
        <v>41</v>
      </c>
      <c r="B372" s="305">
        <f>_xlfn.XLOOKUP(Catalogo[[#This Row],[Finca]], Fincas[Nombre], Fincas[ID])</f>
        <v>38</v>
      </c>
      <c r="C372" s="304" t="s">
        <v>675</v>
      </c>
      <c r="D372" s="304" t="s">
        <v>785</v>
      </c>
      <c r="E372" s="304"/>
      <c r="F372" s="304" t="s">
        <v>179</v>
      </c>
      <c r="G372" s="304"/>
      <c r="H372" s="338" t="s">
        <v>242</v>
      </c>
      <c r="I372" s="336"/>
      <c r="J372" s="305" t="s">
        <v>33</v>
      </c>
      <c r="K37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72" s="306" t="s">
        <v>738</v>
      </c>
      <c r="M372" s="306">
        <v>125</v>
      </c>
      <c r="N372" s="303">
        <v>0.36</v>
      </c>
      <c r="O372" s="307">
        <f>IFERROR(_xlfn.LET(_xlpm.boxType, J372, _xlpm.tallos, M372, _xlpm.cost, N372, _xlpm.precio, P372,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72" s="323">
        <v>1.39</v>
      </c>
      <c r="Q372" s="303" t="s">
        <v>726</v>
      </c>
      <c r="R37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72" s="303">
        <v>0.36</v>
      </c>
      <c r="T37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72" s="301">
        <v>0.79</v>
      </c>
    </row>
    <row r="373" spans="1:21" ht="15.75" thickBot="1" x14ac:dyDescent="0.3">
      <c r="A373" s="304" t="s">
        <v>41</v>
      </c>
      <c r="B373" s="305">
        <f>_xlfn.XLOOKUP(Catalogo[[#This Row],[Finca]], Fincas[Nombre], Fincas[ID])</f>
        <v>38</v>
      </c>
      <c r="C373" s="304" t="s">
        <v>675</v>
      </c>
      <c r="D373" s="304" t="s">
        <v>785</v>
      </c>
      <c r="E373" s="304"/>
      <c r="F373" s="304" t="s">
        <v>179</v>
      </c>
      <c r="G373" s="304"/>
      <c r="H373" s="338" t="s">
        <v>242</v>
      </c>
      <c r="I373" s="336"/>
      <c r="J373" s="305" t="s">
        <v>43</v>
      </c>
      <c r="K37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73" s="306" t="s">
        <v>342</v>
      </c>
      <c r="M373" s="306">
        <v>250</v>
      </c>
      <c r="N373" s="303">
        <v>0.36</v>
      </c>
      <c r="O373" s="307">
        <f>IFERROR(_xlfn.LET(_xlpm.boxType, J373, _xlpm.tallos, M373, _xlpm.cost, N373, _xlpm.precio, P373,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373" s="323">
        <v>1.39</v>
      </c>
      <c r="Q373" s="303" t="s">
        <v>727</v>
      </c>
      <c r="R37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73" s="303">
        <v>0.36</v>
      </c>
      <c r="T37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73" s="301">
        <v>0.79</v>
      </c>
    </row>
    <row r="374" spans="1:21" x14ac:dyDescent="0.25">
      <c r="A374" s="308" t="s">
        <v>41</v>
      </c>
      <c r="B374" s="309">
        <f>_xlfn.XLOOKUP(Catalogo[[#This Row],[Finca]], Fincas[Nombre], Fincas[ID])</f>
        <v>38</v>
      </c>
      <c r="C374" s="308" t="s">
        <v>675</v>
      </c>
      <c r="D374" s="308" t="s">
        <v>785</v>
      </c>
      <c r="E374" s="308"/>
      <c r="F374" s="308" t="s">
        <v>179</v>
      </c>
      <c r="G374" s="308"/>
      <c r="H374" s="343" t="s">
        <v>243</v>
      </c>
      <c r="I374" s="335"/>
      <c r="J374" s="309" t="s">
        <v>32</v>
      </c>
      <c r="K374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74" s="310" t="s">
        <v>737</v>
      </c>
      <c r="M374" s="310">
        <v>50</v>
      </c>
      <c r="N374" s="312">
        <v>0.42</v>
      </c>
      <c r="O374" s="311">
        <f>IFERROR(_xlfn.LET(_xlpm.boxType, J374, _xlpm.tallos, M374, _xlpm.cost, N374, _xlpm.precio, P374,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74" s="322">
        <v>1.59</v>
      </c>
      <c r="Q374" s="312" t="s">
        <v>725</v>
      </c>
      <c r="R374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74" s="312">
        <v>0.42</v>
      </c>
      <c r="T374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74" s="314">
        <v>0.99</v>
      </c>
    </row>
    <row r="375" spans="1:21" x14ac:dyDescent="0.25">
      <c r="A375" s="304" t="s">
        <v>41</v>
      </c>
      <c r="B375" s="305">
        <f>_xlfn.XLOOKUP(Catalogo[[#This Row],[Finca]], Fincas[Nombre], Fincas[ID])</f>
        <v>38</v>
      </c>
      <c r="C375" s="304" t="s">
        <v>675</v>
      </c>
      <c r="D375" s="304" t="s">
        <v>785</v>
      </c>
      <c r="E375" s="304"/>
      <c r="F375" s="304" t="s">
        <v>179</v>
      </c>
      <c r="G375" s="304"/>
      <c r="H375" s="338" t="s">
        <v>243</v>
      </c>
      <c r="I375" s="336"/>
      <c r="J375" s="305" t="s">
        <v>33</v>
      </c>
      <c r="K37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75" s="306" t="s">
        <v>738</v>
      </c>
      <c r="M375" s="306">
        <v>100</v>
      </c>
      <c r="N375" s="303">
        <v>0.42</v>
      </c>
      <c r="O375" s="307">
        <f>IFERROR(_xlfn.LET(_xlpm.boxType, J375, _xlpm.tallos, M375, _xlpm.cost, N375, _xlpm.precio, P375,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375" s="323">
        <v>1.59</v>
      </c>
      <c r="Q375" s="303" t="s">
        <v>726</v>
      </c>
      <c r="R37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75" s="303">
        <v>0.42</v>
      </c>
      <c r="T37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75" s="301">
        <v>0.89</v>
      </c>
    </row>
    <row r="376" spans="1:21" ht="15.75" thickBot="1" x14ac:dyDescent="0.3">
      <c r="A376" s="315" t="s">
        <v>41</v>
      </c>
      <c r="B376" s="316">
        <f>_xlfn.XLOOKUP(Catalogo[[#This Row],[Finca]], Fincas[Nombre], Fincas[ID])</f>
        <v>38</v>
      </c>
      <c r="C376" s="315" t="s">
        <v>675</v>
      </c>
      <c r="D376" s="315" t="s">
        <v>785</v>
      </c>
      <c r="E376" s="315"/>
      <c r="F376" s="315" t="s">
        <v>179</v>
      </c>
      <c r="G376" s="315"/>
      <c r="H376" s="344" t="s">
        <v>243</v>
      </c>
      <c r="I376" s="337"/>
      <c r="J376" s="316" t="s">
        <v>43</v>
      </c>
      <c r="K37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76" s="317" t="s">
        <v>342</v>
      </c>
      <c r="M376" s="317">
        <v>200</v>
      </c>
      <c r="N376" s="319">
        <v>0.42</v>
      </c>
      <c r="O376" s="318">
        <f>IFERROR(_xlfn.LET(_xlpm.boxType, J376, _xlpm.tallos, M376, _xlpm.cost, N376, _xlpm.precio, P376,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76" s="324">
        <v>1.59</v>
      </c>
      <c r="Q376" s="319" t="s">
        <v>727</v>
      </c>
      <c r="R37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76" s="319">
        <v>0.42</v>
      </c>
      <c r="T37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76" s="321">
        <v>0.89</v>
      </c>
    </row>
    <row r="377" spans="1:21" x14ac:dyDescent="0.25">
      <c r="A377" s="308" t="s">
        <v>41</v>
      </c>
      <c r="B377" s="309">
        <f>_xlfn.XLOOKUP(Catalogo[[#This Row],[Finca]], Fincas[Nombre], Fincas[ID])</f>
        <v>38</v>
      </c>
      <c r="C377" s="308" t="s">
        <v>675</v>
      </c>
      <c r="D377" s="308" t="s">
        <v>786</v>
      </c>
      <c r="E377" s="308"/>
      <c r="F377" s="308" t="s">
        <v>618</v>
      </c>
      <c r="G377" s="308"/>
      <c r="H377" s="343" t="s">
        <v>241</v>
      </c>
      <c r="I377" s="335"/>
      <c r="J377" s="309" t="s">
        <v>32</v>
      </c>
      <c r="K377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77" s="310" t="s">
        <v>737</v>
      </c>
      <c r="M377" s="310">
        <v>50</v>
      </c>
      <c r="N377" s="312">
        <v>0.26</v>
      </c>
      <c r="O377" s="311">
        <f>IFERROR(_xlfn.LET(_xlpm.boxType, J377, _xlpm.tallos, M377, _xlpm.cost, N377, _xlpm.precio, P377,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377" s="322">
        <v>1.29</v>
      </c>
      <c r="Q377" s="312" t="s">
        <v>725</v>
      </c>
      <c r="R377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77" s="312">
        <v>0.26</v>
      </c>
      <c r="T377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377" s="314">
        <v>0.75</v>
      </c>
    </row>
    <row r="378" spans="1:21" x14ac:dyDescent="0.25">
      <c r="A378" s="304" t="s">
        <v>41</v>
      </c>
      <c r="B378" s="305">
        <f>_xlfn.XLOOKUP(Catalogo[[#This Row],[Finca]], Fincas[Nombre], Fincas[ID])</f>
        <v>38</v>
      </c>
      <c r="C378" s="304" t="s">
        <v>675</v>
      </c>
      <c r="D378" s="304" t="s">
        <v>786</v>
      </c>
      <c r="E378" s="304"/>
      <c r="F378" s="304" t="s">
        <v>618</v>
      </c>
      <c r="G378" s="304"/>
      <c r="H378" s="338" t="s">
        <v>241</v>
      </c>
      <c r="I378" s="336"/>
      <c r="J378" s="305" t="s">
        <v>33</v>
      </c>
      <c r="K37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78" s="306" t="s">
        <v>738</v>
      </c>
      <c r="M378" s="306">
        <v>150</v>
      </c>
      <c r="N378" s="303">
        <v>0.26</v>
      </c>
      <c r="O378" s="307">
        <f>IFERROR(_xlfn.LET(_xlpm.boxType, J378, _xlpm.tallos, M378, _xlpm.cost, N378, _xlpm.precio, P378,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378" s="323">
        <v>1.19</v>
      </c>
      <c r="Q378" s="303" t="s">
        <v>726</v>
      </c>
      <c r="R37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78" s="303">
        <v>0.26</v>
      </c>
      <c r="T37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78" s="301">
        <v>0.69</v>
      </c>
    </row>
    <row r="379" spans="1:21" ht="15.75" thickBot="1" x14ac:dyDescent="0.3">
      <c r="A379" s="315" t="s">
        <v>41</v>
      </c>
      <c r="B379" s="316">
        <f>_xlfn.XLOOKUP(Catalogo[[#This Row],[Finca]], Fincas[Nombre], Fincas[ID])</f>
        <v>38</v>
      </c>
      <c r="C379" s="315" t="s">
        <v>675</v>
      </c>
      <c r="D379" s="315" t="s">
        <v>786</v>
      </c>
      <c r="E379" s="315"/>
      <c r="F379" s="315" t="s">
        <v>618</v>
      </c>
      <c r="G379" s="315"/>
      <c r="H379" s="344" t="s">
        <v>241</v>
      </c>
      <c r="I379" s="337"/>
      <c r="J379" s="316" t="s">
        <v>43</v>
      </c>
      <c r="K379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79" s="317" t="s">
        <v>342</v>
      </c>
      <c r="M379" s="317">
        <v>300</v>
      </c>
      <c r="N379" s="319">
        <v>0.26</v>
      </c>
      <c r="O379" s="318">
        <f>IFERROR(_xlfn.LET(_xlpm.boxType, J379, _xlpm.tallos, M379, _xlpm.cost, N379, _xlpm.precio, P379,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379" s="324">
        <v>1.19</v>
      </c>
      <c r="Q379" s="319" t="s">
        <v>727</v>
      </c>
      <c r="R379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79" s="319">
        <v>0.26</v>
      </c>
      <c r="T379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79" s="321">
        <v>0.69</v>
      </c>
    </row>
    <row r="380" spans="1:21" x14ac:dyDescent="0.25">
      <c r="A380" s="304" t="s">
        <v>41</v>
      </c>
      <c r="B380" s="305">
        <f>_xlfn.XLOOKUP(Catalogo[[#This Row],[Finca]], Fincas[Nombre], Fincas[ID])</f>
        <v>38</v>
      </c>
      <c r="C380" s="304" t="s">
        <v>675</v>
      </c>
      <c r="D380" s="304" t="s">
        <v>786</v>
      </c>
      <c r="E380" s="304"/>
      <c r="F380" s="304" t="s">
        <v>618</v>
      </c>
      <c r="G380" s="304"/>
      <c r="H380" s="338" t="s">
        <v>242</v>
      </c>
      <c r="I380" s="336"/>
      <c r="J380" s="305" t="s">
        <v>32</v>
      </c>
      <c r="K38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80" s="306" t="s">
        <v>737</v>
      </c>
      <c r="M380" s="306">
        <v>50</v>
      </c>
      <c r="N380" s="303">
        <v>0.36</v>
      </c>
      <c r="O380" s="307">
        <f>IFERROR(_xlfn.LET(_xlpm.boxType, J380, _xlpm.tallos, M380, _xlpm.cost, N380, _xlpm.precio, P380,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380" s="323">
        <v>1.49</v>
      </c>
      <c r="Q380" s="303" t="s">
        <v>725</v>
      </c>
      <c r="R38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80" s="303">
        <v>0.36</v>
      </c>
      <c r="T38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380" s="301">
        <v>0.85</v>
      </c>
    </row>
    <row r="381" spans="1:21" x14ac:dyDescent="0.25">
      <c r="A381" s="304" t="s">
        <v>41</v>
      </c>
      <c r="B381" s="305">
        <f>_xlfn.XLOOKUP(Catalogo[[#This Row],[Finca]], Fincas[Nombre], Fincas[ID])</f>
        <v>38</v>
      </c>
      <c r="C381" s="304" t="s">
        <v>675</v>
      </c>
      <c r="D381" s="304" t="s">
        <v>786</v>
      </c>
      <c r="E381" s="304"/>
      <c r="F381" s="304" t="s">
        <v>618</v>
      </c>
      <c r="G381" s="304"/>
      <c r="H381" s="338" t="s">
        <v>242</v>
      </c>
      <c r="I381" s="336"/>
      <c r="J381" s="305" t="s">
        <v>33</v>
      </c>
      <c r="K38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81" s="306" t="s">
        <v>738</v>
      </c>
      <c r="M381" s="306">
        <v>125</v>
      </c>
      <c r="N381" s="303">
        <v>0.36</v>
      </c>
      <c r="O381" s="307">
        <f>IFERROR(_xlfn.LET(_xlpm.boxType, J381, _xlpm.tallos, M381, _xlpm.cost, N381, _xlpm.precio, P381,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81" s="323">
        <v>1.39</v>
      </c>
      <c r="Q381" s="303" t="s">
        <v>726</v>
      </c>
      <c r="R38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81" s="303">
        <v>0.36</v>
      </c>
      <c r="T38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81" s="301">
        <v>0.79</v>
      </c>
    </row>
    <row r="382" spans="1:21" ht="15.75" thickBot="1" x14ac:dyDescent="0.3">
      <c r="A382" s="304" t="s">
        <v>41</v>
      </c>
      <c r="B382" s="305">
        <f>_xlfn.XLOOKUP(Catalogo[[#This Row],[Finca]], Fincas[Nombre], Fincas[ID])</f>
        <v>38</v>
      </c>
      <c r="C382" s="304" t="s">
        <v>675</v>
      </c>
      <c r="D382" s="304" t="s">
        <v>786</v>
      </c>
      <c r="E382" s="304"/>
      <c r="F382" s="304" t="s">
        <v>618</v>
      </c>
      <c r="G382" s="304"/>
      <c r="H382" s="338" t="s">
        <v>242</v>
      </c>
      <c r="I382" s="336"/>
      <c r="J382" s="305" t="s">
        <v>43</v>
      </c>
      <c r="K38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82" s="306" t="s">
        <v>342</v>
      </c>
      <c r="M382" s="306">
        <v>250</v>
      </c>
      <c r="N382" s="303">
        <v>0.36</v>
      </c>
      <c r="O382" s="307">
        <f>IFERROR(_xlfn.LET(_xlpm.boxType, J382, _xlpm.tallos, M382, _xlpm.cost, N382, _xlpm.precio, P382,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382" s="323">
        <v>1.39</v>
      </c>
      <c r="Q382" s="303" t="s">
        <v>727</v>
      </c>
      <c r="R38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82" s="303">
        <v>0.36</v>
      </c>
      <c r="T38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82" s="301">
        <v>0.79</v>
      </c>
    </row>
    <row r="383" spans="1:21" x14ac:dyDescent="0.25">
      <c r="A383" s="308" t="s">
        <v>41</v>
      </c>
      <c r="B383" s="309">
        <f>_xlfn.XLOOKUP(Catalogo[[#This Row],[Finca]], Fincas[Nombre], Fincas[ID])</f>
        <v>38</v>
      </c>
      <c r="C383" s="308" t="s">
        <v>675</v>
      </c>
      <c r="D383" s="308" t="s">
        <v>786</v>
      </c>
      <c r="E383" s="308"/>
      <c r="F383" s="308" t="s">
        <v>618</v>
      </c>
      <c r="G383" s="308"/>
      <c r="H383" s="343" t="s">
        <v>243</v>
      </c>
      <c r="I383" s="335"/>
      <c r="J383" s="309" t="s">
        <v>32</v>
      </c>
      <c r="K383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83" s="310" t="s">
        <v>737</v>
      </c>
      <c r="M383" s="310">
        <v>50</v>
      </c>
      <c r="N383" s="312">
        <v>0.42</v>
      </c>
      <c r="O383" s="311">
        <f>IFERROR(_xlfn.LET(_xlpm.boxType, J383, _xlpm.tallos, M383, _xlpm.cost, N383, _xlpm.precio, P383,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83" s="322">
        <v>1.59</v>
      </c>
      <c r="Q383" s="312" t="s">
        <v>725</v>
      </c>
      <c r="R383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83" s="312">
        <v>0.42</v>
      </c>
      <c r="T383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83" s="314">
        <v>0.99</v>
      </c>
    </row>
    <row r="384" spans="1:21" x14ac:dyDescent="0.25">
      <c r="A384" s="304" t="s">
        <v>41</v>
      </c>
      <c r="B384" s="305">
        <f>_xlfn.XLOOKUP(Catalogo[[#This Row],[Finca]], Fincas[Nombre], Fincas[ID])</f>
        <v>38</v>
      </c>
      <c r="C384" s="304" t="s">
        <v>675</v>
      </c>
      <c r="D384" s="304" t="s">
        <v>786</v>
      </c>
      <c r="E384" s="304"/>
      <c r="F384" s="304" t="s">
        <v>618</v>
      </c>
      <c r="G384" s="304"/>
      <c r="H384" s="338" t="s">
        <v>243</v>
      </c>
      <c r="I384" s="336"/>
      <c r="J384" s="305" t="s">
        <v>33</v>
      </c>
      <c r="K38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84" s="306" t="s">
        <v>738</v>
      </c>
      <c r="M384" s="306">
        <v>100</v>
      </c>
      <c r="N384" s="303">
        <v>0.42</v>
      </c>
      <c r="O384" s="307">
        <f>IFERROR(_xlfn.LET(_xlpm.boxType, J384, _xlpm.tallos, M384, _xlpm.cost, N384, _xlpm.precio, P384,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384" s="323">
        <v>1.59</v>
      </c>
      <c r="Q384" s="303" t="s">
        <v>726</v>
      </c>
      <c r="R38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84" s="303">
        <v>0.42</v>
      </c>
      <c r="T38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84" s="301">
        <v>0.89</v>
      </c>
    </row>
    <row r="385" spans="1:21" ht="15.75" thickBot="1" x14ac:dyDescent="0.3">
      <c r="A385" s="315" t="s">
        <v>41</v>
      </c>
      <c r="B385" s="316">
        <f>_xlfn.XLOOKUP(Catalogo[[#This Row],[Finca]], Fincas[Nombre], Fincas[ID])</f>
        <v>38</v>
      </c>
      <c r="C385" s="315" t="s">
        <v>675</v>
      </c>
      <c r="D385" s="315" t="s">
        <v>786</v>
      </c>
      <c r="E385" s="315"/>
      <c r="F385" s="315" t="s">
        <v>618</v>
      </c>
      <c r="G385" s="315"/>
      <c r="H385" s="344" t="s">
        <v>243</v>
      </c>
      <c r="I385" s="337"/>
      <c r="J385" s="316" t="s">
        <v>43</v>
      </c>
      <c r="K385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85" s="317" t="s">
        <v>342</v>
      </c>
      <c r="M385" s="317">
        <v>200</v>
      </c>
      <c r="N385" s="319">
        <v>0.42</v>
      </c>
      <c r="O385" s="318">
        <f>IFERROR(_xlfn.LET(_xlpm.boxType, J385, _xlpm.tallos, M385, _xlpm.cost, N385, _xlpm.precio, P385,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85" s="324">
        <v>1.59</v>
      </c>
      <c r="Q385" s="319" t="s">
        <v>727</v>
      </c>
      <c r="R385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85" s="319">
        <v>0.42</v>
      </c>
      <c r="T385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85" s="321">
        <v>0.89</v>
      </c>
    </row>
    <row r="386" spans="1:21" x14ac:dyDescent="0.25">
      <c r="A386" s="308" t="s">
        <v>41</v>
      </c>
      <c r="B386" s="309">
        <f>_xlfn.XLOOKUP(Catalogo[[#This Row],[Finca]], Fincas[Nombre], Fincas[ID])</f>
        <v>38</v>
      </c>
      <c r="C386" s="308" t="s">
        <v>675</v>
      </c>
      <c r="D386" s="308" t="s">
        <v>787</v>
      </c>
      <c r="E386" s="308"/>
      <c r="F386" s="308" t="s">
        <v>612</v>
      </c>
      <c r="G386" s="308"/>
      <c r="H386" s="343" t="s">
        <v>241</v>
      </c>
      <c r="I386" s="335"/>
      <c r="J386" s="309" t="s">
        <v>32</v>
      </c>
      <c r="K386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86" s="310" t="s">
        <v>737</v>
      </c>
      <c r="M386" s="310">
        <v>50</v>
      </c>
      <c r="N386" s="312">
        <v>0.26</v>
      </c>
      <c r="O386" s="311">
        <f>IFERROR(_xlfn.LET(_xlpm.boxType, J386, _xlpm.tallos, M386, _xlpm.cost, N386, _xlpm.precio, P386,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386" s="322">
        <v>1.29</v>
      </c>
      <c r="Q386" s="312" t="s">
        <v>725</v>
      </c>
      <c r="R386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86" s="312">
        <v>0.26</v>
      </c>
      <c r="T386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386" s="314">
        <v>0.75</v>
      </c>
    </row>
    <row r="387" spans="1:21" x14ac:dyDescent="0.25">
      <c r="A387" s="304" t="s">
        <v>41</v>
      </c>
      <c r="B387" s="305">
        <f>_xlfn.XLOOKUP(Catalogo[[#This Row],[Finca]], Fincas[Nombre], Fincas[ID])</f>
        <v>38</v>
      </c>
      <c r="C387" s="304" t="s">
        <v>675</v>
      </c>
      <c r="D387" s="304" t="s">
        <v>787</v>
      </c>
      <c r="E387" s="304"/>
      <c r="F387" s="304" t="s">
        <v>612</v>
      </c>
      <c r="G387" s="304"/>
      <c r="H387" s="338" t="s">
        <v>241</v>
      </c>
      <c r="I387" s="336"/>
      <c r="J387" s="305" t="s">
        <v>33</v>
      </c>
      <c r="K38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87" s="306" t="s">
        <v>738</v>
      </c>
      <c r="M387" s="306">
        <v>150</v>
      </c>
      <c r="N387" s="303">
        <v>0.26</v>
      </c>
      <c r="O387" s="307">
        <f>IFERROR(_xlfn.LET(_xlpm.boxType, J387, _xlpm.tallos, M387, _xlpm.cost, N387, _xlpm.precio, P387,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387" s="323">
        <v>1.19</v>
      </c>
      <c r="Q387" s="303" t="s">
        <v>726</v>
      </c>
      <c r="R38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87" s="303">
        <v>0.26</v>
      </c>
      <c r="T38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87" s="301">
        <v>0.69</v>
      </c>
    </row>
    <row r="388" spans="1:21" ht="15.75" thickBot="1" x14ac:dyDescent="0.3">
      <c r="A388" s="315" t="s">
        <v>41</v>
      </c>
      <c r="B388" s="316">
        <f>_xlfn.XLOOKUP(Catalogo[[#This Row],[Finca]], Fincas[Nombre], Fincas[ID])</f>
        <v>38</v>
      </c>
      <c r="C388" s="315" t="s">
        <v>675</v>
      </c>
      <c r="D388" s="315" t="s">
        <v>787</v>
      </c>
      <c r="E388" s="315"/>
      <c r="F388" s="315" t="s">
        <v>612</v>
      </c>
      <c r="G388" s="315"/>
      <c r="H388" s="344" t="s">
        <v>241</v>
      </c>
      <c r="I388" s="337"/>
      <c r="J388" s="316" t="s">
        <v>43</v>
      </c>
      <c r="K388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88" s="317" t="s">
        <v>342</v>
      </c>
      <c r="M388" s="317">
        <v>300</v>
      </c>
      <c r="N388" s="319">
        <v>0.26</v>
      </c>
      <c r="O388" s="318">
        <f>IFERROR(_xlfn.LET(_xlpm.boxType, J388, _xlpm.tallos, M388, _xlpm.cost, N388, _xlpm.precio, P388,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388" s="324">
        <v>1.19</v>
      </c>
      <c r="Q388" s="319" t="s">
        <v>727</v>
      </c>
      <c r="R388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88" s="319">
        <v>0.26</v>
      </c>
      <c r="T388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88" s="321">
        <v>0.69</v>
      </c>
    </row>
    <row r="389" spans="1:21" x14ac:dyDescent="0.25">
      <c r="A389" s="304" t="s">
        <v>41</v>
      </c>
      <c r="B389" s="305">
        <f>_xlfn.XLOOKUP(Catalogo[[#This Row],[Finca]], Fincas[Nombre], Fincas[ID])</f>
        <v>38</v>
      </c>
      <c r="C389" s="304" t="s">
        <v>675</v>
      </c>
      <c r="D389" s="304" t="s">
        <v>787</v>
      </c>
      <c r="E389" s="304"/>
      <c r="F389" s="304" t="s">
        <v>612</v>
      </c>
      <c r="G389" s="304"/>
      <c r="H389" s="338" t="s">
        <v>242</v>
      </c>
      <c r="I389" s="336"/>
      <c r="J389" s="305" t="s">
        <v>32</v>
      </c>
      <c r="K38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89" s="306" t="s">
        <v>737</v>
      </c>
      <c r="M389" s="306">
        <v>50</v>
      </c>
      <c r="N389" s="303">
        <v>0.36</v>
      </c>
      <c r="O389" s="307">
        <f>IFERROR(_xlfn.LET(_xlpm.boxType, J389, _xlpm.tallos, M389, _xlpm.cost, N389, _xlpm.precio, P389,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389" s="323">
        <v>1.49</v>
      </c>
      <c r="Q389" s="303" t="s">
        <v>725</v>
      </c>
      <c r="R38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89" s="303">
        <v>0.36</v>
      </c>
      <c r="T38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389" s="301">
        <v>0.85</v>
      </c>
    </row>
    <row r="390" spans="1:21" x14ac:dyDescent="0.25">
      <c r="A390" s="304" t="s">
        <v>41</v>
      </c>
      <c r="B390" s="305">
        <f>_xlfn.XLOOKUP(Catalogo[[#This Row],[Finca]], Fincas[Nombre], Fincas[ID])</f>
        <v>38</v>
      </c>
      <c r="C390" s="304" t="s">
        <v>675</v>
      </c>
      <c r="D390" s="304" t="s">
        <v>787</v>
      </c>
      <c r="E390" s="304"/>
      <c r="F390" s="304" t="s">
        <v>612</v>
      </c>
      <c r="G390" s="304"/>
      <c r="H390" s="338" t="s">
        <v>242</v>
      </c>
      <c r="I390" s="336"/>
      <c r="J390" s="305" t="s">
        <v>33</v>
      </c>
      <c r="K39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90" s="306" t="s">
        <v>738</v>
      </c>
      <c r="M390" s="306">
        <v>125</v>
      </c>
      <c r="N390" s="303">
        <v>0.36</v>
      </c>
      <c r="O390" s="307">
        <f>IFERROR(_xlfn.LET(_xlpm.boxType, J390, _xlpm.tallos, M390, _xlpm.cost, N390, _xlpm.precio, P390,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90" s="323">
        <v>1.39</v>
      </c>
      <c r="Q390" s="303" t="s">
        <v>726</v>
      </c>
      <c r="R39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90" s="303">
        <v>0.36</v>
      </c>
      <c r="T39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90" s="301">
        <v>0.79</v>
      </c>
    </row>
    <row r="391" spans="1:21" ht="15.75" thickBot="1" x14ac:dyDescent="0.3">
      <c r="A391" s="304" t="s">
        <v>41</v>
      </c>
      <c r="B391" s="305">
        <f>_xlfn.XLOOKUP(Catalogo[[#This Row],[Finca]], Fincas[Nombre], Fincas[ID])</f>
        <v>38</v>
      </c>
      <c r="C391" s="304" t="s">
        <v>675</v>
      </c>
      <c r="D391" s="304" t="s">
        <v>787</v>
      </c>
      <c r="E391" s="304"/>
      <c r="F391" s="304" t="s">
        <v>612</v>
      </c>
      <c r="G391" s="304"/>
      <c r="H391" s="338" t="s">
        <v>242</v>
      </c>
      <c r="I391" s="336"/>
      <c r="J391" s="305" t="s">
        <v>43</v>
      </c>
      <c r="K39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91" s="306" t="s">
        <v>342</v>
      </c>
      <c r="M391" s="306">
        <v>250</v>
      </c>
      <c r="N391" s="303">
        <v>0.36</v>
      </c>
      <c r="O391" s="307">
        <f>IFERROR(_xlfn.LET(_xlpm.boxType, J391, _xlpm.tallos, M391, _xlpm.cost, N391, _xlpm.precio, P391,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391" s="323">
        <v>1.39</v>
      </c>
      <c r="Q391" s="303" t="s">
        <v>727</v>
      </c>
      <c r="R39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91" s="303">
        <v>0.36</v>
      </c>
      <c r="T39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91" s="301">
        <v>0.79</v>
      </c>
    </row>
    <row r="392" spans="1:21" x14ac:dyDescent="0.25">
      <c r="A392" s="308" t="s">
        <v>41</v>
      </c>
      <c r="B392" s="309">
        <f>_xlfn.XLOOKUP(Catalogo[[#This Row],[Finca]], Fincas[Nombre], Fincas[ID])</f>
        <v>38</v>
      </c>
      <c r="C392" s="308" t="s">
        <v>675</v>
      </c>
      <c r="D392" s="308" t="s">
        <v>787</v>
      </c>
      <c r="E392" s="308"/>
      <c r="F392" s="308" t="s">
        <v>612</v>
      </c>
      <c r="G392" s="308"/>
      <c r="H392" s="343" t="s">
        <v>243</v>
      </c>
      <c r="I392" s="335"/>
      <c r="J392" s="309" t="s">
        <v>32</v>
      </c>
      <c r="K392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92" s="310" t="s">
        <v>737</v>
      </c>
      <c r="M392" s="310">
        <v>50</v>
      </c>
      <c r="N392" s="312">
        <v>0.42</v>
      </c>
      <c r="O392" s="311">
        <f>IFERROR(_xlfn.LET(_xlpm.boxType, J392, _xlpm.tallos, M392, _xlpm.cost, N392, _xlpm.precio, P392,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92" s="322">
        <v>1.59</v>
      </c>
      <c r="Q392" s="312" t="s">
        <v>725</v>
      </c>
      <c r="R392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92" s="312">
        <v>0.42</v>
      </c>
      <c r="T392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392" s="314">
        <v>0.99</v>
      </c>
    </row>
    <row r="393" spans="1:21" x14ac:dyDescent="0.25">
      <c r="A393" s="304" t="s">
        <v>41</v>
      </c>
      <c r="B393" s="305">
        <f>_xlfn.XLOOKUP(Catalogo[[#This Row],[Finca]], Fincas[Nombre], Fincas[ID])</f>
        <v>38</v>
      </c>
      <c r="C393" s="304" t="s">
        <v>675</v>
      </c>
      <c r="D393" s="304" t="s">
        <v>787</v>
      </c>
      <c r="E393" s="304"/>
      <c r="F393" s="304" t="s">
        <v>612</v>
      </c>
      <c r="G393" s="304"/>
      <c r="H393" s="338" t="s">
        <v>243</v>
      </c>
      <c r="I393" s="336"/>
      <c r="J393" s="305" t="s">
        <v>33</v>
      </c>
      <c r="K39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93" s="306" t="s">
        <v>738</v>
      </c>
      <c r="M393" s="306">
        <v>100</v>
      </c>
      <c r="N393" s="303">
        <v>0.42</v>
      </c>
      <c r="O393" s="307">
        <f>IFERROR(_xlfn.LET(_xlpm.boxType, J393, _xlpm.tallos, M393, _xlpm.cost, N393, _xlpm.precio, P393,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393" s="323">
        <v>1.59</v>
      </c>
      <c r="Q393" s="303" t="s">
        <v>726</v>
      </c>
      <c r="R39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93" s="303">
        <v>0.42</v>
      </c>
      <c r="T39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93" s="301">
        <v>0.89</v>
      </c>
    </row>
    <row r="394" spans="1:21" ht="15.75" thickBot="1" x14ac:dyDescent="0.3">
      <c r="A394" s="315" t="s">
        <v>41</v>
      </c>
      <c r="B394" s="316">
        <f>_xlfn.XLOOKUP(Catalogo[[#This Row],[Finca]], Fincas[Nombre], Fincas[ID])</f>
        <v>38</v>
      </c>
      <c r="C394" s="315" t="s">
        <v>675</v>
      </c>
      <c r="D394" s="315" t="s">
        <v>787</v>
      </c>
      <c r="E394" s="315"/>
      <c r="F394" s="315" t="s">
        <v>612</v>
      </c>
      <c r="G394" s="315"/>
      <c r="H394" s="344" t="s">
        <v>243</v>
      </c>
      <c r="I394" s="337"/>
      <c r="J394" s="316" t="s">
        <v>43</v>
      </c>
      <c r="K394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94" s="317" t="s">
        <v>342</v>
      </c>
      <c r="M394" s="317">
        <v>200</v>
      </c>
      <c r="N394" s="319">
        <v>0.42</v>
      </c>
      <c r="O394" s="318">
        <f>IFERROR(_xlfn.LET(_xlpm.boxType, J394, _xlpm.tallos, M394, _xlpm.cost, N394, _xlpm.precio, P394,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394" s="324">
        <v>1.59</v>
      </c>
      <c r="Q394" s="319" t="s">
        <v>727</v>
      </c>
      <c r="R394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94" s="319">
        <v>0.42</v>
      </c>
      <c r="T394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394" s="321">
        <v>0.89</v>
      </c>
    </row>
    <row r="395" spans="1:21" x14ac:dyDescent="0.25">
      <c r="A395" s="308" t="s">
        <v>41</v>
      </c>
      <c r="B395" s="309">
        <f>_xlfn.XLOOKUP(Catalogo[[#This Row],[Finca]], Fincas[Nombre], Fincas[ID])</f>
        <v>38</v>
      </c>
      <c r="C395" s="308" t="s">
        <v>675</v>
      </c>
      <c r="D395" s="308" t="s">
        <v>788</v>
      </c>
      <c r="E395" s="308"/>
      <c r="F395" s="308" t="s">
        <v>627</v>
      </c>
      <c r="G395" s="308"/>
      <c r="H395" s="343" t="s">
        <v>241</v>
      </c>
      <c r="I395" s="335"/>
      <c r="J395" s="309" t="s">
        <v>32</v>
      </c>
      <c r="K395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95" s="310" t="s">
        <v>737</v>
      </c>
      <c r="M395" s="310">
        <v>50</v>
      </c>
      <c r="N395" s="312">
        <v>0.26</v>
      </c>
      <c r="O395" s="311">
        <f>IFERROR(_xlfn.LET(_xlpm.boxType, J395, _xlpm.tallos, M395, _xlpm.cost, N395, _xlpm.precio, P395,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P395" s="322">
        <v>1.29</v>
      </c>
      <c r="Q395" s="312" t="s">
        <v>725</v>
      </c>
      <c r="R395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95" s="312">
        <v>0.26</v>
      </c>
      <c r="T395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U395" s="314">
        <v>0.75</v>
      </c>
    </row>
    <row r="396" spans="1:21" x14ac:dyDescent="0.25">
      <c r="A396" s="304" t="s">
        <v>41</v>
      </c>
      <c r="B396" s="305">
        <f>_xlfn.XLOOKUP(Catalogo[[#This Row],[Finca]], Fincas[Nombre], Fincas[ID])</f>
        <v>38</v>
      </c>
      <c r="C396" s="304" t="s">
        <v>675</v>
      </c>
      <c r="D396" s="304" t="s">
        <v>788</v>
      </c>
      <c r="E396" s="304"/>
      <c r="F396" s="304" t="s">
        <v>627</v>
      </c>
      <c r="G396" s="304"/>
      <c r="H396" s="338" t="s">
        <v>241</v>
      </c>
      <c r="I396" s="336"/>
      <c r="J396" s="305" t="s">
        <v>33</v>
      </c>
      <c r="K39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96" s="306" t="s">
        <v>738</v>
      </c>
      <c r="M396" s="306">
        <v>150</v>
      </c>
      <c r="N396" s="303">
        <v>0.26</v>
      </c>
      <c r="O396" s="307">
        <f>IFERROR(_xlfn.LET(_xlpm.boxType, J396, _xlpm.tallos, M396, _xlpm.cost, N396, _xlpm.precio, P396,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P396" s="323">
        <v>1.19</v>
      </c>
      <c r="Q396" s="303" t="s">
        <v>726</v>
      </c>
      <c r="R39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96" s="303">
        <v>0.26</v>
      </c>
      <c r="T39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96" s="301">
        <v>0.69</v>
      </c>
    </row>
    <row r="397" spans="1:21" ht="15.75" thickBot="1" x14ac:dyDescent="0.3">
      <c r="A397" s="315" t="s">
        <v>41</v>
      </c>
      <c r="B397" s="316">
        <f>_xlfn.XLOOKUP(Catalogo[[#This Row],[Finca]], Fincas[Nombre], Fincas[ID])</f>
        <v>38</v>
      </c>
      <c r="C397" s="315" t="s">
        <v>675</v>
      </c>
      <c r="D397" s="315" t="s">
        <v>788</v>
      </c>
      <c r="E397" s="315"/>
      <c r="F397" s="315" t="s">
        <v>627</v>
      </c>
      <c r="G397" s="315"/>
      <c r="H397" s="344" t="s">
        <v>241</v>
      </c>
      <c r="I397" s="337"/>
      <c r="J397" s="316" t="s">
        <v>43</v>
      </c>
      <c r="K397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97" s="317" t="s">
        <v>342</v>
      </c>
      <c r="M397" s="317">
        <v>300</v>
      </c>
      <c r="N397" s="319">
        <v>0.26</v>
      </c>
      <c r="O397" s="318">
        <f>IFERROR(_xlfn.LET(_xlpm.boxType, J397, _xlpm.tallos, M397, _xlpm.cost, N397, _xlpm.precio, P397,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P397" s="324">
        <v>1.19</v>
      </c>
      <c r="Q397" s="319" t="s">
        <v>727</v>
      </c>
      <c r="R397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97" s="319">
        <v>0.26</v>
      </c>
      <c r="T397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U397" s="321">
        <v>0.69</v>
      </c>
    </row>
    <row r="398" spans="1:21" x14ac:dyDescent="0.25">
      <c r="A398" s="304" t="s">
        <v>41</v>
      </c>
      <c r="B398" s="305">
        <f>_xlfn.XLOOKUP(Catalogo[[#This Row],[Finca]], Fincas[Nombre], Fincas[ID])</f>
        <v>38</v>
      </c>
      <c r="C398" s="304" t="s">
        <v>675</v>
      </c>
      <c r="D398" s="304" t="s">
        <v>788</v>
      </c>
      <c r="E398" s="304"/>
      <c r="F398" s="304" t="s">
        <v>627</v>
      </c>
      <c r="G398" s="304"/>
      <c r="H398" s="338" t="s">
        <v>242</v>
      </c>
      <c r="I398" s="336"/>
      <c r="J398" s="305" t="s">
        <v>32</v>
      </c>
      <c r="K39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98" s="306" t="s">
        <v>737</v>
      </c>
      <c r="M398" s="306">
        <v>50</v>
      </c>
      <c r="N398" s="303">
        <v>0.36</v>
      </c>
      <c r="O398" s="307">
        <f>IFERROR(_xlfn.LET(_xlpm.boxType, J398, _xlpm.tallos, M398, _xlpm.cost, N398, _xlpm.precio, P398,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P398" s="323">
        <v>1.49</v>
      </c>
      <c r="Q398" s="303" t="s">
        <v>725</v>
      </c>
      <c r="R39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98" s="303">
        <v>0.36</v>
      </c>
      <c r="T39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U398" s="301">
        <v>0.85</v>
      </c>
    </row>
    <row r="399" spans="1:21" x14ac:dyDescent="0.25">
      <c r="A399" s="304" t="s">
        <v>41</v>
      </c>
      <c r="B399" s="305">
        <f>_xlfn.XLOOKUP(Catalogo[[#This Row],[Finca]], Fincas[Nombre], Fincas[ID])</f>
        <v>38</v>
      </c>
      <c r="C399" s="304" t="s">
        <v>675</v>
      </c>
      <c r="D399" s="304" t="s">
        <v>788</v>
      </c>
      <c r="E399" s="304"/>
      <c r="F399" s="304" t="s">
        <v>627</v>
      </c>
      <c r="G399" s="304"/>
      <c r="H399" s="338" t="s">
        <v>242</v>
      </c>
      <c r="I399" s="336"/>
      <c r="J399" s="305" t="s">
        <v>33</v>
      </c>
      <c r="K39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399" s="306" t="s">
        <v>738</v>
      </c>
      <c r="M399" s="306">
        <v>125</v>
      </c>
      <c r="N399" s="303">
        <v>0.36</v>
      </c>
      <c r="O399" s="307">
        <f>IFERROR(_xlfn.LET(_xlpm.boxType, J399, _xlpm.tallos, M399, _xlpm.cost, N399, _xlpm.precio, P399,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P399" s="323">
        <v>1.39</v>
      </c>
      <c r="Q399" s="303" t="s">
        <v>726</v>
      </c>
      <c r="R39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399" s="303">
        <v>0.36</v>
      </c>
      <c r="T39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399" s="301">
        <v>0.79</v>
      </c>
    </row>
    <row r="400" spans="1:21" ht="15.75" thickBot="1" x14ac:dyDescent="0.3">
      <c r="A400" s="304" t="s">
        <v>41</v>
      </c>
      <c r="B400" s="305">
        <f>_xlfn.XLOOKUP(Catalogo[[#This Row],[Finca]], Fincas[Nombre], Fincas[ID])</f>
        <v>38</v>
      </c>
      <c r="C400" s="304" t="s">
        <v>675</v>
      </c>
      <c r="D400" s="304" t="s">
        <v>788</v>
      </c>
      <c r="E400" s="304"/>
      <c r="F400" s="304" t="s">
        <v>627</v>
      </c>
      <c r="G400" s="304"/>
      <c r="H400" s="338" t="s">
        <v>242</v>
      </c>
      <c r="I400" s="336"/>
      <c r="J400" s="305" t="s">
        <v>43</v>
      </c>
      <c r="K40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00" s="306" t="s">
        <v>342</v>
      </c>
      <c r="M400" s="306">
        <v>250</v>
      </c>
      <c r="N400" s="303">
        <v>0.36</v>
      </c>
      <c r="O400" s="307">
        <f>IFERROR(_xlfn.LET(_xlpm.boxType, J400, _xlpm.tallos, M400, _xlpm.cost, N400, _xlpm.precio, P400,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P400" s="323">
        <v>1.39</v>
      </c>
      <c r="Q400" s="303" t="s">
        <v>727</v>
      </c>
      <c r="R40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00" s="303">
        <v>0.36</v>
      </c>
      <c r="T40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U400" s="301">
        <v>0.79</v>
      </c>
    </row>
    <row r="401" spans="1:21" x14ac:dyDescent="0.25">
      <c r="A401" s="308" t="s">
        <v>41</v>
      </c>
      <c r="B401" s="309">
        <f>_xlfn.XLOOKUP(Catalogo[[#This Row],[Finca]], Fincas[Nombre], Fincas[ID])</f>
        <v>38</v>
      </c>
      <c r="C401" s="308" t="s">
        <v>675</v>
      </c>
      <c r="D401" s="308" t="s">
        <v>788</v>
      </c>
      <c r="E401" s="308"/>
      <c r="F401" s="308" t="s">
        <v>627</v>
      </c>
      <c r="G401" s="308"/>
      <c r="H401" s="343" t="s">
        <v>243</v>
      </c>
      <c r="I401" s="335"/>
      <c r="J401" s="309" t="s">
        <v>32</v>
      </c>
      <c r="K401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01" s="310" t="s">
        <v>737</v>
      </c>
      <c r="M401" s="310">
        <v>50</v>
      </c>
      <c r="N401" s="312">
        <v>0.42</v>
      </c>
      <c r="O401" s="311">
        <f>IFERROR(_xlfn.LET(_xlpm.boxType, J401, _xlpm.tallos, M401, _xlpm.cost, N401, _xlpm.precio, P401,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401" s="322">
        <v>1.59</v>
      </c>
      <c r="Q401" s="312" t="s">
        <v>725</v>
      </c>
      <c r="R401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01" s="312">
        <v>0.42</v>
      </c>
      <c r="T401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U401" s="314">
        <v>0.99</v>
      </c>
    </row>
    <row r="402" spans="1:21" x14ac:dyDescent="0.25">
      <c r="A402" s="304" t="s">
        <v>41</v>
      </c>
      <c r="B402" s="305">
        <f>_xlfn.XLOOKUP(Catalogo[[#This Row],[Finca]], Fincas[Nombre], Fincas[ID])</f>
        <v>38</v>
      </c>
      <c r="C402" s="304" t="s">
        <v>675</v>
      </c>
      <c r="D402" s="304" t="s">
        <v>788</v>
      </c>
      <c r="E402" s="304"/>
      <c r="F402" s="304" t="s">
        <v>627</v>
      </c>
      <c r="G402" s="304"/>
      <c r="H402" s="338" t="s">
        <v>243</v>
      </c>
      <c r="I402" s="336"/>
      <c r="J402" s="305" t="s">
        <v>33</v>
      </c>
      <c r="K40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02" s="306" t="s">
        <v>738</v>
      </c>
      <c r="M402" s="306">
        <v>100</v>
      </c>
      <c r="N402" s="303">
        <v>0.42</v>
      </c>
      <c r="O402" s="307">
        <f>IFERROR(_xlfn.LET(_xlpm.boxType, J402, _xlpm.tallos, M402, _xlpm.cost, N402, _xlpm.precio, P402,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P402" s="323">
        <v>1.59</v>
      </c>
      <c r="Q402" s="303" t="s">
        <v>726</v>
      </c>
      <c r="R40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02" s="303">
        <v>0.42</v>
      </c>
      <c r="T40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402" s="301">
        <v>0.89</v>
      </c>
    </row>
    <row r="403" spans="1:21" ht="15.75" thickBot="1" x14ac:dyDescent="0.3">
      <c r="A403" s="315" t="s">
        <v>41</v>
      </c>
      <c r="B403" s="316">
        <f>_xlfn.XLOOKUP(Catalogo[[#This Row],[Finca]], Fincas[Nombre], Fincas[ID])</f>
        <v>38</v>
      </c>
      <c r="C403" s="315" t="s">
        <v>675</v>
      </c>
      <c r="D403" s="315" t="s">
        <v>788</v>
      </c>
      <c r="E403" s="315"/>
      <c r="F403" s="315" t="s">
        <v>627</v>
      </c>
      <c r="G403" s="315"/>
      <c r="H403" s="344" t="s">
        <v>243</v>
      </c>
      <c r="I403" s="337"/>
      <c r="J403" s="316" t="s">
        <v>43</v>
      </c>
      <c r="K403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03" s="317" t="s">
        <v>342</v>
      </c>
      <c r="M403" s="317">
        <v>200</v>
      </c>
      <c r="N403" s="319">
        <v>0.42</v>
      </c>
      <c r="O403" s="318">
        <f>IFERROR(_xlfn.LET(_xlpm.boxType, J403, _xlpm.tallos, M403, _xlpm.cost, N403, _xlpm.precio, P403,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P403" s="324">
        <v>1.59</v>
      </c>
      <c r="Q403" s="319" t="s">
        <v>727</v>
      </c>
      <c r="R403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03" s="319">
        <v>0.42</v>
      </c>
      <c r="T403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U403" s="321">
        <v>0.89</v>
      </c>
    </row>
    <row r="404" spans="1:21" x14ac:dyDescent="0.25">
      <c r="A404" s="304"/>
      <c r="B404" s="305">
        <f>_xlfn.XLOOKUP(Catalogo[[#This Row],[Finca]], Fincas[Nombre], Fincas[ID])</f>
        <v>0</v>
      </c>
      <c r="C404" s="304"/>
      <c r="D404" s="304"/>
      <c r="E404" s="304"/>
      <c r="F404" s="304"/>
      <c r="G404" s="304"/>
      <c r="H404" s="338"/>
      <c r="I404" s="336"/>
      <c r="J404" s="305"/>
      <c r="K40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04" s="306"/>
      <c r="M404" s="306"/>
      <c r="N404" s="303"/>
      <c r="O404" s="307" t="str">
        <f>IFERROR(_xlfn.LET(_xlpm.boxType, J404, _xlpm.tallos, M404, _xlpm.cost, N404, _xlpm.precio, P404,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04" s="323"/>
      <c r="Q404" s="303"/>
      <c r="R40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04" s="303"/>
      <c r="T404" s="73"/>
    </row>
    <row r="405" spans="1:21" x14ac:dyDescent="0.25">
      <c r="A405" s="304"/>
      <c r="B405" s="305">
        <f>_xlfn.XLOOKUP(Catalogo[[#This Row],[Finca]], Fincas[Nombre], Fincas[ID])</f>
        <v>0</v>
      </c>
      <c r="C405" s="304"/>
      <c r="D405" s="304"/>
      <c r="E405" s="304"/>
      <c r="F405" s="304"/>
      <c r="G405" s="304"/>
      <c r="H405" s="338"/>
      <c r="I405" s="336"/>
      <c r="J405" s="305"/>
      <c r="K40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05" s="306"/>
      <c r="M405" s="306"/>
      <c r="N405" s="303"/>
      <c r="O405" s="307" t="str">
        <f>IFERROR(_xlfn.LET(_xlpm.boxType, J405, _xlpm.tallos, M405, _xlpm.cost, N405, _xlpm.precio, P405,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05" s="323"/>
      <c r="Q405" s="303"/>
      <c r="R40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05" s="303"/>
      <c r="T405" s="73"/>
    </row>
    <row r="406" spans="1:21" x14ac:dyDescent="0.25">
      <c r="A406" s="304"/>
      <c r="B406" s="305">
        <f>_xlfn.XLOOKUP(Catalogo[[#This Row],[Finca]], Fincas[Nombre], Fincas[ID])</f>
        <v>0</v>
      </c>
      <c r="C406" s="304"/>
      <c r="D406" s="304"/>
      <c r="E406" s="304"/>
      <c r="F406" s="304"/>
      <c r="G406" s="304"/>
      <c r="H406" s="338"/>
      <c r="I406" s="336"/>
      <c r="J406" s="305"/>
      <c r="K40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06" s="306"/>
      <c r="M406" s="306"/>
      <c r="N406" s="303"/>
      <c r="O406" s="307" t="str">
        <f>IFERROR(_xlfn.LET(_xlpm.boxType, J406, _xlpm.tallos, M406, _xlpm.cost, N406, _xlpm.precio, P406,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06" s="323"/>
      <c r="Q406" s="303"/>
      <c r="R40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06" s="303"/>
      <c r="T406" s="73"/>
    </row>
    <row r="407" spans="1:21" x14ac:dyDescent="0.25">
      <c r="A407" s="304"/>
      <c r="B407" s="305">
        <f>_xlfn.XLOOKUP(Catalogo[[#This Row],[Finca]], Fincas[Nombre], Fincas[ID])</f>
        <v>0</v>
      </c>
      <c r="C407" s="304"/>
      <c r="D407" s="304"/>
      <c r="E407" s="304"/>
      <c r="F407" s="304"/>
      <c r="G407" s="304"/>
      <c r="H407" s="338"/>
      <c r="I407" s="336"/>
      <c r="J407" s="305"/>
      <c r="K40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07" s="306"/>
      <c r="M407" s="306"/>
      <c r="N407" s="303"/>
      <c r="O407" s="307" t="str">
        <f>IFERROR(_xlfn.LET(_xlpm.boxType, J407, _xlpm.tallos, M407, _xlpm.cost, N407, _xlpm.precio, P407,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07" s="323"/>
      <c r="Q407" s="303"/>
      <c r="R40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07" s="303"/>
      <c r="T407" s="73"/>
    </row>
    <row r="408" spans="1:21" x14ac:dyDescent="0.25">
      <c r="A408" s="304"/>
      <c r="B408" s="305">
        <f>_xlfn.XLOOKUP(Catalogo[[#This Row],[Finca]], Fincas[Nombre], Fincas[ID])</f>
        <v>0</v>
      </c>
      <c r="C408" s="304"/>
      <c r="D408" s="304"/>
      <c r="E408" s="304"/>
      <c r="F408" s="304"/>
      <c r="G408" s="304"/>
      <c r="H408" s="338"/>
      <c r="I408" s="336"/>
      <c r="J408" s="305"/>
      <c r="K40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08" s="306"/>
      <c r="M408" s="306"/>
      <c r="N408" s="303"/>
      <c r="O408" s="307" t="str">
        <f>IFERROR(_xlfn.LET(_xlpm.boxType, J408, _xlpm.tallos, M408, _xlpm.cost, N408, _xlpm.precio, P408,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08" s="323"/>
      <c r="Q408" s="303"/>
      <c r="R40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08" s="303"/>
      <c r="T408" s="73"/>
    </row>
    <row r="409" spans="1:21" x14ac:dyDescent="0.25">
      <c r="A409" s="304"/>
      <c r="B409" s="305">
        <f>_xlfn.XLOOKUP(Catalogo[[#This Row],[Finca]], Fincas[Nombre], Fincas[ID])</f>
        <v>0</v>
      </c>
      <c r="C409" s="304"/>
      <c r="D409" s="304"/>
      <c r="E409" s="304"/>
      <c r="F409" s="304"/>
      <c r="G409" s="304"/>
      <c r="H409" s="338"/>
      <c r="I409" s="336"/>
      <c r="J409" s="305"/>
      <c r="K40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09" s="306"/>
      <c r="M409" s="306"/>
      <c r="N409" s="303"/>
      <c r="O409" s="307" t="str">
        <f>IFERROR(_xlfn.LET(_xlpm.boxType, J409, _xlpm.tallos, M409, _xlpm.cost, N409, _xlpm.precio, P409,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09" s="323"/>
      <c r="Q409" s="303"/>
      <c r="R40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09" s="303"/>
      <c r="T409" s="73"/>
    </row>
    <row r="410" spans="1:21" x14ac:dyDescent="0.25">
      <c r="A410" s="304"/>
      <c r="B410" s="305">
        <f>_xlfn.XLOOKUP(Catalogo[[#This Row],[Finca]], Fincas[Nombre], Fincas[ID])</f>
        <v>0</v>
      </c>
      <c r="C410" s="304"/>
      <c r="D410" s="304"/>
      <c r="E410" s="304"/>
      <c r="F410" s="304"/>
      <c r="G410" s="304"/>
      <c r="H410" s="338"/>
      <c r="I410" s="336"/>
      <c r="J410" s="305"/>
      <c r="K41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10" s="306"/>
      <c r="M410" s="306"/>
      <c r="N410" s="303"/>
      <c r="O410" s="307" t="str">
        <f>IFERROR(_xlfn.LET(_xlpm.boxType, J410, _xlpm.tallos, M410, _xlpm.cost, N410, _xlpm.precio, P410,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10" s="323"/>
      <c r="Q410" s="303"/>
      <c r="R41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10" s="303"/>
      <c r="T410" s="73"/>
    </row>
    <row r="411" spans="1:21" x14ac:dyDescent="0.25">
      <c r="A411" s="304"/>
      <c r="B411" s="305">
        <f>_xlfn.XLOOKUP(Catalogo[[#This Row],[Finca]], Fincas[Nombre], Fincas[ID])</f>
        <v>0</v>
      </c>
      <c r="C411" s="304"/>
      <c r="D411" s="304"/>
      <c r="E411" s="304"/>
      <c r="F411" s="304"/>
      <c r="G411" s="304"/>
      <c r="H411" s="338"/>
      <c r="I411" s="336"/>
      <c r="J411" s="305"/>
      <c r="K41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11" s="306"/>
      <c r="M411" s="306"/>
      <c r="N411" s="303"/>
      <c r="O411" s="307" t="str">
        <f>IFERROR(_xlfn.LET(_xlpm.boxType, J411, _xlpm.tallos, M411, _xlpm.cost, N411, _xlpm.precio, P411,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11" s="323"/>
      <c r="Q411" s="303"/>
      <c r="R41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11" s="303"/>
      <c r="T411" s="73"/>
    </row>
    <row r="412" spans="1:21" x14ac:dyDescent="0.25">
      <c r="A412" s="304"/>
      <c r="B412" s="305">
        <f>_xlfn.XLOOKUP(Catalogo[[#This Row],[Finca]], Fincas[Nombre], Fincas[ID])</f>
        <v>0</v>
      </c>
      <c r="C412" s="304"/>
      <c r="D412" s="304"/>
      <c r="E412" s="304"/>
      <c r="F412" s="304"/>
      <c r="G412" s="304"/>
      <c r="H412" s="338"/>
      <c r="I412" s="336"/>
      <c r="J412" s="305"/>
      <c r="K41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12" s="306"/>
      <c r="M412" s="306"/>
      <c r="N412" s="303"/>
      <c r="O412" s="307" t="str">
        <f>IFERROR(_xlfn.LET(_xlpm.boxType, J412, _xlpm.tallos, M412, _xlpm.cost, N412, _xlpm.precio, P412,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12" s="323"/>
      <c r="Q412" s="303"/>
      <c r="R41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12" s="303"/>
      <c r="T412" s="73"/>
    </row>
    <row r="413" spans="1:21" x14ac:dyDescent="0.25">
      <c r="A413" s="304"/>
      <c r="B413" s="305">
        <f>_xlfn.XLOOKUP(Catalogo[[#This Row],[Finca]], Fincas[Nombre], Fincas[ID])</f>
        <v>0</v>
      </c>
      <c r="C413" s="304"/>
      <c r="D413" s="304"/>
      <c r="E413" s="304"/>
      <c r="F413" s="304"/>
      <c r="G413" s="304"/>
      <c r="H413" s="338"/>
      <c r="I413" s="336"/>
      <c r="J413" s="305"/>
      <c r="K41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13" s="306"/>
      <c r="M413" s="306"/>
      <c r="N413" s="303"/>
      <c r="O413" s="307" t="str">
        <f>IFERROR(_xlfn.LET(_xlpm.boxType, J413, _xlpm.tallos, M413, _xlpm.cost, N413, _xlpm.precio, P413,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13" s="323"/>
      <c r="Q413" s="303"/>
      <c r="R41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13" s="303"/>
      <c r="T413" s="73"/>
    </row>
    <row r="414" spans="1:21" x14ac:dyDescent="0.25">
      <c r="A414" s="304"/>
      <c r="B414" s="305">
        <f>_xlfn.XLOOKUP(Catalogo[[#This Row],[Finca]], Fincas[Nombre], Fincas[ID])</f>
        <v>0</v>
      </c>
      <c r="C414" s="304"/>
      <c r="D414" s="304"/>
      <c r="E414" s="304"/>
      <c r="F414" s="304"/>
      <c r="G414" s="304"/>
      <c r="H414" s="338"/>
      <c r="I414" s="336"/>
      <c r="J414" s="305"/>
      <c r="K41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14" s="306"/>
      <c r="M414" s="306"/>
      <c r="N414" s="303"/>
      <c r="O414" s="307" t="str">
        <f>IFERROR(_xlfn.LET(_xlpm.boxType, J414, _xlpm.tallos, M414, _xlpm.cost, N414, _xlpm.precio, P414,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14" s="323"/>
      <c r="Q414" s="303"/>
      <c r="R41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14" s="303"/>
      <c r="T414" s="73"/>
    </row>
    <row r="415" spans="1:21" x14ac:dyDescent="0.25">
      <c r="A415" s="304"/>
      <c r="B415" s="305">
        <f>_xlfn.XLOOKUP(Catalogo[[#This Row],[Finca]], Fincas[Nombre], Fincas[ID])</f>
        <v>0</v>
      </c>
      <c r="C415" s="304"/>
      <c r="D415" s="304"/>
      <c r="E415" s="304"/>
      <c r="F415" s="304"/>
      <c r="G415" s="304"/>
      <c r="H415" s="338"/>
      <c r="I415" s="336"/>
      <c r="J415" s="305"/>
      <c r="K41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15" s="306"/>
      <c r="M415" s="306"/>
      <c r="N415" s="303"/>
      <c r="O415" s="307" t="str">
        <f>IFERROR(_xlfn.LET(_xlpm.boxType, J415, _xlpm.tallos, M415, _xlpm.cost, N415, _xlpm.precio, P415,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15" s="323"/>
      <c r="Q415" s="303"/>
      <c r="R41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15" s="303"/>
      <c r="T415" s="73"/>
    </row>
    <row r="416" spans="1:21" x14ac:dyDescent="0.25">
      <c r="A416" s="304"/>
      <c r="B416" s="305">
        <f>_xlfn.XLOOKUP(Catalogo[[#This Row],[Finca]], Fincas[Nombre], Fincas[ID])</f>
        <v>0</v>
      </c>
      <c r="C416" s="304"/>
      <c r="D416" s="304"/>
      <c r="E416" s="304"/>
      <c r="F416" s="304"/>
      <c r="G416" s="304"/>
      <c r="H416" s="338"/>
      <c r="I416" s="336"/>
      <c r="J416" s="305"/>
      <c r="K41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16" s="306"/>
      <c r="M416" s="306"/>
      <c r="N416" s="303"/>
      <c r="O416" s="307" t="str">
        <f>IFERROR(_xlfn.LET(_xlpm.boxType, J416, _xlpm.tallos, M416, _xlpm.cost, N416, _xlpm.precio, P416,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16" s="323"/>
      <c r="Q416" s="303"/>
      <c r="R41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16" s="303"/>
      <c r="T416" s="73"/>
    </row>
    <row r="417" spans="1:20" x14ac:dyDescent="0.25">
      <c r="A417" s="304"/>
      <c r="B417" s="305">
        <f>_xlfn.XLOOKUP(Catalogo[[#This Row],[Finca]], Fincas[Nombre], Fincas[ID])</f>
        <v>0</v>
      </c>
      <c r="C417" s="304"/>
      <c r="D417" s="304"/>
      <c r="E417" s="304"/>
      <c r="F417" s="304"/>
      <c r="G417" s="304"/>
      <c r="H417" s="338"/>
      <c r="I417" s="336"/>
      <c r="J417" s="305"/>
      <c r="K41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17" s="306"/>
      <c r="M417" s="306"/>
      <c r="N417" s="303"/>
      <c r="O417" s="307" t="str">
        <f>IFERROR(_xlfn.LET(_xlpm.boxType, J417, _xlpm.tallos, M417, _xlpm.cost, N417, _xlpm.precio, P417,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17" s="323"/>
      <c r="Q417" s="303"/>
      <c r="R41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17" s="303"/>
      <c r="T417" s="73"/>
    </row>
    <row r="418" spans="1:20" x14ac:dyDescent="0.25">
      <c r="A418" s="304"/>
      <c r="B418" s="305">
        <f>_xlfn.XLOOKUP(Catalogo[[#This Row],[Finca]], Fincas[Nombre], Fincas[ID])</f>
        <v>0</v>
      </c>
      <c r="C418" s="304"/>
      <c r="D418" s="304"/>
      <c r="E418" s="304"/>
      <c r="F418" s="304"/>
      <c r="G418" s="304"/>
      <c r="H418" s="338"/>
      <c r="I418" s="336"/>
      <c r="J418" s="305"/>
      <c r="K41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18" s="306"/>
      <c r="M418" s="306"/>
      <c r="N418" s="303"/>
      <c r="O418" s="307" t="str">
        <f>IFERROR(_xlfn.LET(_xlpm.boxType, J418, _xlpm.tallos, M418, _xlpm.cost, N418, _xlpm.precio, P418,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18" s="323"/>
      <c r="Q418" s="303"/>
      <c r="R41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18" s="303"/>
      <c r="T418" s="73"/>
    </row>
    <row r="419" spans="1:20" x14ac:dyDescent="0.25">
      <c r="A419" s="304"/>
      <c r="B419" s="305">
        <f>_xlfn.XLOOKUP(Catalogo[[#This Row],[Finca]], Fincas[Nombre], Fincas[ID])</f>
        <v>0</v>
      </c>
      <c r="C419" s="304"/>
      <c r="D419" s="304"/>
      <c r="E419" s="304"/>
      <c r="F419" s="304"/>
      <c r="G419" s="304"/>
      <c r="H419" s="338"/>
      <c r="I419" s="336"/>
      <c r="J419" s="305"/>
      <c r="K41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19" s="306"/>
      <c r="M419" s="306"/>
      <c r="N419" s="303"/>
      <c r="O419" s="307" t="str">
        <f>IFERROR(_xlfn.LET(_xlpm.boxType, J419, _xlpm.tallos, M419, _xlpm.cost, N419, _xlpm.precio, P419,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19" s="323"/>
      <c r="Q419" s="303"/>
      <c r="R41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19" s="303"/>
      <c r="T419" s="73"/>
    </row>
    <row r="420" spans="1:20" x14ac:dyDescent="0.25">
      <c r="A420" s="304"/>
      <c r="B420" s="305">
        <f>_xlfn.XLOOKUP(Catalogo[[#This Row],[Finca]], Fincas[Nombre], Fincas[ID])</f>
        <v>0</v>
      </c>
      <c r="C420" s="304"/>
      <c r="D420" s="304"/>
      <c r="E420" s="304"/>
      <c r="F420" s="304"/>
      <c r="G420" s="304"/>
      <c r="H420" s="338"/>
      <c r="I420" s="336"/>
      <c r="J420" s="305"/>
      <c r="K42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20" s="306"/>
      <c r="M420" s="306"/>
      <c r="N420" s="303"/>
      <c r="O420" s="307" t="str">
        <f>IFERROR(_xlfn.LET(_xlpm.boxType, J420, _xlpm.tallos, M420, _xlpm.cost, N420, _xlpm.precio, P420,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20" s="323"/>
      <c r="Q420" s="303"/>
      <c r="R42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20" s="303"/>
      <c r="T420" s="73"/>
    </row>
    <row r="421" spans="1:20" x14ac:dyDescent="0.25">
      <c r="A421" s="304"/>
      <c r="B421" s="305">
        <f>_xlfn.XLOOKUP(Catalogo[[#This Row],[Finca]], Fincas[Nombre], Fincas[ID])</f>
        <v>0</v>
      </c>
      <c r="C421" s="304"/>
      <c r="D421" s="304"/>
      <c r="E421" s="304"/>
      <c r="F421" s="304"/>
      <c r="G421" s="304"/>
      <c r="H421" s="338"/>
      <c r="I421" s="336"/>
      <c r="J421" s="305"/>
      <c r="K42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21" s="306"/>
      <c r="M421" s="306"/>
      <c r="N421" s="303"/>
      <c r="O421" s="307" t="str">
        <f>IFERROR(_xlfn.LET(_xlpm.boxType, J421, _xlpm.tallos, M421, _xlpm.cost, N421, _xlpm.precio, P421,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21" s="323"/>
      <c r="Q421" s="303"/>
      <c r="R42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21" s="303"/>
      <c r="T421" s="73"/>
    </row>
    <row r="422" spans="1:20" x14ac:dyDescent="0.25">
      <c r="A422" s="304"/>
      <c r="B422" s="305">
        <f>_xlfn.XLOOKUP(Catalogo[[#This Row],[Finca]], Fincas[Nombre], Fincas[ID])</f>
        <v>0</v>
      </c>
      <c r="C422" s="304"/>
      <c r="D422" s="304"/>
      <c r="E422" s="304"/>
      <c r="F422" s="304"/>
      <c r="G422" s="304"/>
      <c r="H422" s="338"/>
      <c r="I422" s="336"/>
      <c r="J422" s="305"/>
      <c r="K42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22" s="306"/>
      <c r="M422" s="306"/>
      <c r="N422" s="303"/>
      <c r="O422" s="307" t="str">
        <f>IFERROR(_xlfn.LET(_xlpm.boxType, J422, _xlpm.tallos, M422, _xlpm.cost, N422, _xlpm.precio, P422,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22" s="323"/>
      <c r="Q422" s="303"/>
      <c r="R42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22" s="303"/>
      <c r="T422" s="73"/>
    </row>
    <row r="423" spans="1:20" x14ac:dyDescent="0.25">
      <c r="A423" s="304"/>
      <c r="B423" s="305">
        <f>_xlfn.XLOOKUP(Catalogo[[#This Row],[Finca]], Fincas[Nombre], Fincas[ID])</f>
        <v>0</v>
      </c>
      <c r="C423" s="304"/>
      <c r="D423" s="304"/>
      <c r="E423" s="304"/>
      <c r="F423" s="304"/>
      <c r="G423" s="304"/>
      <c r="H423" s="338"/>
      <c r="I423" s="336"/>
      <c r="J423" s="305"/>
      <c r="K42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23" s="306"/>
      <c r="M423" s="306"/>
      <c r="N423" s="303"/>
      <c r="O423" s="307" t="str">
        <f>IFERROR(_xlfn.LET(_xlpm.boxType, J423, _xlpm.tallos, M423, _xlpm.cost, N423, _xlpm.precio, P423,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23" s="323"/>
      <c r="Q423" s="303"/>
      <c r="R42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23" s="303"/>
      <c r="T423" s="73"/>
    </row>
    <row r="424" spans="1:20" x14ac:dyDescent="0.25">
      <c r="A424" s="304"/>
      <c r="B424" s="305">
        <f>_xlfn.XLOOKUP(Catalogo[[#This Row],[Finca]], Fincas[Nombre], Fincas[ID])</f>
        <v>0</v>
      </c>
      <c r="C424" s="304"/>
      <c r="D424" s="304"/>
      <c r="E424" s="304"/>
      <c r="F424" s="304"/>
      <c r="G424" s="304"/>
      <c r="H424" s="338"/>
      <c r="I424" s="336"/>
      <c r="J424" s="305"/>
      <c r="K42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24" s="306"/>
      <c r="M424" s="306"/>
      <c r="N424" s="303"/>
      <c r="O424" s="307" t="str">
        <f>IFERROR(_xlfn.LET(_xlpm.boxType, J424, _xlpm.tallos, M424, _xlpm.cost, N424, _xlpm.precio, P424,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24" s="323"/>
      <c r="Q424" s="303"/>
      <c r="R42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24" s="303"/>
      <c r="T424" s="73"/>
    </row>
    <row r="425" spans="1:20" x14ac:dyDescent="0.25">
      <c r="A425" s="304"/>
      <c r="B425" s="305">
        <f>_xlfn.XLOOKUP(Catalogo[[#This Row],[Finca]], Fincas[Nombre], Fincas[ID])</f>
        <v>0</v>
      </c>
      <c r="C425" s="304"/>
      <c r="D425" s="304"/>
      <c r="E425" s="304"/>
      <c r="F425" s="304"/>
      <c r="G425" s="304"/>
      <c r="H425" s="338"/>
      <c r="I425" s="336"/>
      <c r="J425" s="305"/>
      <c r="K42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25" s="306"/>
      <c r="M425" s="306"/>
      <c r="N425" s="303"/>
      <c r="O425" s="307" t="str">
        <f>IFERROR(_xlfn.LET(_xlpm.boxType, J425, _xlpm.tallos, M425, _xlpm.cost, N425, _xlpm.precio, P425,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25" s="323"/>
      <c r="Q425" s="303"/>
      <c r="R42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25" s="303"/>
      <c r="T425" s="73"/>
    </row>
    <row r="426" spans="1:20" x14ac:dyDescent="0.25">
      <c r="A426" s="304"/>
      <c r="B426" s="305">
        <f>_xlfn.XLOOKUP(Catalogo[[#This Row],[Finca]], Fincas[Nombre], Fincas[ID])</f>
        <v>0</v>
      </c>
      <c r="C426" s="304"/>
      <c r="D426" s="304"/>
      <c r="E426" s="304"/>
      <c r="F426" s="304"/>
      <c r="G426" s="304"/>
      <c r="H426" s="338"/>
      <c r="I426" s="336"/>
      <c r="J426" s="305"/>
      <c r="K42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26" s="306"/>
      <c r="M426" s="306"/>
      <c r="N426" s="303"/>
      <c r="O426" s="307" t="str">
        <f>IFERROR(_xlfn.LET(_xlpm.boxType, J426, _xlpm.tallos, M426, _xlpm.cost, N426, _xlpm.precio, P426,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26" s="323"/>
      <c r="Q426" s="303"/>
      <c r="R42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26" s="303"/>
      <c r="T426" s="73"/>
    </row>
    <row r="427" spans="1:20" x14ac:dyDescent="0.25">
      <c r="A427" s="304"/>
      <c r="B427" s="305">
        <f>_xlfn.XLOOKUP(Catalogo[[#This Row],[Finca]], Fincas[Nombre], Fincas[ID])</f>
        <v>0</v>
      </c>
      <c r="C427" s="304"/>
      <c r="D427" s="304"/>
      <c r="E427" s="304"/>
      <c r="F427" s="304"/>
      <c r="G427" s="304"/>
      <c r="H427" s="338"/>
      <c r="I427" s="336"/>
      <c r="J427" s="305"/>
      <c r="K42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27" s="306"/>
      <c r="M427" s="306"/>
      <c r="N427" s="303"/>
      <c r="O427" s="307" t="str">
        <f>IFERROR(_xlfn.LET(_xlpm.boxType, J427, _xlpm.tallos, M427, _xlpm.cost, N427, _xlpm.precio, P427,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27" s="323"/>
      <c r="Q427" s="303"/>
      <c r="R42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27" s="303"/>
      <c r="T427" s="73"/>
    </row>
    <row r="428" spans="1:20" x14ac:dyDescent="0.25">
      <c r="A428" s="304"/>
      <c r="B428" s="305">
        <f>_xlfn.XLOOKUP(Catalogo[[#This Row],[Finca]], Fincas[Nombre], Fincas[ID])</f>
        <v>0</v>
      </c>
      <c r="C428" s="304"/>
      <c r="D428" s="304"/>
      <c r="E428" s="304"/>
      <c r="F428" s="304"/>
      <c r="G428" s="304"/>
      <c r="H428" s="338"/>
      <c r="I428" s="336"/>
      <c r="J428" s="305"/>
      <c r="K42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28" s="306"/>
      <c r="M428" s="306"/>
      <c r="N428" s="303"/>
      <c r="O428" s="307" t="str">
        <f>IFERROR(_xlfn.LET(_xlpm.boxType, J428, _xlpm.tallos, M428, _xlpm.cost, N428, _xlpm.precio, P428,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28" s="323"/>
      <c r="Q428" s="303"/>
      <c r="R42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28" s="303"/>
      <c r="T428" s="73"/>
    </row>
    <row r="429" spans="1:20" x14ac:dyDescent="0.25">
      <c r="A429" s="304"/>
      <c r="B429" s="305">
        <f>_xlfn.XLOOKUP(Catalogo[[#This Row],[Finca]], Fincas[Nombre], Fincas[ID])</f>
        <v>0</v>
      </c>
      <c r="C429" s="304"/>
      <c r="D429" s="304"/>
      <c r="E429" s="304"/>
      <c r="F429" s="304"/>
      <c r="G429" s="304"/>
      <c r="H429" s="338"/>
      <c r="I429" s="336"/>
      <c r="J429" s="305"/>
      <c r="K42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29" s="306"/>
      <c r="M429" s="306"/>
      <c r="N429" s="303"/>
      <c r="O429" s="307" t="str">
        <f>IFERROR(_xlfn.LET(_xlpm.boxType, J429, _xlpm.tallos, M429, _xlpm.cost, N429, _xlpm.precio, P429,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29" s="323"/>
      <c r="Q429" s="303"/>
      <c r="R42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29" s="303"/>
      <c r="T429" s="73"/>
    </row>
    <row r="430" spans="1:20" x14ac:dyDescent="0.25">
      <c r="A430" s="304"/>
      <c r="B430" s="305">
        <f>_xlfn.XLOOKUP(Catalogo[[#This Row],[Finca]], Fincas[Nombre], Fincas[ID])</f>
        <v>0</v>
      </c>
      <c r="C430" s="304"/>
      <c r="D430" s="304"/>
      <c r="E430" s="304"/>
      <c r="F430" s="304"/>
      <c r="G430" s="304"/>
      <c r="H430" s="338"/>
      <c r="I430" s="336"/>
      <c r="J430" s="305"/>
      <c r="K43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30" s="306"/>
      <c r="M430" s="306"/>
      <c r="N430" s="303"/>
      <c r="O430" s="307" t="str">
        <f>IFERROR(_xlfn.LET(_xlpm.boxType, J430, _xlpm.tallos, M430, _xlpm.cost, N430, _xlpm.precio, P430,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30" s="323"/>
      <c r="Q430" s="303"/>
      <c r="R43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30" s="303"/>
      <c r="T430" s="73"/>
    </row>
    <row r="431" spans="1:20" x14ac:dyDescent="0.25">
      <c r="A431" s="304"/>
      <c r="B431" s="305">
        <f>_xlfn.XLOOKUP(Catalogo[[#This Row],[Finca]], Fincas[Nombre], Fincas[ID])</f>
        <v>0</v>
      </c>
      <c r="C431" s="304"/>
      <c r="D431" s="304"/>
      <c r="E431" s="304"/>
      <c r="F431" s="304"/>
      <c r="G431" s="304"/>
      <c r="H431" s="338"/>
      <c r="I431" s="336"/>
      <c r="J431" s="305"/>
      <c r="K43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31" s="306"/>
      <c r="M431" s="306"/>
      <c r="N431" s="303"/>
      <c r="O431" s="307" t="str">
        <f>IFERROR(_xlfn.LET(_xlpm.boxType, J431, _xlpm.tallos, M431, _xlpm.cost, N431, _xlpm.precio, P431,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31" s="323"/>
      <c r="Q431" s="303"/>
      <c r="R43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31" s="303"/>
      <c r="T431" s="73"/>
    </row>
    <row r="432" spans="1:20" x14ac:dyDescent="0.25">
      <c r="A432" s="304"/>
      <c r="B432" s="305">
        <f>_xlfn.XLOOKUP(Catalogo[[#This Row],[Finca]], Fincas[Nombre], Fincas[ID])</f>
        <v>0</v>
      </c>
      <c r="C432" s="304"/>
      <c r="D432" s="304"/>
      <c r="E432" s="304"/>
      <c r="F432" s="304"/>
      <c r="G432" s="304"/>
      <c r="H432" s="338"/>
      <c r="I432" s="336"/>
      <c r="J432" s="305"/>
      <c r="K43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32" s="306"/>
      <c r="M432" s="306"/>
      <c r="N432" s="303"/>
      <c r="O432" s="307" t="str">
        <f>IFERROR(_xlfn.LET(_xlpm.boxType, J432, _xlpm.tallos, M432, _xlpm.cost, N432, _xlpm.precio, P432,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32" s="323"/>
      <c r="Q432" s="303"/>
      <c r="R43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32" s="303"/>
      <c r="T432" s="73"/>
    </row>
    <row r="433" spans="1:20" x14ac:dyDescent="0.25">
      <c r="A433" s="304"/>
      <c r="B433" s="305">
        <f>_xlfn.XLOOKUP(Catalogo[[#This Row],[Finca]], Fincas[Nombre], Fincas[ID])</f>
        <v>0</v>
      </c>
      <c r="C433" s="304"/>
      <c r="D433" s="304"/>
      <c r="E433" s="304"/>
      <c r="F433" s="304"/>
      <c r="G433" s="304"/>
      <c r="H433" s="338"/>
      <c r="I433" s="336"/>
      <c r="J433" s="305"/>
      <c r="K43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33" s="306"/>
      <c r="M433" s="306"/>
      <c r="N433" s="303"/>
      <c r="O433" s="307" t="str">
        <f>IFERROR(_xlfn.LET(_xlpm.boxType, J433, _xlpm.tallos, M433, _xlpm.cost, N433, _xlpm.precio, P433,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33" s="323"/>
      <c r="Q433" s="303"/>
      <c r="R43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33" s="303"/>
      <c r="T433" s="73"/>
    </row>
    <row r="434" spans="1:20" x14ac:dyDescent="0.25">
      <c r="A434" s="304"/>
      <c r="B434" s="305">
        <f>_xlfn.XLOOKUP(Catalogo[[#This Row],[Finca]], Fincas[Nombre], Fincas[ID])</f>
        <v>0</v>
      </c>
      <c r="C434" s="304"/>
      <c r="D434" s="304"/>
      <c r="E434" s="304"/>
      <c r="F434" s="304"/>
      <c r="G434" s="304"/>
      <c r="H434" s="338"/>
      <c r="I434" s="336"/>
      <c r="J434" s="305"/>
      <c r="K43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34" s="306"/>
      <c r="M434" s="306"/>
      <c r="N434" s="303"/>
      <c r="O434" s="307" t="str">
        <f>IFERROR(_xlfn.LET(_xlpm.boxType, J434, _xlpm.tallos, M434, _xlpm.cost, N434, _xlpm.precio, P434,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34" s="323"/>
      <c r="Q434" s="303"/>
      <c r="R43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34" s="303"/>
      <c r="T434" s="73"/>
    </row>
    <row r="435" spans="1:20" x14ac:dyDescent="0.25">
      <c r="A435" s="304"/>
      <c r="B435" s="305">
        <f>_xlfn.XLOOKUP(Catalogo[[#This Row],[Finca]], Fincas[Nombre], Fincas[ID])</f>
        <v>0</v>
      </c>
      <c r="C435" s="304"/>
      <c r="D435" s="304"/>
      <c r="E435" s="304"/>
      <c r="F435" s="304"/>
      <c r="G435" s="304"/>
      <c r="H435" s="338"/>
      <c r="I435" s="336"/>
      <c r="J435" s="305"/>
      <c r="K43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35" s="306"/>
      <c r="M435" s="306"/>
      <c r="N435" s="303"/>
      <c r="O435" s="307" t="str">
        <f>IFERROR(_xlfn.LET(_xlpm.boxType, J435, _xlpm.tallos, M435, _xlpm.cost, N435, _xlpm.precio, P435,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35" s="323"/>
      <c r="Q435" s="303"/>
      <c r="R43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35" s="303"/>
      <c r="T435" s="73"/>
    </row>
    <row r="436" spans="1:20" x14ac:dyDescent="0.25">
      <c r="A436" s="304"/>
      <c r="B436" s="305">
        <f>_xlfn.XLOOKUP(Catalogo[[#This Row],[Finca]], Fincas[Nombre], Fincas[ID])</f>
        <v>0</v>
      </c>
      <c r="C436" s="304"/>
      <c r="D436" s="304"/>
      <c r="E436" s="304"/>
      <c r="F436" s="304"/>
      <c r="G436" s="304"/>
      <c r="H436" s="338"/>
      <c r="I436" s="336"/>
      <c r="J436" s="305"/>
      <c r="K43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36" s="306"/>
      <c r="M436" s="306"/>
      <c r="N436" s="303"/>
      <c r="O436" s="307" t="str">
        <f>IFERROR(_xlfn.LET(_xlpm.boxType, J436, _xlpm.tallos, M436, _xlpm.cost, N436, _xlpm.precio, P436,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36" s="323"/>
      <c r="Q436" s="303"/>
      <c r="R43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36" s="303"/>
      <c r="T436" s="73"/>
    </row>
    <row r="437" spans="1:20" x14ac:dyDescent="0.25">
      <c r="A437" s="304"/>
      <c r="B437" s="305">
        <f>_xlfn.XLOOKUP(Catalogo[[#This Row],[Finca]], Fincas[Nombre], Fincas[ID])</f>
        <v>0</v>
      </c>
      <c r="C437" s="304"/>
      <c r="D437" s="304"/>
      <c r="E437" s="304"/>
      <c r="F437" s="304"/>
      <c r="G437" s="304"/>
      <c r="H437" s="338"/>
      <c r="I437" s="336"/>
      <c r="J437" s="305"/>
      <c r="K43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37" s="306"/>
      <c r="M437" s="306"/>
      <c r="N437" s="303"/>
      <c r="O437" s="307" t="str">
        <f>IFERROR(_xlfn.LET(_xlpm.boxType, J437, _xlpm.tallos, M437, _xlpm.cost, N437, _xlpm.precio, P437,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37" s="323"/>
      <c r="Q437" s="303"/>
      <c r="R43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37" s="303"/>
      <c r="T437" s="73"/>
    </row>
    <row r="438" spans="1:20" x14ac:dyDescent="0.25">
      <c r="A438" s="304"/>
      <c r="B438" s="305">
        <f>_xlfn.XLOOKUP(Catalogo[[#This Row],[Finca]], Fincas[Nombre], Fincas[ID])</f>
        <v>0</v>
      </c>
      <c r="C438" s="304"/>
      <c r="D438" s="304"/>
      <c r="E438" s="304"/>
      <c r="F438" s="304"/>
      <c r="G438" s="304"/>
      <c r="H438" s="338"/>
      <c r="I438" s="336"/>
      <c r="J438" s="305"/>
      <c r="K43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38" s="306"/>
      <c r="M438" s="306"/>
      <c r="N438" s="303"/>
      <c r="O438" s="307" t="str">
        <f>IFERROR(_xlfn.LET(_xlpm.boxType, J438, _xlpm.tallos, M438, _xlpm.cost, N438, _xlpm.precio, P438,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38" s="323"/>
      <c r="Q438" s="303"/>
      <c r="R43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38" s="303"/>
      <c r="T438" s="73"/>
    </row>
    <row r="439" spans="1:20" x14ac:dyDescent="0.25">
      <c r="A439" s="304"/>
      <c r="B439" s="305">
        <f>_xlfn.XLOOKUP(Catalogo[[#This Row],[Finca]], Fincas[Nombre], Fincas[ID])</f>
        <v>0</v>
      </c>
      <c r="C439" s="304"/>
      <c r="D439" s="304"/>
      <c r="E439" s="304"/>
      <c r="F439" s="304"/>
      <c r="G439" s="304"/>
      <c r="H439" s="338"/>
      <c r="I439" s="336"/>
      <c r="J439" s="305"/>
      <c r="K43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39" s="306"/>
      <c r="M439" s="306"/>
      <c r="N439" s="303"/>
      <c r="O439" s="307" t="str">
        <f>IFERROR(_xlfn.LET(_xlpm.boxType, J439, _xlpm.tallos, M439, _xlpm.cost, N439, _xlpm.precio, P439,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39" s="323"/>
      <c r="Q439" s="303"/>
      <c r="R43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39" s="303"/>
      <c r="T439" s="73"/>
    </row>
    <row r="440" spans="1:20" x14ac:dyDescent="0.25">
      <c r="A440" s="304"/>
      <c r="B440" s="305">
        <f>_xlfn.XLOOKUP(Catalogo[[#This Row],[Finca]], Fincas[Nombre], Fincas[ID])</f>
        <v>0</v>
      </c>
      <c r="C440" s="304"/>
      <c r="D440" s="304"/>
      <c r="E440" s="304"/>
      <c r="F440" s="304"/>
      <c r="G440" s="304"/>
      <c r="H440" s="338"/>
      <c r="I440" s="336"/>
      <c r="J440" s="305"/>
      <c r="K44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40" s="306"/>
      <c r="M440" s="306"/>
      <c r="N440" s="303"/>
      <c r="O440" s="307" t="str">
        <f>IFERROR(_xlfn.LET(_xlpm.boxType, J440, _xlpm.tallos, M440, _xlpm.cost, N440, _xlpm.precio, P440,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40" s="323"/>
      <c r="Q440" s="303"/>
      <c r="R44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40" s="303"/>
      <c r="T440" s="73"/>
    </row>
    <row r="441" spans="1:20" x14ac:dyDescent="0.25">
      <c r="A441" s="304"/>
      <c r="B441" s="305">
        <f>_xlfn.XLOOKUP(Catalogo[[#This Row],[Finca]], Fincas[Nombre], Fincas[ID])</f>
        <v>0</v>
      </c>
      <c r="C441" s="304"/>
      <c r="D441" s="304"/>
      <c r="E441" s="304"/>
      <c r="F441" s="304"/>
      <c r="G441" s="304"/>
      <c r="H441" s="338"/>
      <c r="I441" s="336"/>
      <c r="J441" s="305"/>
      <c r="K44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41" s="306"/>
      <c r="M441" s="306"/>
      <c r="N441" s="303"/>
      <c r="O441" s="307" t="str">
        <f>IFERROR(_xlfn.LET(_xlpm.boxType, J441, _xlpm.tallos, M441, _xlpm.cost, N441, _xlpm.precio, P441,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41" s="323"/>
      <c r="Q441" s="303"/>
      <c r="R44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41" s="303"/>
      <c r="T441" s="73"/>
    </row>
    <row r="442" spans="1:20" x14ac:dyDescent="0.25">
      <c r="A442" s="304"/>
      <c r="B442" s="305">
        <f>_xlfn.XLOOKUP(Catalogo[[#This Row],[Finca]], Fincas[Nombre], Fincas[ID])</f>
        <v>0</v>
      </c>
      <c r="C442" s="304"/>
      <c r="D442" s="304"/>
      <c r="E442" s="304"/>
      <c r="F442" s="304"/>
      <c r="G442" s="304"/>
      <c r="H442" s="338"/>
      <c r="I442" s="336"/>
      <c r="J442" s="305"/>
      <c r="K44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42" s="306"/>
      <c r="M442" s="306"/>
      <c r="N442" s="303"/>
      <c r="O442" s="307" t="str">
        <f>IFERROR(_xlfn.LET(_xlpm.boxType, J442, _xlpm.tallos, M442, _xlpm.cost, N442, _xlpm.precio, P442,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42" s="323"/>
      <c r="Q442" s="303"/>
      <c r="R44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42" s="303"/>
      <c r="T442" s="73"/>
    </row>
    <row r="443" spans="1:20" x14ac:dyDescent="0.25">
      <c r="A443" s="304"/>
      <c r="B443" s="305">
        <f>_xlfn.XLOOKUP(Catalogo[[#This Row],[Finca]], Fincas[Nombre], Fincas[ID])</f>
        <v>0</v>
      </c>
      <c r="C443" s="304"/>
      <c r="D443" s="304"/>
      <c r="E443" s="304"/>
      <c r="F443" s="304"/>
      <c r="G443" s="304"/>
      <c r="H443" s="338"/>
      <c r="I443" s="336"/>
      <c r="J443" s="305"/>
      <c r="K44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43" s="306"/>
      <c r="M443" s="306"/>
      <c r="N443" s="303"/>
      <c r="O443" s="307" t="str">
        <f>IFERROR(_xlfn.LET(_xlpm.boxType, J443, _xlpm.tallos, M443, _xlpm.cost, N443, _xlpm.precio, P443,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43" s="323"/>
      <c r="Q443" s="303"/>
      <c r="R44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43" s="303"/>
      <c r="T443" s="73"/>
    </row>
    <row r="444" spans="1:20" x14ac:dyDescent="0.25">
      <c r="A444" s="304"/>
      <c r="B444" s="305">
        <f>_xlfn.XLOOKUP(Catalogo[[#This Row],[Finca]], Fincas[Nombre], Fincas[ID])</f>
        <v>0</v>
      </c>
      <c r="C444" s="304"/>
      <c r="D444" s="304"/>
      <c r="E444" s="304"/>
      <c r="F444" s="304"/>
      <c r="G444" s="304"/>
      <c r="H444" s="338"/>
      <c r="I444" s="336"/>
      <c r="J444" s="305"/>
      <c r="K44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44" s="306"/>
      <c r="M444" s="306"/>
      <c r="N444" s="303"/>
      <c r="O444" s="307" t="str">
        <f>IFERROR(_xlfn.LET(_xlpm.boxType, J444, _xlpm.tallos, M444, _xlpm.cost, N444, _xlpm.precio, P444,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44" s="323"/>
      <c r="Q444" s="303"/>
      <c r="R44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44" s="303"/>
      <c r="T444" s="73"/>
    </row>
    <row r="445" spans="1:20" x14ac:dyDescent="0.25">
      <c r="A445" s="304"/>
      <c r="B445" s="305">
        <f>_xlfn.XLOOKUP(Catalogo[[#This Row],[Finca]], Fincas[Nombre], Fincas[ID])</f>
        <v>0</v>
      </c>
      <c r="C445" s="304"/>
      <c r="D445" s="304"/>
      <c r="E445" s="304"/>
      <c r="F445" s="304"/>
      <c r="G445" s="304"/>
      <c r="H445" s="338"/>
      <c r="I445" s="336"/>
      <c r="J445" s="305"/>
      <c r="K44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45" s="306"/>
      <c r="M445" s="306"/>
      <c r="N445" s="303"/>
      <c r="O445" s="307" t="str">
        <f>IFERROR(_xlfn.LET(_xlpm.boxType, J445, _xlpm.tallos, M445, _xlpm.cost, N445, _xlpm.precio, P445,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45" s="323"/>
      <c r="Q445" s="303"/>
      <c r="R44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45" s="303"/>
      <c r="T445" s="73"/>
    </row>
    <row r="446" spans="1:20" x14ac:dyDescent="0.25">
      <c r="A446" s="304"/>
      <c r="B446" s="305">
        <f>_xlfn.XLOOKUP(Catalogo[[#This Row],[Finca]], Fincas[Nombre], Fincas[ID])</f>
        <v>0</v>
      </c>
      <c r="C446" s="304"/>
      <c r="D446" s="304"/>
      <c r="E446" s="304"/>
      <c r="F446" s="304"/>
      <c r="G446" s="304"/>
      <c r="H446" s="338"/>
      <c r="I446" s="336"/>
      <c r="J446" s="305"/>
      <c r="K44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46" s="306"/>
      <c r="M446" s="306"/>
      <c r="N446" s="303"/>
      <c r="O446" s="307" t="str">
        <f>IFERROR(_xlfn.LET(_xlpm.boxType, J446, _xlpm.tallos, M446, _xlpm.cost, N446, _xlpm.precio, P446,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46" s="323"/>
      <c r="Q446" s="303"/>
      <c r="R44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46" s="303"/>
      <c r="T446" s="73"/>
    </row>
    <row r="447" spans="1:20" x14ac:dyDescent="0.25">
      <c r="A447" s="304"/>
      <c r="B447" s="305">
        <f>_xlfn.XLOOKUP(Catalogo[[#This Row],[Finca]], Fincas[Nombre], Fincas[ID])</f>
        <v>0</v>
      </c>
      <c r="C447" s="304"/>
      <c r="D447" s="304"/>
      <c r="E447" s="304"/>
      <c r="F447" s="304"/>
      <c r="G447" s="304"/>
      <c r="H447" s="338"/>
      <c r="I447" s="336"/>
      <c r="J447" s="305"/>
      <c r="K44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47" s="306"/>
      <c r="M447" s="306"/>
      <c r="N447" s="303"/>
      <c r="O447" s="307" t="str">
        <f>IFERROR(_xlfn.LET(_xlpm.boxType, J447, _xlpm.tallos, M447, _xlpm.cost, N447, _xlpm.precio, P447,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47" s="323"/>
      <c r="Q447" s="303"/>
      <c r="R44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47" s="303"/>
      <c r="T447" s="73"/>
    </row>
    <row r="448" spans="1:20" x14ac:dyDescent="0.25">
      <c r="A448" s="304"/>
      <c r="B448" s="305">
        <f>_xlfn.XLOOKUP(Catalogo[[#This Row],[Finca]], Fincas[Nombre], Fincas[ID])</f>
        <v>0</v>
      </c>
      <c r="C448" s="304"/>
      <c r="D448" s="304"/>
      <c r="E448" s="304"/>
      <c r="F448" s="304"/>
      <c r="G448" s="304"/>
      <c r="H448" s="338"/>
      <c r="I448" s="336"/>
      <c r="J448" s="305"/>
      <c r="K44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48" s="306"/>
      <c r="M448" s="306"/>
      <c r="N448" s="303"/>
      <c r="O448" s="307" t="str">
        <f>IFERROR(_xlfn.LET(_xlpm.boxType, J448, _xlpm.tallos, M448, _xlpm.cost, N448, _xlpm.precio, P448,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48" s="323"/>
      <c r="Q448" s="303"/>
      <c r="R44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48" s="303"/>
      <c r="T448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449" spans="1:21" x14ac:dyDescent="0.25">
      <c r="A449" s="304"/>
      <c r="B449" s="305">
        <f>_xlfn.XLOOKUP(Catalogo[[#This Row],[Finca]], Fincas[Nombre], Fincas[ID])</f>
        <v>0</v>
      </c>
      <c r="C449" s="304"/>
      <c r="D449" s="304"/>
      <c r="E449" s="304"/>
      <c r="F449" s="304"/>
      <c r="G449" s="304"/>
      <c r="H449" s="338"/>
      <c r="I449" s="336"/>
      <c r="J449" s="305"/>
      <c r="K44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49" s="306"/>
      <c r="M449" s="306"/>
      <c r="N449" s="303"/>
      <c r="O449" s="307" t="str">
        <f>IFERROR(_xlfn.LET(_xlpm.boxType, J449, _xlpm.tallos, M449, _xlpm.cost, N449, _xlpm.precio, P449,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49" s="323"/>
      <c r="Q449" s="303"/>
      <c r="R44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49" s="303"/>
      <c r="T449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450" spans="1:21" ht="15.75" thickBot="1" x14ac:dyDescent="0.3">
      <c r="A450" s="304"/>
      <c r="B450" s="305">
        <f>_xlfn.XLOOKUP(Catalogo[[#This Row],[Finca]], Fincas[Nombre], Fincas[ID])</f>
        <v>0</v>
      </c>
      <c r="C450" s="304"/>
      <c r="D450" s="304"/>
      <c r="E450" s="304"/>
      <c r="F450" s="304"/>
      <c r="G450" s="304"/>
      <c r="H450" s="338"/>
      <c r="I450" s="336"/>
      <c r="J450" s="305"/>
      <c r="K45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50" s="306"/>
      <c r="M450" s="306"/>
      <c r="N450" s="303"/>
      <c r="O450" s="307" t="str">
        <f>IFERROR(_xlfn.LET(_xlpm.boxType, J450, _xlpm.tallos, M450, _xlpm.cost, N450, _xlpm.precio, P450,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50" s="323"/>
      <c r="Q450" s="303"/>
      <c r="R45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50" s="303"/>
      <c r="T450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451" spans="1:21" x14ac:dyDescent="0.25">
      <c r="A451" s="308" t="s">
        <v>162</v>
      </c>
      <c r="B451" s="309">
        <f>_xlfn.XLOOKUP(Catalogo[[#This Row],[Finca]], Fincas[Nombre], Fincas[ID])</f>
        <v>62</v>
      </c>
      <c r="C451" s="308" t="s">
        <v>742</v>
      </c>
      <c r="D451" s="308" t="s">
        <v>613</v>
      </c>
      <c r="E451" s="308"/>
      <c r="F451" s="308" t="s">
        <v>613</v>
      </c>
      <c r="G451" s="308"/>
      <c r="H451" s="343" t="s">
        <v>244</v>
      </c>
      <c r="I451" s="335"/>
      <c r="J451" s="309" t="s">
        <v>32</v>
      </c>
      <c r="K451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51" s="310" t="s">
        <v>302</v>
      </c>
      <c r="M451" s="310">
        <v>50</v>
      </c>
      <c r="N451" s="312">
        <v>0.26</v>
      </c>
      <c r="O451" s="311">
        <f>IFERROR(_xlfn.LET(_xlpm.boxType, J451, _xlpm.tallos, M451, _xlpm.cost, N451, _xlpm.precio, P451,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P451" s="322">
        <v>1.39</v>
      </c>
      <c r="Q451" s="312" t="s">
        <v>725</v>
      </c>
      <c r="R451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51" s="312">
        <v>0.26</v>
      </c>
      <c r="T451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U451" s="314">
        <v>0.77</v>
      </c>
    </row>
    <row r="452" spans="1:21" ht="15.75" thickBot="1" x14ac:dyDescent="0.3">
      <c r="A452" s="315" t="s">
        <v>162</v>
      </c>
      <c r="B452" s="316">
        <f>_xlfn.XLOOKUP(Catalogo[[#This Row],[Finca]], Fincas[Nombre], Fincas[ID])</f>
        <v>62</v>
      </c>
      <c r="C452" s="315" t="s">
        <v>742</v>
      </c>
      <c r="D452" s="315" t="s">
        <v>613</v>
      </c>
      <c r="E452" s="315"/>
      <c r="F452" s="315" t="s">
        <v>613</v>
      </c>
      <c r="G452" s="315"/>
      <c r="H452" s="344" t="s">
        <v>244</v>
      </c>
      <c r="I452" s="337"/>
      <c r="J452" s="316" t="s">
        <v>33</v>
      </c>
      <c r="K45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52" s="317" t="s">
        <v>303</v>
      </c>
      <c r="M452" s="317">
        <v>100</v>
      </c>
      <c r="N452" s="319">
        <v>0.26</v>
      </c>
      <c r="O452" s="318">
        <f>IFERROR(_xlfn.LET(_xlpm.boxType, J452, _xlpm.tallos, M452, _xlpm.cost, N452, _xlpm.precio, P452,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452" s="324">
        <v>1.39</v>
      </c>
      <c r="Q452" s="319" t="s">
        <v>726</v>
      </c>
      <c r="R45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52" s="319">
        <v>0.26</v>
      </c>
      <c r="T45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52" s="321">
        <v>0.77</v>
      </c>
    </row>
    <row r="453" spans="1:21" x14ac:dyDescent="0.25">
      <c r="A453" s="304" t="s">
        <v>162</v>
      </c>
      <c r="B453" s="305">
        <f>_xlfn.XLOOKUP(Catalogo[[#This Row],[Finca]], Fincas[Nombre], Fincas[ID])</f>
        <v>62</v>
      </c>
      <c r="C453" s="304" t="s">
        <v>742</v>
      </c>
      <c r="D453" s="304" t="s">
        <v>627</v>
      </c>
      <c r="E453" s="304"/>
      <c r="F453" s="304" t="s">
        <v>627</v>
      </c>
      <c r="G453" s="304"/>
      <c r="H453" s="338" t="s">
        <v>244</v>
      </c>
      <c r="I453" s="336"/>
      <c r="J453" s="305" t="s">
        <v>32</v>
      </c>
      <c r="K45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53" s="306" t="s">
        <v>302</v>
      </c>
      <c r="M453" s="306">
        <v>50</v>
      </c>
      <c r="N453" s="303">
        <v>0.26</v>
      </c>
      <c r="O453" s="307">
        <f>IFERROR(_xlfn.LET(_xlpm.boxType, J453, _xlpm.tallos, M453, _xlpm.cost, N453, _xlpm.precio, P453,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P453" s="323">
        <v>1.39</v>
      </c>
      <c r="Q453" s="303" t="s">
        <v>725</v>
      </c>
      <c r="R45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53" s="303">
        <v>0.26</v>
      </c>
      <c r="T45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U453" s="301">
        <v>0.77</v>
      </c>
    </row>
    <row r="454" spans="1:21" ht="15.75" thickBot="1" x14ac:dyDescent="0.3">
      <c r="A454" s="304" t="s">
        <v>162</v>
      </c>
      <c r="B454" s="305">
        <f>_xlfn.XLOOKUP(Catalogo[[#This Row],[Finca]], Fincas[Nombre], Fincas[ID])</f>
        <v>62</v>
      </c>
      <c r="C454" s="304" t="s">
        <v>742</v>
      </c>
      <c r="D454" s="304" t="s">
        <v>627</v>
      </c>
      <c r="E454" s="304"/>
      <c r="F454" s="304" t="s">
        <v>627</v>
      </c>
      <c r="G454" s="304"/>
      <c r="H454" s="338" t="s">
        <v>244</v>
      </c>
      <c r="I454" s="336"/>
      <c r="J454" s="305" t="s">
        <v>33</v>
      </c>
      <c r="K45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54" s="306" t="s">
        <v>303</v>
      </c>
      <c r="M454" s="306">
        <v>100</v>
      </c>
      <c r="N454" s="303">
        <v>0.26</v>
      </c>
      <c r="O454" s="307">
        <f>IFERROR(_xlfn.LET(_xlpm.boxType, J454, _xlpm.tallos, M454, _xlpm.cost, N454, _xlpm.precio, P454,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454" s="323">
        <v>1.39</v>
      </c>
      <c r="Q454" s="303" t="s">
        <v>726</v>
      </c>
      <c r="R45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54" s="303">
        <v>0.26</v>
      </c>
      <c r="T45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54" s="301">
        <v>0.77</v>
      </c>
    </row>
    <row r="455" spans="1:21" x14ac:dyDescent="0.25">
      <c r="A455" s="308" t="s">
        <v>162</v>
      </c>
      <c r="B455" s="309">
        <f>_xlfn.XLOOKUP(Catalogo[[#This Row],[Finca]], Fincas[Nombre], Fincas[ID])</f>
        <v>62</v>
      </c>
      <c r="C455" s="308" t="s">
        <v>742</v>
      </c>
      <c r="D455" s="308" t="s">
        <v>743</v>
      </c>
      <c r="E455" s="308"/>
      <c r="F455" s="308" t="s">
        <v>743</v>
      </c>
      <c r="G455" s="308"/>
      <c r="H455" s="343" t="s">
        <v>244</v>
      </c>
      <c r="I455" s="335"/>
      <c r="J455" s="309" t="s">
        <v>32</v>
      </c>
      <c r="K455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55" s="310" t="s">
        <v>302</v>
      </c>
      <c r="M455" s="310">
        <v>50</v>
      </c>
      <c r="N455" s="312">
        <v>0.26</v>
      </c>
      <c r="O455" s="311">
        <f>IFERROR(_xlfn.LET(_xlpm.boxType, J455, _xlpm.tallos, M455, _xlpm.cost, N455, _xlpm.precio, P455,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P455" s="322">
        <v>1.39</v>
      </c>
      <c r="Q455" s="312" t="s">
        <v>725</v>
      </c>
      <c r="R455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55" s="312">
        <v>0.26</v>
      </c>
      <c r="T455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U455" s="314">
        <v>0.77</v>
      </c>
    </row>
    <row r="456" spans="1:21" ht="15.75" thickBot="1" x14ac:dyDescent="0.3">
      <c r="A456" s="315" t="s">
        <v>162</v>
      </c>
      <c r="B456" s="316">
        <f>_xlfn.XLOOKUP(Catalogo[[#This Row],[Finca]], Fincas[Nombre], Fincas[ID])</f>
        <v>62</v>
      </c>
      <c r="C456" s="315" t="s">
        <v>742</v>
      </c>
      <c r="D456" s="315" t="s">
        <v>743</v>
      </c>
      <c r="E456" s="315"/>
      <c r="F456" s="315" t="s">
        <v>743</v>
      </c>
      <c r="G456" s="315"/>
      <c r="H456" s="344" t="s">
        <v>244</v>
      </c>
      <c r="I456" s="337"/>
      <c r="J456" s="316" t="s">
        <v>33</v>
      </c>
      <c r="K45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56" s="317" t="s">
        <v>303</v>
      </c>
      <c r="M456" s="317">
        <v>100</v>
      </c>
      <c r="N456" s="319">
        <v>0.26</v>
      </c>
      <c r="O456" s="318">
        <f>IFERROR(_xlfn.LET(_xlpm.boxType, J456, _xlpm.tallos, M456, _xlpm.cost, N456, _xlpm.precio, P456,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456" s="324">
        <v>1.39</v>
      </c>
      <c r="Q456" s="319" t="s">
        <v>726</v>
      </c>
      <c r="R45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56" s="319">
        <v>0.26</v>
      </c>
      <c r="T45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56" s="321">
        <v>0.77</v>
      </c>
    </row>
    <row r="457" spans="1:21" x14ac:dyDescent="0.25">
      <c r="A457" s="304" t="s">
        <v>162</v>
      </c>
      <c r="B457" s="305">
        <f>_xlfn.XLOOKUP(Catalogo[[#This Row],[Finca]], Fincas[Nombre], Fincas[ID])</f>
        <v>62</v>
      </c>
      <c r="C457" s="304" t="s">
        <v>742</v>
      </c>
      <c r="D457" s="304" t="s">
        <v>616</v>
      </c>
      <c r="E457" s="304"/>
      <c r="F457" s="304" t="s">
        <v>616</v>
      </c>
      <c r="G457" s="304"/>
      <c r="H457" s="338" t="s">
        <v>244</v>
      </c>
      <c r="I457" s="336"/>
      <c r="J457" s="305" t="s">
        <v>32</v>
      </c>
      <c r="K45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57" s="306" t="s">
        <v>302</v>
      </c>
      <c r="M457" s="306">
        <v>50</v>
      </c>
      <c r="N457" s="303">
        <v>0.26</v>
      </c>
      <c r="O457" s="307">
        <f>IFERROR(_xlfn.LET(_xlpm.boxType, J457, _xlpm.tallos, M457, _xlpm.cost, N457, _xlpm.precio, P457,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P457" s="323">
        <v>1.39</v>
      </c>
      <c r="Q457" s="303" t="s">
        <v>725</v>
      </c>
      <c r="R45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57" s="303">
        <v>0.26</v>
      </c>
      <c r="T45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U457" s="301">
        <v>0.77</v>
      </c>
    </row>
    <row r="458" spans="1:21" ht="15.75" thickBot="1" x14ac:dyDescent="0.3">
      <c r="A458" s="304" t="s">
        <v>162</v>
      </c>
      <c r="B458" s="305">
        <f>_xlfn.XLOOKUP(Catalogo[[#This Row],[Finca]], Fincas[Nombre], Fincas[ID])</f>
        <v>62</v>
      </c>
      <c r="C458" s="304" t="s">
        <v>742</v>
      </c>
      <c r="D458" s="304" t="s">
        <v>616</v>
      </c>
      <c r="E458" s="304"/>
      <c r="F458" s="304" t="s">
        <v>616</v>
      </c>
      <c r="G458" s="304"/>
      <c r="H458" s="338" t="s">
        <v>244</v>
      </c>
      <c r="I458" s="336"/>
      <c r="J458" s="305" t="s">
        <v>33</v>
      </c>
      <c r="K45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58" s="306" t="s">
        <v>303</v>
      </c>
      <c r="M458" s="306">
        <v>100</v>
      </c>
      <c r="N458" s="303">
        <v>0.26</v>
      </c>
      <c r="O458" s="307">
        <f>IFERROR(_xlfn.LET(_xlpm.boxType, J458, _xlpm.tallos, M458, _xlpm.cost, N458, _xlpm.precio, P458,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458" s="323">
        <v>1.39</v>
      </c>
      <c r="Q458" s="303" t="s">
        <v>726</v>
      </c>
      <c r="R45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58" s="303">
        <v>0.26</v>
      </c>
      <c r="T45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58" s="301">
        <v>0.77</v>
      </c>
    </row>
    <row r="459" spans="1:21" x14ac:dyDescent="0.25">
      <c r="A459" s="308" t="s">
        <v>162</v>
      </c>
      <c r="B459" s="309">
        <f>_xlfn.XLOOKUP(Catalogo[[#This Row],[Finca]], Fincas[Nombre], Fincas[ID])</f>
        <v>62</v>
      </c>
      <c r="C459" s="308" t="s">
        <v>742</v>
      </c>
      <c r="D459" s="308" t="s">
        <v>179</v>
      </c>
      <c r="E459" s="308"/>
      <c r="F459" s="308" t="s">
        <v>179</v>
      </c>
      <c r="G459" s="308"/>
      <c r="H459" s="343" t="s">
        <v>244</v>
      </c>
      <c r="I459" s="335"/>
      <c r="J459" s="309" t="s">
        <v>32</v>
      </c>
      <c r="K459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59" s="310" t="s">
        <v>302</v>
      </c>
      <c r="M459" s="310">
        <v>50</v>
      </c>
      <c r="N459" s="312">
        <v>0.26</v>
      </c>
      <c r="O459" s="311">
        <f>IFERROR(_xlfn.LET(_xlpm.boxType, J459, _xlpm.tallos, M459, _xlpm.cost, N459, _xlpm.precio, P459,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P459" s="322">
        <v>1.39</v>
      </c>
      <c r="Q459" s="312" t="s">
        <v>725</v>
      </c>
      <c r="R459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59" s="312">
        <v>0.26</v>
      </c>
      <c r="T459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U459" s="314">
        <v>0.77</v>
      </c>
    </row>
    <row r="460" spans="1:21" ht="15.75" thickBot="1" x14ac:dyDescent="0.3">
      <c r="A460" s="315" t="s">
        <v>162</v>
      </c>
      <c r="B460" s="316">
        <f>_xlfn.XLOOKUP(Catalogo[[#This Row],[Finca]], Fincas[Nombre], Fincas[ID])</f>
        <v>62</v>
      </c>
      <c r="C460" s="315" t="s">
        <v>742</v>
      </c>
      <c r="D460" s="315" t="s">
        <v>179</v>
      </c>
      <c r="E460" s="315"/>
      <c r="F460" s="315" t="s">
        <v>179</v>
      </c>
      <c r="G460" s="315"/>
      <c r="H460" s="344" t="s">
        <v>244</v>
      </c>
      <c r="I460" s="337"/>
      <c r="J460" s="316" t="s">
        <v>33</v>
      </c>
      <c r="K460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60" s="317" t="s">
        <v>303</v>
      </c>
      <c r="M460" s="317">
        <v>100</v>
      </c>
      <c r="N460" s="319">
        <v>0.26</v>
      </c>
      <c r="O460" s="318">
        <f>IFERROR(_xlfn.LET(_xlpm.boxType, J460, _xlpm.tallos, M460, _xlpm.cost, N460, _xlpm.precio, P460,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460" s="324">
        <v>1.39</v>
      </c>
      <c r="Q460" s="319" t="s">
        <v>726</v>
      </c>
      <c r="R460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60" s="319">
        <v>0.26</v>
      </c>
      <c r="T460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60" s="321">
        <v>0.77</v>
      </c>
    </row>
    <row r="461" spans="1:21" x14ac:dyDescent="0.25">
      <c r="A461" s="304" t="s">
        <v>162</v>
      </c>
      <c r="B461" s="305">
        <f>_xlfn.XLOOKUP(Catalogo[[#This Row],[Finca]], Fincas[Nombre], Fincas[ID])</f>
        <v>62</v>
      </c>
      <c r="C461" s="304" t="s">
        <v>742</v>
      </c>
      <c r="D461" s="304" t="s">
        <v>612</v>
      </c>
      <c r="E461" s="304"/>
      <c r="F461" s="304" t="s">
        <v>612</v>
      </c>
      <c r="G461" s="304"/>
      <c r="H461" s="338" t="s">
        <v>244</v>
      </c>
      <c r="I461" s="336"/>
      <c r="J461" s="305" t="s">
        <v>32</v>
      </c>
      <c r="K46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61" s="306" t="s">
        <v>302</v>
      </c>
      <c r="M461" s="306">
        <v>50</v>
      </c>
      <c r="N461" s="303">
        <v>0.26</v>
      </c>
      <c r="O461" s="307">
        <f>IFERROR(_xlfn.LET(_xlpm.boxType, J461, _xlpm.tallos, M461, _xlpm.cost, N461, _xlpm.precio, P461,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P461" s="323">
        <v>1.39</v>
      </c>
      <c r="Q461" s="303" t="s">
        <v>725</v>
      </c>
      <c r="R46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61" s="303">
        <v>0.26</v>
      </c>
      <c r="T46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U461" s="301">
        <v>0.77</v>
      </c>
    </row>
    <row r="462" spans="1:21" ht="15.75" thickBot="1" x14ac:dyDescent="0.3">
      <c r="A462" s="304" t="s">
        <v>162</v>
      </c>
      <c r="B462" s="305">
        <f>_xlfn.XLOOKUP(Catalogo[[#This Row],[Finca]], Fincas[Nombre], Fincas[ID])</f>
        <v>62</v>
      </c>
      <c r="C462" s="304" t="s">
        <v>742</v>
      </c>
      <c r="D462" s="304" t="s">
        <v>612</v>
      </c>
      <c r="E462" s="304"/>
      <c r="F462" s="304" t="s">
        <v>612</v>
      </c>
      <c r="G462" s="304"/>
      <c r="H462" s="338" t="s">
        <v>244</v>
      </c>
      <c r="I462" s="336"/>
      <c r="J462" s="305" t="s">
        <v>33</v>
      </c>
      <c r="K46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62" s="306" t="s">
        <v>303</v>
      </c>
      <c r="M462" s="306">
        <v>100</v>
      </c>
      <c r="N462" s="303">
        <v>0.26</v>
      </c>
      <c r="O462" s="307">
        <f>IFERROR(_xlfn.LET(_xlpm.boxType, J462, _xlpm.tallos, M462, _xlpm.cost, N462, _xlpm.precio, P462,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462" s="323">
        <v>1.39</v>
      </c>
      <c r="Q462" s="303" t="s">
        <v>726</v>
      </c>
      <c r="R46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62" s="303">
        <v>0.26</v>
      </c>
      <c r="T46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62" s="301">
        <v>0.77</v>
      </c>
    </row>
    <row r="463" spans="1:21" x14ac:dyDescent="0.25">
      <c r="A463" s="308" t="s">
        <v>162</v>
      </c>
      <c r="B463" s="309">
        <f>_xlfn.XLOOKUP(Catalogo[[#This Row],[Finca]], Fincas[Nombre], Fincas[ID])</f>
        <v>62</v>
      </c>
      <c r="C463" s="308" t="s">
        <v>742</v>
      </c>
      <c r="D463" s="308" t="s">
        <v>614</v>
      </c>
      <c r="E463" s="308"/>
      <c r="F463" s="308" t="s">
        <v>614</v>
      </c>
      <c r="G463" s="308"/>
      <c r="H463" s="343" t="s">
        <v>244</v>
      </c>
      <c r="I463" s="335"/>
      <c r="J463" s="309" t="s">
        <v>32</v>
      </c>
      <c r="K463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63" s="310" t="s">
        <v>302</v>
      </c>
      <c r="M463" s="310">
        <v>50</v>
      </c>
      <c r="N463" s="312">
        <v>0.26</v>
      </c>
      <c r="O463" s="311">
        <f>IFERROR(_xlfn.LET(_xlpm.boxType, J463, _xlpm.tallos, M463, _xlpm.cost, N463, _xlpm.precio, P463,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P463" s="322">
        <v>1.39</v>
      </c>
      <c r="Q463" s="312" t="s">
        <v>725</v>
      </c>
      <c r="R463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63" s="312">
        <v>0.26</v>
      </c>
      <c r="T463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U463" s="314">
        <v>0.77</v>
      </c>
    </row>
    <row r="464" spans="1:21" ht="15.75" thickBot="1" x14ac:dyDescent="0.3">
      <c r="A464" s="315" t="s">
        <v>162</v>
      </c>
      <c r="B464" s="316">
        <f>_xlfn.XLOOKUP(Catalogo[[#This Row],[Finca]], Fincas[Nombre], Fincas[ID])</f>
        <v>62</v>
      </c>
      <c r="C464" s="315" t="s">
        <v>742</v>
      </c>
      <c r="D464" s="315" t="s">
        <v>614</v>
      </c>
      <c r="E464" s="315"/>
      <c r="F464" s="315" t="s">
        <v>614</v>
      </c>
      <c r="G464" s="315"/>
      <c r="H464" s="344" t="s">
        <v>244</v>
      </c>
      <c r="I464" s="337"/>
      <c r="J464" s="316" t="s">
        <v>33</v>
      </c>
      <c r="K464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64" s="317" t="s">
        <v>303</v>
      </c>
      <c r="M464" s="317">
        <v>100</v>
      </c>
      <c r="N464" s="319">
        <v>0.26</v>
      </c>
      <c r="O464" s="318">
        <f>IFERROR(_xlfn.LET(_xlpm.boxType, J464, _xlpm.tallos, M464, _xlpm.cost, N464, _xlpm.precio, P464,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464" s="324">
        <v>1.39</v>
      </c>
      <c r="Q464" s="319" t="s">
        <v>726</v>
      </c>
      <c r="R464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64" s="319">
        <v>0.26</v>
      </c>
      <c r="T464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64" s="321">
        <v>0.77</v>
      </c>
    </row>
    <row r="465" spans="1:21" x14ac:dyDescent="0.25">
      <c r="A465" s="304" t="s">
        <v>162</v>
      </c>
      <c r="B465" s="305">
        <f>_xlfn.XLOOKUP(Catalogo[[#This Row],[Finca]], Fincas[Nombre], Fincas[ID])</f>
        <v>62</v>
      </c>
      <c r="C465" s="304" t="s">
        <v>742</v>
      </c>
      <c r="D465" s="304" t="s">
        <v>618</v>
      </c>
      <c r="E465" s="304"/>
      <c r="F465" s="304" t="s">
        <v>618</v>
      </c>
      <c r="G465" s="304"/>
      <c r="H465" s="338" t="s">
        <v>244</v>
      </c>
      <c r="I465" s="336"/>
      <c r="J465" s="305" t="s">
        <v>32</v>
      </c>
      <c r="K46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65" s="306" t="s">
        <v>302</v>
      </c>
      <c r="M465" s="306">
        <v>50</v>
      </c>
      <c r="N465" s="303">
        <v>0.26</v>
      </c>
      <c r="O465" s="307">
        <f>IFERROR(_xlfn.LET(_xlpm.boxType, J465, _xlpm.tallos, M465, _xlpm.cost, N465, _xlpm.precio, P465,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P465" s="323">
        <v>1.39</v>
      </c>
      <c r="Q465" s="303" t="s">
        <v>725</v>
      </c>
      <c r="R46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65" s="303">
        <v>0.26</v>
      </c>
      <c r="T46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U465" s="301">
        <v>0.77</v>
      </c>
    </row>
    <row r="466" spans="1:21" ht="15.75" thickBot="1" x14ac:dyDescent="0.3">
      <c r="A466" s="304" t="s">
        <v>162</v>
      </c>
      <c r="B466" s="305">
        <f>_xlfn.XLOOKUP(Catalogo[[#This Row],[Finca]], Fincas[Nombre], Fincas[ID])</f>
        <v>62</v>
      </c>
      <c r="C466" s="304" t="s">
        <v>742</v>
      </c>
      <c r="D466" s="304" t="s">
        <v>618</v>
      </c>
      <c r="E466" s="304"/>
      <c r="F466" s="304" t="s">
        <v>618</v>
      </c>
      <c r="G466" s="304"/>
      <c r="H466" s="338" t="s">
        <v>244</v>
      </c>
      <c r="I466" s="336"/>
      <c r="J466" s="305" t="s">
        <v>33</v>
      </c>
      <c r="K46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66" s="306" t="s">
        <v>303</v>
      </c>
      <c r="M466" s="306">
        <v>100</v>
      </c>
      <c r="N466" s="303">
        <v>0.26</v>
      </c>
      <c r="O466" s="307">
        <f>IFERROR(_xlfn.LET(_xlpm.boxType, J466, _xlpm.tallos, M466, _xlpm.cost, N466, _xlpm.precio, P466,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466" s="323">
        <v>1.39</v>
      </c>
      <c r="Q466" s="303" t="s">
        <v>726</v>
      </c>
      <c r="R46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66" s="303">
        <v>0.26</v>
      </c>
      <c r="T46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66" s="301">
        <v>0.77</v>
      </c>
    </row>
    <row r="467" spans="1:21" x14ac:dyDescent="0.25">
      <c r="A467" s="308" t="s">
        <v>162</v>
      </c>
      <c r="B467" s="309">
        <f>_xlfn.XLOOKUP(Catalogo[[#This Row],[Finca]], Fincas[Nombre], Fincas[ID])</f>
        <v>62</v>
      </c>
      <c r="C467" s="308" t="s">
        <v>742</v>
      </c>
      <c r="D467" s="308" t="s">
        <v>628</v>
      </c>
      <c r="E467" s="308"/>
      <c r="F467" s="308" t="s">
        <v>628</v>
      </c>
      <c r="G467" s="308"/>
      <c r="H467" s="343" t="s">
        <v>244</v>
      </c>
      <c r="I467" s="335"/>
      <c r="J467" s="309" t="s">
        <v>32</v>
      </c>
      <c r="K467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67" s="310" t="s">
        <v>302</v>
      </c>
      <c r="M467" s="310">
        <v>50</v>
      </c>
      <c r="N467" s="312">
        <v>0.26</v>
      </c>
      <c r="O467" s="311">
        <f>IFERROR(_xlfn.LET(_xlpm.boxType, J467, _xlpm.tallos, M467, _xlpm.cost, N467, _xlpm.precio, P467,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P467" s="322">
        <v>1.39</v>
      </c>
      <c r="Q467" s="312" t="s">
        <v>725</v>
      </c>
      <c r="R467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67" s="312">
        <v>0.26</v>
      </c>
      <c r="T467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U467" s="314">
        <v>0.77</v>
      </c>
    </row>
    <row r="468" spans="1:21" ht="15.75" thickBot="1" x14ac:dyDescent="0.3">
      <c r="A468" s="315" t="s">
        <v>162</v>
      </c>
      <c r="B468" s="316">
        <f>_xlfn.XLOOKUP(Catalogo[[#This Row],[Finca]], Fincas[Nombre], Fincas[ID])</f>
        <v>62</v>
      </c>
      <c r="C468" s="315" t="s">
        <v>742</v>
      </c>
      <c r="D468" s="315" t="s">
        <v>628</v>
      </c>
      <c r="E468" s="315"/>
      <c r="F468" s="315" t="s">
        <v>628</v>
      </c>
      <c r="G468" s="315"/>
      <c r="H468" s="344" t="s">
        <v>244</v>
      </c>
      <c r="I468" s="337"/>
      <c r="J468" s="316" t="s">
        <v>33</v>
      </c>
      <c r="K468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68" s="317" t="s">
        <v>303</v>
      </c>
      <c r="M468" s="317">
        <v>100</v>
      </c>
      <c r="N468" s="319">
        <v>0.26</v>
      </c>
      <c r="O468" s="318">
        <f>IFERROR(_xlfn.LET(_xlpm.boxType, J468, _xlpm.tallos, M468, _xlpm.cost, N468, _xlpm.precio, P468,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468" s="324">
        <v>1.39</v>
      </c>
      <c r="Q468" s="319" t="s">
        <v>726</v>
      </c>
      <c r="R468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68" s="319">
        <v>0.26</v>
      </c>
      <c r="T468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68" s="321">
        <v>0.77</v>
      </c>
    </row>
    <row r="469" spans="1:21" x14ac:dyDescent="0.25">
      <c r="A469" s="304" t="s">
        <v>162</v>
      </c>
      <c r="B469" s="305">
        <f>_xlfn.XLOOKUP(Catalogo[[#This Row],[Finca]], Fincas[Nombre], Fincas[ID])</f>
        <v>62</v>
      </c>
      <c r="C469" s="304" t="s">
        <v>742</v>
      </c>
      <c r="D469" s="304" t="s">
        <v>744</v>
      </c>
      <c r="E469" s="304"/>
      <c r="F469" s="304" t="s">
        <v>744</v>
      </c>
      <c r="G469" s="304"/>
      <c r="H469" s="338" t="s">
        <v>244</v>
      </c>
      <c r="I469" s="336"/>
      <c r="J469" s="305" t="s">
        <v>32</v>
      </c>
      <c r="K46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69" s="306" t="s">
        <v>302</v>
      </c>
      <c r="M469" s="306">
        <v>50</v>
      </c>
      <c r="N469" s="303">
        <v>0.26</v>
      </c>
      <c r="O469" s="307">
        <f>IFERROR(_xlfn.LET(_xlpm.boxType, J469, _xlpm.tallos, M469, _xlpm.cost, N469, _xlpm.precio, P469,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P469" s="323">
        <v>1.39</v>
      </c>
      <c r="Q469" s="303" t="s">
        <v>725</v>
      </c>
      <c r="R46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69" s="303">
        <v>0.26</v>
      </c>
      <c r="T46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U469" s="301">
        <v>0.77</v>
      </c>
    </row>
    <row r="470" spans="1:21" ht="15.75" thickBot="1" x14ac:dyDescent="0.3">
      <c r="A470" s="304" t="s">
        <v>162</v>
      </c>
      <c r="B470" s="305">
        <f>_xlfn.XLOOKUP(Catalogo[[#This Row],[Finca]], Fincas[Nombre], Fincas[ID])</f>
        <v>62</v>
      </c>
      <c r="C470" s="304" t="s">
        <v>742</v>
      </c>
      <c r="D470" s="304" t="s">
        <v>744</v>
      </c>
      <c r="E470" s="304"/>
      <c r="F470" s="304" t="s">
        <v>744</v>
      </c>
      <c r="G470" s="304"/>
      <c r="H470" s="338" t="s">
        <v>244</v>
      </c>
      <c r="I470" s="336"/>
      <c r="J470" s="305" t="s">
        <v>33</v>
      </c>
      <c r="K47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70" s="306" t="s">
        <v>303</v>
      </c>
      <c r="M470" s="306">
        <v>100</v>
      </c>
      <c r="N470" s="303">
        <v>0.26</v>
      </c>
      <c r="O470" s="307">
        <f>IFERROR(_xlfn.LET(_xlpm.boxType, J470, _xlpm.tallos, M470, _xlpm.cost, N470, _xlpm.precio, P470,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470" s="323">
        <v>1.39</v>
      </c>
      <c r="Q470" s="303" t="s">
        <v>726</v>
      </c>
      <c r="R47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70" s="303">
        <v>0.26</v>
      </c>
      <c r="T47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70" s="301">
        <v>0.77</v>
      </c>
    </row>
    <row r="471" spans="1:21" x14ac:dyDescent="0.25">
      <c r="A471" s="308" t="s">
        <v>162</v>
      </c>
      <c r="B471" s="309">
        <f>_xlfn.XLOOKUP(Catalogo[[#This Row],[Finca]], Fincas[Nombre], Fincas[ID])</f>
        <v>62</v>
      </c>
      <c r="C471" s="308" t="s">
        <v>742</v>
      </c>
      <c r="D471" s="308" t="s">
        <v>745</v>
      </c>
      <c r="E471" s="308"/>
      <c r="F471" s="308" t="s">
        <v>627</v>
      </c>
      <c r="G471" s="308"/>
      <c r="H471" s="343" t="s">
        <v>244</v>
      </c>
      <c r="I471" s="335"/>
      <c r="J471" s="309" t="s">
        <v>32</v>
      </c>
      <c r="K471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71" s="310" t="s">
        <v>302</v>
      </c>
      <c r="M471" s="310">
        <v>50</v>
      </c>
      <c r="N471" s="312">
        <v>0.26</v>
      </c>
      <c r="O471" s="311">
        <f>IFERROR(_xlfn.LET(_xlpm.boxType, J471, _xlpm.tallos, M471, _xlpm.cost, N471, _xlpm.precio, P471,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P471" s="322">
        <v>1.39</v>
      </c>
      <c r="Q471" s="312" t="s">
        <v>725</v>
      </c>
      <c r="R471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71" s="312">
        <v>0.26</v>
      </c>
      <c r="T471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U471" s="314">
        <v>0.77</v>
      </c>
    </row>
    <row r="472" spans="1:21" ht="15.75" thickBot="1" x14ac:dyDescent="0.3">
      <c r="A472" s="315" t="s">
        <v>162</v>
      </c>
      <c r="B472" s="316">
        <f>_xlfn.XLOOKUP(Catalogo[[#This Row],[Finca]], Fincas[Nombre], Fincas[ID])</f>
        <v>62</v>
      </c>
      <c r="C472" s="315" t="s">
        <v>742</v>
      </c>
      <c r="D472" s="315" t="s">
        <v>745</v>
      </c>
      <c r="E472" s="315"/>
      <c r="F472" s="315" t="s">
        <v>627</v>
      </c>
      <c r="G472" s="315"/>
      <c r="H472" s="344" t="s">
        <v>244</v>
      </c>
      <c r="I472" s="337"/>
      <c r="J472" s="316" t="s">
        <v>33</v>
      </c>
      <c r="K47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72" s="317" t="s">
        <v>303</v>
      </c>
      <c r="M472" s="317">
        <v>100</v>
      </c>
      <c r="N472" s="319">
        <v>0.26</v>
      </c>
      <c r="O472" s="318">
        <f>IFERROR(_xlfn.LET(_xlpm.boxType, J472, _xlpm.tallos, M472, _xlpm.cost, N472, _xlpm.precio, P472,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472" s="324">
        <v>1.39</v>
      </c>
      <c r="Q472" s="319" t="s">
        <v>726</v>
      </c>
      <c r="R47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72" s="319">
        <v>0.26</v>
      </c>
      <c r="T47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72" s="321">
        <v>0.77</v>
      </c>
    </row>
    <row r="473" spans="1:21" x14ac:dyDescent="0.25">
      <c r="A473" s="304" t="s">
        <v>162</v>
      </c>
      <c r="B473" s="305">
        <f>_xlfn.XLOOKUP(Catalogo[[#This Row],[Finca]], Fincas[Nombre], Fincas[ID])</f>
        <v>62</v>
      </c>
      <c r="C473" s="304" t="s">
        <v>742</v>
      </c>
      <c r="D473" s="304" t="s">
        <v>610</v>
      </c>
      <c r="E473" s="304"/>
      <c r="F473" s="304" t="s">
        <v>610</v>
      </c>
      <c r="G473" s="304"/>
      <c r="H473" s="338" t="s">
        <v>244</v>
      </c>
      <c r="I473" s="336"/>
      <c r="J473" s="305" t="s">
        <v>32</v>
      </c>
      <c r="K47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73" s="306" t="s">
        <v>302</v>
      </c>
      <c r="M473" s="306">
        <v>50</v>
      </c>
      <c r="N473" s="303">
        <v>0.26</v>
      </c>
      <c r="O473" s="307">
        <f>IFERROR(_xlfn.LET(_xlpm.boxType, J473, _xlpm.tallos, M473, _xlpm.cost, N473, _xlpm.precio, P473,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P473" s="323">
        <v>1.39</v>
      </c>
      <c r="Q473" s="303" t="s">
        <v>725</v>
      </c>
      <c r="R47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73" s="303">
        <v>0.26</v>
      </c>
      <c r="T47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U473" s="301">
        <v>0.77</v>
      </c>
    </row>
    <row r="474" spans="1:21" ht="15.75" thickBot="1" x14ac:dyDescent="0.3">
      <c r="A474" s="304" t="s">
        <v>162</v>
      </c>
      <c r="B474" s="305">
        <f>_xlfn.XLOOKUP(Catalogo[[#This Row],[Finca]], Fincas[Nombre], Fincas[ID])</f>
        <v>62</v>
      </c>
      <c r="C474" s="304" t="s">
        <v>742</v>
      </c>
      <c r="D474" s="304" t="s">
        <v>610</v>
      </c>
      <c r="E474" s="304"/>
      <c r="F474" s="304" t="s">
        <v>610</v>
      </c>
      <c r="G474" s="304"/>
      <c r="H474" s="338" t="s">
        <v>244</v>
      </c>
      <c r="I474" s="336"/>
      <c r="J474" s="305" t="s">
        <v>33</v>
      </c>
      <c r="K47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74" s="306" t="s">
        <v>303</v>
      </c>
      <c r="M474" s="306">
        <v>100</v>
      </c>
      <c r="N474" s="303">
        <v>0.26</v>
      </c>
      <c r="O474" s="307">
        <f>IFERROR(_xlfn.LET(_xlpm.boxType, J474, _xlpm.tallos, M474, _xlpm.cost, N474, _xlpm.precio, P474,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P474" s="323">
        <v>1.39</v>
      </c>
      <c r="Q474" s="303" t="s">
        <v>726</v>
      </c>
      <c r="R47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74" s="303">
        <v>0.26</v>
      </c>
      <c r="T47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74" s="301">
        <v>0.77</v>
      </c>
    </row>
    <row r="475" spans="1:21" x14ac:dyDescent="0.25">
      <c r="A475" s="308" t="s">
        <v>162</v>
      </c>
      <c r="B475" s="309">
        <f>_xlfn.XLOOKUP(Catalogo[[#This Row],[Finca]], Fincas[Nombre], Fincas[ID])</f>
        <v>62</v>
      </c>
      <c r="C475" s="308" t="s">
        <v>746</v>
      </c>
      <c r="D475" s="308" t="s">
        <v>747</v>
      </c>
      <c r="E475" s="308"/>
      <c r="F475" s="308" t="s">
        <v>617</v>
      </c>
      <c r="G475" s="308"/>
      <c r="H475" s="343" t="s">
        <v>245</v>
      </c>
      <c r="I475" s="335"/>
      <c r="J475" s="309" t="s">
        <v>32</v>
      </c>
      <c r="K475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75" s="310" t="s">
        <v>302</v>
      </c>
      <c r="M475" s="310">
        <v>50</v>
      </c>
      <c r="N475" s="312">
        <v>0.28000000000000003</v>
      </c>
      <c r="O475" s="311">
        <f>IFERROR(_xlfn.LET(_xlpm.boxType, J475, _xlpm.tallos, M475, _xlpm.cost, N475, _xlpm.precio, P475,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0.23850574712643668</v>
      </c>
      <c r="P475" s="322">
        <v>1.45</v>
      </c>
      <c r="Q475" s="312" t="s">
        <v>725</v>
      </c>
      <c r="R475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75" s="312">
        <v>0.28000000000000003</v>
      </c>
      <c r="T475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U475" s="314">
        <v>0.77</v>
      </c>
    </row>
    <row r="476" spans="1:21" ht="15.75" thickBot="1" x14ac:dyDescent="0.3">
      <c r="A476" s="315" t="s">
        <v>162</v>
      </c>
      <c r="B476" s="316">
        <f>_xlfn.XLOOKUP(Catalogo[[#This Row],[Finca]], Fincas[Nombre], Fincas[ID])</f>
        <v>62</v>
      </c>
      <c r="C476" s="315" t="s">
        <v>746</v>
      </c>
      <c r="D476" s="315" t="s">
        <v>747</v>
      </c>
      <c r="E476" s="315"/>
      <c r="F476" s="315" t="s">
        <v>617</v>
      </c>
      <c r="G476" s="315"/>
      <c r="H476" s="344" t="s">
        <v>245</v>
      </c>
      <c r="I476" s="337"/>
      <c r="J476" s="316" t="s">
        <v>33</v>
      </c>
      <c r="K47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76" s="317" t="s">
        <v>303</v>
      </c>
      <c r="M476" s="317">
        <v>100</v>
      </c>
      <c r="N476" s="319">
        <v>0.28000000000000003</v>
      </c>
      <c r="O476" s="318">
        <f>IFERROR(_xlfn.LET(_xlpm.boxType, J476, _xlpm.tallos, M476, _xlpm.cost, N476, _xlpm.precio, P476,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0.2887931034482758</v>
      </c>
      <c r="P476" s="324">
        <v>1.45</v>
      </c>
      <c r="Q476" s="319" t="s">
        <v>726</v>
      </c>
      <c r="R47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76" s="319">
        <v>0.28000000000000003</v>
      </c>
      <c r="T47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0.21006828223323071</v>
      </c>
      <c r="U476" s="321">
        <v>0.77</v>
      </c>
    </row>
    <row r="477" spans="1:21" x14ac:dyDescent="0.25">
      <c r="A477" s="304"/>
      <c r="B477" s="305">
        <f>_xlfn.XLOOKUP(Catalogo[[#This Row],[Finca]], Fincas[Nombre], Fincas[ID])</f>
        <v>0</v>
      </c>
      <c r="C477" s="304"/>
      <c r="D477" s="304"/>
      <c r="E477" s="304"/>
      <c r="F477" s="304"/>
      <c r="G477" s="304"/>
      <c r="H477" s="338"/>
      <c r="I477" s="336"/>
      <c r="J477" s="305"/>
      <c r="K47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77" s="306"/>
      <c r="M477" s="306"/>
      <c r="N477" s="303"/>
      <c r="O477" s="307" t="str">
        <f>IFERROR(_xlfn.LET(_xlpm.boxType, J477, _xlpm.tallos, M477, _xlpm.cost, N477, _xlpm.precio, P477,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77" s="323"/>
      <c r="Q477" s="303"/>
      <c r="R47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77" s="303"/>
      <c r="T477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478" spans="1:21" ht="15.75" thickBot="1" x14ac:dyDescent="0.3">
      <c r="A478" s="304"/>
      <c r="B478" s="305">
        <f>_xlfn.XLOOKUP(Catalogo[[#This Row],[Finca]], Fincas[Nombre], Fincas[ID])</f>
        <v>0</v>
      </c>
      <c r="C478" s="304"/>
      <c r="D478" s="304"/>
      <c r="E478" s="304"/>
      <c r="F478" s="304"/>
      <c r="G478" s="304"/>
      <c r="H478" s="338"/>
      <c r="I478" s="336"/>
      <c r="J478" s="305"/>
      <c r="K47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478" s="306"/>
      <c r="M478" s="306"/>
      <c r="N478" s="303"/>
      <c r="O478" s="307" t="str">
        <f>IFERROR(_xlfn.LET(_xlpm.boxType, J478, _xlpm.tallos, M478, _xlpm.cost, N478, _xlpm.precio, P478,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478" s="323"/>
      <c r="Q478" s="303"/>
      <c r="R47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478" s="303"/>
      <c r="T478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479" spans="1:21" x14ac:dyDescent="0.25">
      <c r="A479" s="308" t="s">
        <v>156</v>
      </c>
      <c r="B479" s="309">
        <f>_xlfn.XLOOKUP(Catalogo[[#This Row],[Finca]], Fincas[Nombre], Fincas[ID])</f>
        <v>61</v>
      </c>
      <c r="C479" s="308" t="s">
        <v>709</v>
      </c>
      <c r="D479" s="308" t="s">
        <v>790</v>
      </c>
      <c r="E479" s="308"/>
      <c r="F479" s="308" t="s">
        <v>613</v>
      </c>
      <c r="G479" s="308"/>
      <c r="H479" s="343" t="s">
        <v>243</v>
      </c>
      <c r="I479" s="335"/>
      <c r="J479" s="309" t="s">
        <v>32</v>
      </c>
      <c r="K479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79" s="310" t="s">
        <v>423</v>
      </c>
      <c r="M479" s="310">
        <v>100</v>
      </c>
      <c r="N479" s="312">
        <v>0.47</v>
      </c>
      <c r="O479" s="311">
        <f>IFERROR(_xlfn.LET(_xlpm.boxType, J479, _xlpm.tallos, M479, _xlpm.cost, N479, _xlpm.precio, P479,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P479" s="322">
        <v>1.49</v>
      </c>
      <c r="Q479" s="312" t="s">
        <v>725</v>
      </c>
      <c r="R479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79" s="312">
        <v>0.47</v>
      </c>
      <c r="T479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U479" s="314">
        <v>0.82</v>
      </c>
    </row>
    <row r="480" spans="1:21" x14ac:dyDescent="0.25">
      <c r="A480" s="304" t="s">
        <v>156</v>
      </c>
      <c r="B480" s="305">
        <f>_xlfn.XLOOKUP(Catalogo[[#This Row],[Finca]], Fincas[Nombre], Fincas[ID])</f>
        <v>61</v>
      </c>
      <c r="C480" s="304" t="s">
        <v>709</v>
      </c>
      <c r="D480" s="304" t="s">
        <v>790</v>
      </c>
      <c r="E480" s="304"/>
      <c r="F480" s="304" t="s">
        <v>613</v>
      </c>
      <c r="G480" s="304"/>
      <c r="H480" s="338" t="s">
        <v>244</v>
      </c>
      <c r="I480" s="336"/>
      <c r="J480" s="305" t="s">
        <v>32</v>
      </c>
      <c r="K48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80" s="306" t="s">
        <v>423</v>
      </c>
      <c r="M480" s="306">
        <v>60</v>
      </c>
      <c r="N480" s="303">
        <v>0.47</v>
      </c>
      <c r="O480" s="307">
        <f>IFERROR(_xlfn.LET(_xlpm.boxType, J480, _xlpm.tallos, M480, _xlpm.cost, N480, _xlpm.precio, P480,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P480" s="323">
        <v>1.59</v>
      </c>
      <c r="Q480" s="303" t="s">
        <v>725</v>
      </c>
      <c r="R48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80" s="303">
        <v>0.47</v>
      </c>
      <c r="T48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U480" s="301">
        <v>0.92</v>
      </c>
    </row>
    <row r="481" spans="1:21" x14ac:dyDescent="0.25">
      <c r="A481" s="304" t="s">
        <v>156</v>
      </c>
      <c r="B481" s="305">
        <f>_xlfn.XLOOKUP(Catalogo[[#This Row],[Finca]], Fincas[Nombre], Fincas[ID])</f>
        <v>61</v>
      </c>
      <c r="C481" s="304" t="s">
        <v>709</v>
      </c>
      <c r="D481" s="304" t="s">
        <v>790</v>
      </c>
      <c r="E481" s="304"/>
      <c r="F481" s="304" t="s">
        <v>613</v>
      </c>
      <c r="G481" s="304"/>
      <c r="H481" s="338" t="s">
        <v>243</v>
      </c>
      <c r="I481" s="336"/>
      <c r="J481" s="305" t="s">
        <v>33</v>
      </c>
      <c r="K48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81" s="306" t="s">
        <v>424</v>
      </c>
      <c r="M481" s="306">
        <v>150</v>
      </c>
      <c r="N481" s="303">
        <v>0.47</v>
      </c>
      <c r="O481" s="307">
        <f>IFERROR(_xlfn.LET(_xlpm.boxType, J481, _xlpm.tallos, M481, _xlpm.cost, N481, _xlpm.precio, P481,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P481" s="323">
        <v>1.49</v>
      </c>
      <c r="Q481" s="303" t="s">
        <v>726</v>
      </c>
      <c r="R48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81" s="303">
        <v>0.47</v>
      </c>
      <c r="T48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U481" s="301">
        <v>0.82</v>
      </c>
    </row>
    <row r="482" spans="1:21" ht="15.75" thickBot="1" x14ac:dyDescent="0.3">
      <c r="A482" s="315" t="s">
        <v>156</v>
      </c>
      <c r="B482" s="316">
        <f>_xlfn.XLOOKUP(Catalogo[[#This Row],[Finca]], Fincas[Nombre], Fincas[ID])</f>
        <v>61</v>
      </c>
      <c r="C482" s="315" t="s">
        <v>709</v>
      </c>
      <c r="D482" s="315" t="s">
        <v>790</v>
      </c>
      <c r="E482" s="315"/>
      <c r="F482" s="315" t="s">
        <v>613</v>
      </c>
      <c r="G482" s="315"/>
      <c r="H482" s="344" t="s">
        <v>244</v>
      </c>
      <c r="I482" s="337"/>
      <c r="J482" s="316" t="s">
        <v>33</v>
      </c>
      <c r="K48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82" s="317" t="s">
        <v>424</v>
      </c>
      <c r="M482" s="317">
        <v>120</v>
      </c>
      <c r="N482" s="319">
        <v>0.47</v>
      </c>
      <c r="O482" s="318">
        <f>IFERROR(_xlfn.LET(_xlpm.boxType, J482, _xlpm.tallos, M482, _xlpm.cost, N482, _xlpm.precio, P482,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P482" s="324">
        <v>1.59</v>
      </c>
      <c r="Q482" s="319" t="s">
        <v>726</v>
      </c>
      <c r="R48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82" s="319">
        <v>0.47</v>
      </c>
      <c r="T48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U482" s="321">
        <v>0.92</v>
      </c>
    </row>
    <row r="483" spans="1:21" x14ac:dyDescent="0.25">
      <c r="A483" s="308" t="s">
        <v>156</v>
      </c>
      <c r="B483" s="309">
        <f>_xlfn.XLOOKUP(Catalogo[[#This Row],[Finca]], Fincas[Nombre], Fincas[ID])</f>
        <v>61</v>
      </c>
      <c r="C483" s="308" t="s">
        <v>709</v>
      </c>
      <c r="D483" s="308" t="s">
        <v>791</v>
      </c>
      <c r="E483" s="308"/>
      <c r="F483" s="308" t="s">
        <v>627</v>
      </c>
      <c r="G483" s="308"/>
      <c r="H483" s="343" t="s">
        <v>243</v>
      </c>
      <c r="I483" s="335"/>
      <c r="J483" s="309" t="s">
        <v>32</v>
      </c>
      <c r="K483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83" s="310" t="s">
        <v>423</v>
      </c>
      <c r="M483" s="310">
        <v>100</v>
      </c>
      <c r="N483" s="312">
        <v>0.47</v>
      </c>
      <c r="O483" s="311">
        <f>IFERROR(_xlfn.LET(_xlpm.boxType, J483, _xlpm.tallos, M483, _xlpm.cost, N483, _xlpm.precio, P483,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P483" s="322">
        <v>1.49</v>
      </c>
      <c r="Q483" s="312" t="s">
        <v>725</v>
      </c>
      <c r="R483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83" s="312">
        <v>0.47</v>
      </c>
      <c r="T483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U483" s="314">
        <v>0.82</v>
      </c>
    </row>
    <row r="484" spans="1:21" x14ac:dyDescent="0.25">
      <c r="A484" s="304" t="s">
        <v>156</v>
      </c>
      <c r="B484" s="305">
        <f>_xlfn.XLOOKUP(Catalogo[[#This Row],[Finca]], Fincas[Nombre], Fincas[ID])</f>
        <v>61</v>
      </c>
      <c r="C484" s="304" t="s">
        <v>709</v>
      </c>
      <c r="D484" s="304" t="s">
        <v>791</v>
      </c>
      <c r="E484" s="304"/>
      <c r="F484" s="304" t="s">
        <v>627</v>
      </c>
      <c r="G484" s="304"/>
      <c r="H484" s="338" t="s">
        <v>244</v>
      </c>
      <c r="I484" s="336"/>
      <c r="J484" s="305" t="s">
        <v>32</v>
      </c>
      <c r="K484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84" s="306" t="s">
        <v>423</v>
      </c>
      <c r="M484" s="306">
        <v>60</v>
      </c>
      <c r="N484" s="303">
        <v>0.47</v>
      </c>
      <c r="O484" s="307">
        <f>IFERROR(_xlfn.LET(_xlpm.boxType, J484, _xlpm.tallos, M484, _xlpm.cost, N484, _xlpm.precio, P484,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P484" s="323">
        <v>1.59</v>
      </c>
      <c r="Q484" s="303" t="s">
        <v>725</v>
      </c>
      <c r="R484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84" s="303">
        <v>0.47</v>
      </c>
      <c r="T48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U484" s="301">
        <v>0.92</v>
      </c>
    </row>
    <row r="485" spans="1:21" x14ac:dyDescent="0.25">
      <c r="A485" s="304" t="s">
        <v>156</v>
      </c>
      <c r="B485" s="305">
        <f>_xlfn.XLOOKUP(Catalogo[[#This Row],[Finca]], Fincas[Nombre], Fincas[ID])</f>
        <v>61</v>
      </c>
      <c r="C485" s="304" t="s">
        <v>709</v>
      </c>
      <c r="D485" s="304" t="s">
        <v>791</v>
      </c>
      <c r="E485" s="304"/>
      <c r="F485" s="304" t="s">
        <v>627</v>
      </c>
      <c r="G485" s="304"/>
      <c r="H485" s="338" t="s">
        <v>243</v>
      </c>
      <c r="I485" s="336"/>
      <c r="J485" s="305" t="s">
        <v>33</v>
      </c>
      <c r="K48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85" s="306" t="s">
        <v>424</v>
      </c>
      <c r="M485" s="306">
        <v>150</v>
      </c>
      <c r="N485" s="303">
        <v>0.47</v>
      </c>
      <c r="O485" s="307">
        <f>IFERROR(_xlfn.LET(_xlpm.boxType, J485, _xlpm.tallos, M485, _xlpm.cost, N485, _xlpm.precio, P485,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P485" s="323">
        <v>1.49</v>
      </c>
      <c r="Q485" s="303" t="s">
        <v>726</v>
      </c>
      <c r="R48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85" s="303">
        <v>0.47</v>
      </c>
      <c r="T48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U485" s="301">
        <v>0.82</v>
      </c>
    </row>
    <row r="486" spans="1:21" ht="15.75" thickBot="1" x14ac:dyDescent="0.3">
      <c r="A486" s="315" t="s">
        <v>156</v>
      </c>
      <c r="B486" s="316">
        <f>_xlfn.XLOOKUP(Catalogo[[#This Row],[Finca]], Fincas[Nombre], Fincas[ID])</f>
        <v>61</v>
      </c>
      <c r="C486" s="315" t="s">
        <v>709</v>
      </c>
      <c r="D486" s="315" t="s">
        <v>791</v>
      </c>
      <c r="E486" s="315"/>
      <c r="F486" s="315" t="s">
        <v>627</v>
      </c>
      <c r="G486" s="315"/>
      <c r="H486" s="344" t="s">
        <v>244</v>
      </c>
      <c r="I486" s="337"/>
      <c r="J486" s="316" t="s">
        <v>33</v>
      </c>
      <c r="K48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86" s="317" t="s">
        <v>424</v>
      </c>
      <c r="M486" s="317">
        <v>120</v>
      </c>
      <c r="N486" s="319">
        <v>0.47</v>
      </c>
      <c r="O486" s="318">
        <f>IFERROR(_xlfn.LET(_xlpm.boxType, J486, _xlpm.tallos, M486, _xlpm.cost, N486, _xlpm.precio, P486,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P486" s="324">
        <v>1.59</v>
      </c>
      <c r="Q486" s="319" t="s">
        <v>726</v>
      </c>
      <c r="R48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86" s="319">
        <v>0.47</v>
      </c>
      <c r="T48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U486" s="321">
        <v>0.92</v>
      </c>
    </row>
    <row r="487" spans="1:21" x14ac:dyDescent="0.25">
      <c r="A487" s="308" t="s">
        <v>156</v>
      </c>
      <c r="B487" s="309">
        <f>_xlfn.XLOOKUP(Catalogo[[#This Row],[Finca]], Fincas[Nombre], Fincas[ID])</f>
        <v>61</v>
      </c>
      <c r="C487" s="308" t="s">
        <v>709</v>
      </c>
      <c r="D487" s="308" t="s">
        <v>792</v>
      </c>
      <c r="E487" s="308"/>
      <c r="F487" s="308" t="s">
        <v>614</v>
      </c>
      <c r="G487" s="308"/>
      <c r="H487" s="343" t="s">
        <v>243</v>
      </c>
      <c r="I487" s="335"/>
      <c r="J487" s="309" t="s">
        <v>32</v>
      </c>
      <c r="K487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87" s="310" t="s">
        <v>423</v>
      </c>
      <c r="M487" s="310">
        <v>100</v>
      </c>
      <c r="N487" s="312">
        <v>0.47</v>
      </c>
      <c r="O487" s="311">
        <f>IFERROR(_xlfn.LET(_xlpm.boxType, J487, _xlpm.tallos, M487, _xlpm.cost, N487, _xlpm.precio, P487,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P487" s="322">
        <v>1.49</v>
      </c>
      <c r="Q487" s="312" t="s">
        <v>725</v>
      </c>
      <c r="R487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87" s="312">
        <v>0.47</v>
      </c>
      <c r="T487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U487" s="314">
        <v>0.82</v>
      </c>
    </row>
    <row r="488" spans="1:21" x14ac:dyDescent="0.25">
      <c r="A488" s="304" t="s">
        <v>156</v>
      </c>
      <c r="B488" s="305">
        <f>_xlfn.XLOOKUP(Catalogo[[#This Row],[Finca]], Fincas[Nombre], Fincas[ID])</f>
        <v>61</v>
      </c>
      <c r="C488" s="304" t="s">
        <v>709</v>
      </c>
      <c r="D488" s="304" t="s">
        <v>792</v>
      </c>
      <c r="E488" s="304"/>
      <c r="F488" s="304" t="s">
        <v>614</v>
      </c>
      <c r="G488" s="304"/>
      <c r="H488" s="338" t="s">
        <v>244</v>
      </c>
      <c r="I488" s="336"/>
      <c r="J488" s="305" t="s">
        <v>32</v>
      </c>
      <c r="K48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88" s="306" t="s">
        <v>423</v>
      </c>
      <c r="M488" s="306">
        <v>60</v>
      </c>
      <c r="N488" s="303">
        <v>0.47</v>
      </c>
      <c r="O488" s="307">
        <f>IFERROR(_xlfn.LET(_xlpm.boxType, J488, _xlpm.tallos, M488, _xlpm.cost, N488, _xlpm.precio, P488,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P488" s="323">
        <v>1.59</v>
      </c>
      <c r="Q488" s="303" t="s">
        <v>725</v>
      </c>
      <c r="R48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88" s="303">
        <v>0.47</v>
      </c>
      <c r="T48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U488" s="301">
        <v>0.92</v>
      </c>
    </row>
    <row r="489" spans="1:21" x14ac:dyDescent="0.25">
      <c r="A489" s="304" t="s">
        <v>156</v>
      </c>
      <c r="B489" s="305">
        <f>_xlfn.XLOOKUP(Catalogo[[#This Row],[Finca]], Fincas[Nombre], Fincas[ID])</f>
        <v>61</v>
      </c>
      <c r="C489" s="304" t="s">
        <v>709</v>
      </c>
      <c r="D489" s="304" t="s">
        <v>792</v>
      </c>
      <c r="E489" s="304"/>
      <c r="F489" s="304" t="s">
        <v>614</v>
      </c>
      <c r="G489" s="304"/>
      <c r="H489" s="338" t="s">
        <v>243</v>
      </c>
      <c r="I489" s="336"/>
      <c r="J489" s="305" t="s">
        <v>33</v>
      </c>
      <c r="K48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89" s="306" t="s">
        <v>424</v>
      </c>
      <c r="M489" s="306">
        <v>150</v>
      </c>
      <c r="N489" s="303">
        <v>0.47</v>
      </c>
      <c r="O489" s="307">
        <f>IFERROR(_xlfn.LET(_xlpm.boxType, J489, _xlpm.tallos, M489, _xlpm.cost, N489, _xlpm.precio, P489,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P489" s="323">
        <v>1.49</v>
      </c>
      <c r="Q489" s="303" t="s">
        <v>726</v>
      </c>
      <c r="R48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89" s="303">
        <v>0.47</v>
      </c>
      <c r="T48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U489" s="301">
        <v>0.82</v>
      </c>
    </row>
    <row r="490" spans="1:21" ht="15.75" thickBot="1" x14ac:dyDescent="0.3">
      <c r="A490" s="315" t="s">
        <v>156</v>
      </c>
      <c r="B490" s="316">
        <f>_xlfn.XLOOKUP(Catalogo[[#This Row],[Finca]], Fincas[Nombre], Fincas[ID])</f>
        <v>61</v>
      </c>
      <c r="C490" s="315" t="s">
        <v>709</v>
      </c>
      <c r="D490" s="315" t="s">
        <v>792</v>
      </c>
      <c r="E490" s="315"/>
      <c r="F490" s="315" t="s">
        <v>614</v>
      </c>
      <c r="G490" s="315"/>
      <c r="H490" s="344" t="s">
        <v>244</v>
      </c>
      <c r="I490" s="337"/>
      <c r="J490" s="316" t="s">
        <v>33</v>
      </c>
      <c r="K490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90" s="317" t="s">
        <v>424</v>
      </c>
      <c r="M490" s="317">
        <v>120</v>
      </c>
      <c r="N490" s="319">
        <v>0.47</v>
      </c>
      <c r="O490" s="318">
        <f>IFERROR(_xlfn.LET(_xlpm.boxType, J490, _xlpm.tallos, M490, _xlpm.cost, N490, _xlpm.precio, P490,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P490" s="324">
        <v>1.59</v>
      </c>
      <c r="Q490" s="319" t="s">
        <v>726</v>
      </c>
      <c r="R490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90" s="319">
        <v>0.47</v>
      </c>
      <c r="T490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U490" s="321">
        <v>0.92</v>
      </c>
    </row>
    <row r="491" spans="1:21" x14ac:dyDescent="0.25">
      <c r="A491" s="308" t="s">
        <v>156</v>
      </c>
      <c r="B491" s="309">
        <f>_xlfn.XLOOKUP(Catalogo[[#This Row],[Finca]], Fincas[Nombre], Fincas[ID])</f>
        <v>61</v>
      </c>
      <c r="C491" s="308" t="s">
        <v>709</v>
      </c>
      <c r="D491" s="308" t="s">
        <v>793</v>
      </c>
      <c r="E491" s="308"/>
      <c r="F491" s="308" t="s">
        <v>179</v>
      </c>
      <c r="G491" s="308"/>
      <c r="H491" s="343" t="s">
        <v>243</v>
      </c>
      <c r="I491" s="335"/>
      <c r="J491" s="309" t="s">
        <v>32</v>
      </c>
      <c r="K491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91" s="310" t="s">
        <v>423</v>
      </c>
      <c r="M491" s="310">
        <v>100</v>
      </c>
      <c r="N491" s="312">
        <v>0.47</v>
      </c>
      <c r="O491" s="311">
        <f>IFERROR(_xlfn.LET(_xlpm.boxType, J491, _xlpm.tallos, M491, _xlpm.cost, N491, _xlpm.precio, P491,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P491" s="322">
        <v>1.49</v>
      </c>
      <c r="Q491" s="312" t="s">
        <v>725</v>
      </c>
      <c r="R491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91" s="312">
        <v>0.47</v>
      </c>
      <c r="T491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U491" s="314">
        <v>0.82</v>
      </c>
    </row>
    <row r="492" spans="1:21" x14ac:dyDescent="0.25">
      <c r="A492" s="304" t="s">
        <v>156</v>
      </c>
      <c r="B492" s="305">
        <f>_xlfn.XLOOKUP(Catalogo[[#This Row],[Finca]], Fincas[Nombre], Fincas[ID])</f>
        <v>61</v>
      </c>
      <c r="C492" s="304" t="s">
        <v>709</v>
      </c>
      <c r="D492" s="304" t="s">
        <v>793</v>
      </c>
      <c r="E492" s="304"/>
      <c r="F492" s="304" t="s">
        <v>179</v>
      </c>
      <c r="G492" s="304"/>
      <c r="H492" s="338" t="s">
        <v>244</v>
      </c>
      <c r="I492" s="336"/>
      <c r="J492" s="305" t="s">
        <v>32</v>
      </c>
      <c r="K492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92" s="306" t="s">
        <v>423</v>
      </c>
      <c r="M492" s="306">
        <v>60</v>
      </c>
      <c r="N492" s="303">
        <v>0.47</v>
      </c>
      <c r="O492" s="307">
        <f>IFERROR(_xlfn.LET(_xlpm.boxType, J492, _xlpm.tallos, M492, _xlpm.cost, N492, _xlpm.precio, P492,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P492" s="323">
        <v>1.59</v>
      </c>
      <c r="Q492" s="303" t="s">
        <v>725</v>
      </c>
      <c r="R492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92" s="303">
        <v>0.47</v>
      </c>
      <c r="T49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U492" s="301">
        <v>0.92</v>
      </c>
    </row>
    <row r="493" spans="1:21" x14ac:dyDescent="0.25">
      <c r="A493" s="304" t="s">
        <v>156</v>
      </c>
      <c r="B493" s="305">
        <f>_xlfn.XLOOKUP(Catalogo[[#This Row],[Finca]], Fincas[Nombre], Fincas[ID])</f>
        <v>61</v>
      </c>
      <c r="C493" s="304" t="s">
        <v>709</v>
      </c>
      <c r="D493" s="304" t="s">
        <v>793</v>
      </c>
      <c r="E493" s="304"/>
      <c r="F493" s="304" t="s">
        <v>179</v>
      </c>
      <c r="G493" s="304"/>
      <c r="H493" s="338" t="s">
        <v>243</v>
      </c>
      <c r="I493" s="336"/>
      <c r="J493" s="305" t="s">
        <v>33</v>
      </c>
      <c r="K49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93" s="306" t="s">
        <v>424</v>
      </c>
      <c r="M493" s="306">
        <v>150</v>
      </c>
      <c r="N493" s="303">
        <v>0.47</v>
      </c>
      <c r="O493" s="307">
        <f>IFERROR(_xlfn.LET(_xlpm.boxType, J493, _xlpm.tallos, M493, _xlpm.cost, N493, _xlpm.precio, P493,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P493" s="323">
        <v>1.49</v>
      </c>
      <c r="Q493" s="303" t="s">
        <v>726</v>
      </c>
      <c r="R49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93" s="303">
        <v>0.47</v>
      </c>
      <c r="T49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U493" s="301">
        <v>0.82</v>
      </c>
    </row>
    <row r="494" spans="1:21" ht="15.75" thickBot="1" x14ac:dyDescent="0.3">
      <c r="A494" s="315" t="s">
        <v>156</v>
      </c>
      <c r="B494" s="316">
        <f>_xlfn.XLOOKUP(Catalogo[[#This Row],[Finca]], Fincas[Nombre], Fincas[ID])</f>
        <v>61</v>
      </c>
      <c r="C494" s="315" t="s">
        <v>709</v>
      </c>
      <c r="D494" s="315" t="s">
        <v>793</v>
      </c>
      <c r="E494" s="315"/>
      <c r="F494" s="315" t="s">
        <v>179</v>
      </c>
      <c r="G494" s="315"/>
      <c r="H494" s="344" t="s">
        <v>244</v>
      </c>
      <c r="I494" s="337"/>
      <c r="J494" s="316" t="s">
        <v>33</v>
      </c>
      <c r="K494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94" s="317" t="s">
        <v>424</v>
      </c>
      <c r="M494" s="317">
        <v>120</v>
      </c>
      <c r="N494" s="319">
        <v>0.47</v>
      </c>
      <c r="O494" s="318">
        <f>IFERROR(_xlfn.LET(_xlpm.boxType, J494, _xlpm.tallos, M494, _xlpm.cost, N494, _xlpm.precio, P494,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P494" s="324">
        <v>1.59</v>
      </c>
      <c r="Q494" s="319" t="s">
        <v>726</v>
      </c>
      <c r="R494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94" s="319">
        <v>0.47</v>
      </c>
      <c r="T494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U494" s="321">
        <v>0.92</v>
      </c>
    </row>
    <row r="495" spans="1:21" x14ac:dyDescent="0.25">
      <c r="A495" s="308" t="s">
        <v>156</v>
      </c>
      <c r="B495" s="309">
        <f>_xlfn.XLOOKUP(Catalogo[[#This Row],[Finca]], Fincas[Nombre], Fincas[ID])</f>
        <v>61</v>
      </c>
      <c r="C495" s="308" t="s">
        <v>709</v>
      </c>
      <c r="D495" s="308" t="s">
        <v>794</v>
      </c>
      <c r="E495" s="308"/>
      <c r="F495" s="308" t="s">
        <v>616</v>
      </c>
      <c r="G495" s="308"/>
      <c r="H495" s="343" t="s">
        <v>243</v>
      </c>
      <c r="I495" s="335"/>
      <c r="J495" s="309" t="s">
        <v>32</v>
      </c>
      <c r="K495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95" s="310" t="s">
        <v>423</v>
      </c>
      <c r="M495" s="310">
        <v>100</v>
      </c>
      <c r="N495" s="312">
        <v>0.47</v>
      </c>
      <c r="O495" s="311">
        <f>IFERROR(_xlfn.LET(_xlpm.boxType, J495, _xlpm.tallos, M495, _xlpm.cost, N495, _xlpm.precio, P495,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P495" s="322">
        <v>1.49</v>
      </c>
      <c r="Q495" s="312" t="s">
        <v>725</v>
      </c>
      <c r="R495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95" s="312">
        <v>0.47</v>
      </c>
      <c r="T495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U495" s="314">
        <v>0.82</v>
      </c>
    </row>
    <row r="496" spans="1:21" x14ac:dyDescent="0.25">
      <c r="A496" s="304" t="s">
        <v>156</v>
      </c>
      <c r="B496" s="305">
        <f>_xlfn.XLOOKUP(Catalogo[[#This Row],[Finca]], Fincas[Nombre], Fincas[ID])</f>
        <v>61</v>
      </c>
      <c r="C496" s="304" t="s">
        <v>709</v>
      </c>
      <c r="D496" s="304" t="s">
        <v>794</v>
      </c>
      <c r="E496" s="304"/>
      <c r="F496" s="304" t="s">
        <v>616</v>
      </c>
      <c r="G496" s="304"/>
      <c r="H496" s="338" t="s">
        <v>244</v>
      </c>
      <c r="I496" s="336"/>
      <c r="J496" s="305" t="s">
        <v>32</v>
      </c>
      <c r="K49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96" s="306" t="s">
        <v>423</v>
      </c>
      <c r="M496" s="306">
        <v>60</v>
      </c>
      <c r="N496" s="303">
        <v>0.47</v>
      </c>
      <c r="O496" s="307">
        <f>IFERROR(_xlfn.LET(_xlpm.boxType, J496, _xlpm.tallos, M496, _xlpm.cost, N496, _xlpm.precio, P496,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P496" s="323">
        <v>1.59</v>
      </c>
      <c r="Q496" s="303" t="s">
        <v>725</v>
      </c>
      <c r="R49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96" s="303">
        <v>0.47</v>
      </c>
      <c r="T49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U496" s="301">
        <v>0.92</v>
      </c>
    </row>
    <row r="497" spans="1:21" x14ac:dyDescent="0.25">
      <c r="A497" s="304" t="s">
        <v>156</v>
      </c>
      <c r="B497" s="305">
        <f>_xlfn.XLOOKUP(Catalogo[[#This Row],[Finca]], Fincas[Nombre], Fincas[ID])</f>
        <v>61</v>
      </c>
      <c r="C497" s="304" t="s">
        <v>709</v>
      </c>
      <c r="D497" s="304" t="s">
        <v>794</v>
      </c>
      <c r="E497" s="304"/>
      <c r="F497" s="304" t="s">
        <v>616</v>
      </c>
      <c r="G497" s="304"/>
      <c r="H497" s="338" t="s">
        <v>243</v>
      </c>
      <c r="I497" s="336"/>
      <c r="J497" s="305" t="s">
        <v>33</v>
      </c>
      <c r="K49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97" s="306" t="s">
        <v>424</v>
      </c>
      <c r="M497" s="306">
        <v>150</v>
      </c>
      <c r="N497" s="303">
        <v>0.47</v>
      </c>
      <c r="O497" s="307">
        <f>IFERROR(_xlfn.LET(_xlpm.boxType, J497, _xlpm.tallos, M497, _xlpm.cost, N497, _xlpm.precio, P497,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P497" s="323">
        <v>1.49</v>
      </c>
      <c r="Q497" s="303" t="s">
        <v>726</v>
      </c>
      <c r="R49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97" s="303">
        <v>0.47</v>
      </c>
      <c r="T49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U497" s="301">
        <v>0.82</v>
      </c>
    </row>
    <row r="498" spans="1:21" ht="15.75" thickBot="1" x14ac:dyDescent="0.3">
      <c r="A498" s="315" t="s">
        <v>156</v>
      </c>
      <c r="B498" s="316">
        <f>_xlfn.XLOOKUP(Catalogo[[#This Row],[Finca]], Fincas[Nombre], Fincas[ID])</f>
        <v>61</v>
      </c>
      <c r="C498" s="315" t="s">
        <v>709</v>
      </c>
      <c r="D498" s="315" t="s">
        <v>794</v>
      </c>
      <c r="E498" s="315"/>
      <c r="F498" s="315" t="s">
        <v>616</v>
      </c>
      <c r="G498" s="315"/>
      <c r="H498" s="344" t="s">
        <v>244</v>
      </c>
      <c r="I498" s="337"/>
      <c r="J498" s="316" t="s">
        <v>33</v>
      </c>
      <c r="K498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98" s="317" t="s">
        <v>424</v>
      </c>
      <c r="M498" s="317">
        <v>120</v>
      </c>
      <c r="N498" s="319">
        <v>0.47</v>
      </c>
      <c r="O498" s="318">
        <f>IFERROR(_xlfn.LET(_xlpm.boxType, J498, _xlpm.tallos, M498, _xlpm.cost, N498, _xlpm.precio, P498,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P498" s="324">
        <v>1.59</v>
      </c>
      <c r="Q498" s="319" t="s">
        <v>726</v>
      </c>
      <c r="R498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98" s="319">
        <v>0.47</v>
      </c>
      <c r="T498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U498" s="321">
        <v>0.92</v>
      </c>
    </row>
    <row r="499" spans="1:21" x14ac:dyDescent="0.25">
      <c r="A499" s="308" t="s">
        <v>156</v>
      </c>
      <c r="B499" s="309">
        <f>_xlfn.XLOOKUP(Catalogo[[#This Row],[Finca]], Fincas[Nombre], Fincas[ID])</f>
        <v>61</v>
      </c>
      <c r="C499" s="308" t="s">
        <v>709</v>
      </c>
      <c r="D499" s="308" t="s">
        <v>800</v>
      </c>
      <c r="E499" s="308"/>
      <c r="F499" s="308" t="s">
        <v>618</v>
      </c>
      <c r="G499" s="308"/>
      <c r="H499" s="343" t="s">
        <v>243</v>
      </c>
      <c r="I499" s="335"/>
      <c r="J499" s="309" t="s">
        <v>32</v>
      </c>
      <c r="K499" s="310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499" s="310" t="s">
        <v>423</v>
      </c>
      <c r="M499" s="310">
        <v>100</v>
      </c>
      <c r="N499" s="312">
        <v>0.47</v>
      </c>
      <c r="O499" s="311">
        <f>IFERROR(_xlfn.LET(_xlpm.boxType, J499, _xlpm.tallos, M499, _xlpm.cost, N499, _xlpm.precio, P499,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P499" s="322">
        <v>1.49</v>
      </c>
      <c r="Q499" s="312" t="s">
        <v>725</v>
      </c>
      <c r="R499" s="312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499" s="312">
        <v>0.47</v>
      </c>
      <c r="T499" s="31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U499" s="314">
        <v>0.82</v>
      </c>
    </row>
    <row r="500" spans="1:21" x14ac:dyDescent="0.25">
      <c r="A500" s="304" t="s">
        <v>156</v>
      </c>
      <c r="B500" s="305">
        <f>_xlfn.XLOOKUP(Catalogo[[#This Row],[Finca]], Fincas[Nombre], Fincas[ID])</f>
        <v>61</v>
      </c>
      <c r="C500" s="304" t="s">
        <v>709</v>
      </c>
      <c r="D500" s="304" t="s">
        <v>800</v>
      </c>
      <c r="E500" s="304"/>
      <c r="F500" s="304" t="s">
        <v>618</v>
      </c>
      <c r="G500" s="304"/>
      <c r="H500" s="338" t="s">
        <v>244</v>
      </c>
      <c r="I500" s="336"/>
      <c r="J500" s="305" t="s">
        <v>32</v>
      </c>
      <c r="K500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00" s="306" t="s">
        <v>423</v>
      </c>
      <c r="M500" s="306">
        <v>60</v>
      </c>
      <c r="N500" s="303">
        <v>0.47</v>
      </c>
      <c r="O500" s="307">
        <f>IFERROR(_xlfn.LET(_xlpm.boxType, J500, _xlpm.tallos, M500, _xlpm.cost, N500, _xlpm.precio, P500,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P500" s="323">
        <v>1.59</v>
      </c>
      <c r="Q500" s="303" t="s">
        <v>725</v>
      </c>
      <c r="R500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00" s="303">
        <v>0.47</v>
      </c>
      <c r="T50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U500" s="301">
        <v>0.92</v>
      </c>
    </row>
    <row r="501" spans="1:21" x14ac:dyDescent="0.25">
      <c r="A501" s="304" t="s">
        <v>156</v>
      </c>
      <c r="B501" s="305">
        <f>_xlfn.XLOOKUP(Catalogo[[#This Row],[Finca]], Fincas[Nombre], Fincas[ID])</f>
        <v>61</v>
      </c>
      <c r="C501" s="304" t="s">
        <v>709</v>
      </c>
      <c r="D501" s="304" t="s">
        <v>800</v>
      </c>
      <c r="E501" s="304"/>
      <c r="F501" s="304" t="s">
        <v>618</v>
      </c>
      <c r="G501" s="304"/>
      <c r="H501" s="338" t="s">
        <v>243</v>
      </c>
      <c r="I501" s="336"/>
      <c r="J501" s="305" t="s">
        <v>33</v>
      </c>
      <c r="K50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01" s="306" t="s">
        <v>424</v>
      </c>
      <c r="M501" s="306">
        <v>150</v>
      </c>
      <c r="N501" s="303">
        <v>0.47</v>
      </c>
      <c r="O501" s="307">
        <f>IFERROR(_xlfn.LET(_xlpm.boxType, J501, _xlpm.tallos, M501, _xlpm.cost, N501, _xlpm.precio, P501,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P501" s="323">
        <v>1.49</v>
      </c>
      <c r="Q501" s="303" t="s">
        <v>726</v>
      </c>
      <c r="R50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01" s="303">
        <v>0.47</v>
      </c>
      <c r="T50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U501" s="301">
        <v>0.82</v>
      </c>
    </row>
    <row r="502" spans="1:21" ht="15.75" thickBot="1" x14ac:dyDescent="0.3">
      <c r="A502" s="315" t="s">
        <v>156</v>
      </c>
      <c r="B502" s="316">
        <f>_xlfn.XLOOKUP(Catalogo[[#This Row],[Finca]], Fincas[Nombre], Fincas[ID])</f>
        <v>61</v>
      </c>
      <c r="C502" s="315" t="s">
        <v>709</v>
      </c>
      <c r="D502" s="315" t="s">
        <v>800</v>
      </c>
      <c r="E502" s="315"/>
      <c r="F502" s="315" t="s">
        <v>618</v>
      </c>
      <c r="G502" s="315"/>
      <c r="H502" s="344" t="s">
        <v>244</v>
      </c>
      <c r="I502" s="337"/>
      <c r="J502" s="316" t="s">
        <v>33</v>
      </c>
      <c r="K50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02" s="317" t="s">
        <v>424</v>
      </c>
      <c r="M502" s="317">
        <v>120</v>
      </c>
      <c r="N502" s="319">
        <v>0.47</v>
      </c>
      <c r="O502" s="318">
        <f>IFERROR(_xlfn.LET(_xlpm.boxType, J502, _xlpm.tallos, M502, _xlpm.cost, N502, _xlpm.precio, P502,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P502" s="324">
        <v>1.59</v>
      </c>
      <c r="Q502" s="319" t="s">
        <v>726</v>
      </c>
      <c r="R50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02" s="319">
        <v>0.47</v>
      </c>
      <c r="T50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U502" s="321">
        <v>0.92</v>
      </c>
    </row>
    <row r="503" spans="1:21" x14ac:dyDescent="0.25">
      <c r="A503" s="304" t="s">
        <v>156</v>
      </c>
      <c r="B503" s="305">
        <f>_xlfn.XLOOKUP(Catalogo[[#This Row],[Finca]], Fincas[Nombre], Fincas[ID])</f>
        <v>61</v>
      </c>
      <c r="C503" s="304" t="s">
        <v>709</v>
      </c>
      <c r="D503" s="304" t="s">
        <v>795</v>
      </c>
      <c r="E503" s="304"/>
      <c r="F503" s="304" t="s">
        <v>613</v>
      </c>
      <c r="G503" s="304"/>
      <c r="H503" s="338" t="s">
        <v>244</v>
      </c>
      <c r="I503" s="336"/>
      <c r="J503" s="305" t="s">
        <v>32</v>
      </c>
      <c r="K50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03" s="306" t="s">
        <v>423</v>
      </c>
      <c r="M503" s="306">
        <v>50</v>
      </c>
      <c r="N503" s="303">
        <v>0.73</v>
      </c>
      <c r="O503" s="307">
        <f>IFERROR(_xlfn.LET(_xlpm.boxType, J503, _xlpm.tallos, M503, _xlpm.cost, N503, _xlpm.precio, P503,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P503" s="323">
        <v>2.19</v>
      </c>
      <c r="Q503" s="303" t="s">
        <v>725</v>
      </c>
      <c r="R50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03" s="303">
        <v>0.47</v>
      </c>
      <c r="T50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U503" s="301">
        <v>1.0900000000000001</v>
      </c>
    </row>
    <row r="504" spans="1:21" ht="15.75" thickBot="1" x14ac:dyDescent="0.3">
      <c r="A504" s="315" t="s">
        <v>156</v>
      </c>
      <c r="B504" s="316">
        <f>_xlfn.XLOOKUP(Catalogo[[#This Row],[Finca]], Fincas[Nombre], Fincas[ID])</f>
        <v>61</v>
      </c>
      <c r="C504" s="315" t="s">
        <v>709</v>
      </c>
      <c r="D504" s="315" t="s">
        <v>795</v>
      </c>
      <c r="E504" s="315"/>
      <c r="F504" s="315" t="s">
        <v>613</v>
      </c>
      <c r="G504" s="315"/>
      <c r="H504" s="344" t="s">
        <v>244</v>
      </c>
      <c r="I504" s="337"/>
      <c r="J504" s="316" t="s">
        <v>33</v>
      </c>
      <c r="K504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04" s="317" t="s">
        <v>424</v>
      </c>
      <c r="M504" s="317">
        <v>100</v>
      </c>
      <c r="N504" s="319">
        <v>0.73</v>
      </c>
      <c r="O504" s="318">
        <f>IFERROR(_xlfn.LET(_xlpm.boxType, J504, _xlpm.tallos, M504, _xlpm.cost, N504, _xlpm.precio, P504,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P504" s="324">
        <v>2.09</v>
      </c>
      <c r="Q504" s="319" t="s">
        <v>726</v>
      </c>
      <c r="R504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04" s="319">
        <v>0.47</v>
      </c>
      <c r="T504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U504" s="321">
        <v>1.0900000000000001</v>
      </c>
    </row>
    <row r="505" spans="1:21" x14ac:dyDescent="0.25">
      <c r="A505" s="304" t="s">
        <v>156</v>
      </c>
      <c r="B505" s="305">
        <f>_xlfn.XLOOKUP(Catalogo[[#This Row],[Finca]], Fincas[Nombre], Fincas[ID])</f>
        <v>61</v>
      </c>
      <c r="C505" s="304" t="s">
        <v>709</v>
      </c>
      <c r="D505" s="304" t="s">
        <v>796</v>
      </c>
      <c r="E505" s="304"/>
      <c r="F505" s="304" t="s">
        <v>627</v>
      </c>
      <c r="G505" s="304"/>
      <c r="H505" s="338" t="s">
        <v>244</v>
      </c>
      <c r="I505" s="336"/>
      <c r="J505" s="305" t="s">
        <v>32</v>
      </c>
      <c r="K50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05" s="306" t="s">
        <v>423</v>
      </c>
      <c r="M505" s="306">
        <v>50</v>
      </c>
      <c r="N505" s="303">
        <v>0.73</v>
      </c>
      <c r="O505" s="307">
        <f>IFERROR(_xlfn.LET(_xlpm.boxType, J505, _xlpm.tallos, M505, _xlpm.cost, N505, _xlpm.precio, P505,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P505" s="323">
        <v>2.19</v>
      </c>
      <c r="Q505" s="303" t="s">
        <v>725</v>
      </c>
      <c r="R50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05" s="303">
        <v>0.47</v>
      </c>
      <c r="T50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U505" s="301">
        <v>1.0900000000000001</v>
      </c>
    </row>
    <row r="506" spans="1:21" ht="15.75" thickBot="1" x14ac:dyDescent="0.3">
      <c r="A506" s="315" t="s">
        <v>156</v>
      </c>
      <c r="B506" s="316">
        <f>_xlfn.XLOOKUP(Catalogo[[#This Row],[Finca]], Fincas[Nombre], Fincas[ID])</f>
        <v>61</v>
      </c>
      <c r="C506" s="315" t="s">
        <v>709</v>
      </c>
      <c r="D506" s="315" t="s">
        <v>796</v>
      </c>
      <c r="E506" s="315"/>
      <c r="F506" s="315" t="s">
        <v>627</v>
      </c>
      <c r="G506" s="315"/>
      <c r="H506" s="344" t="s">
        <v>244</v>
      </c>
      <c r="I506" s="337"/>
      <c r="J506" s="316" t="s">
        <v>33</v>
      </c>
      <c r="K506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06" s="317" t="s">
        <v>424</v>
      </c>
      <c r="M506" s="317">
        <v>100</v>
      </c>
      <c r="N506" s="319">
        <v>0.73</v>
      </c>
      <c r="O506" s="318">
        <f>IFERROR(_xlfn.LET(_xlpm.boxType, J506, _xlpm.tallos, M506, _xlpm.cost, N506, _xlpm.precio, P506,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P506" s="324">
        <v>2.09</v>
      </c>
      <c r="Q506" s="319" t="s">
        <v>726</v>
      </c>
      <c r="R506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06" s="319">
        <v>0.47</v>
      </c>
      <c r="T506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U506" s="321">
        <v>1.0900000000000001</v>
      </c>
    </row>
    <row r="507" spans="1:21" x14ac:dyDescent="0.25">
      <c r="A507" s="304" t="s">
        <v>156</v>
      </c>
      <c r="B507" s="305">
        <f>_xlfn.XLOOKUP(Catalogo[[#This Row],[Finca]], Fincas[Nombre], Fincas[ID])</f>
        <v>61</v>
      </c>
      <c r="C507" s="304" t="s">
        <v>709</v>
      </c>
      <c r="D507" s="304" t="s">
        <v>797</v>
      </c>
      <c r="E507" s="304"/>
      <c r="F507" s="304" t="s">
        <v>614</v>
      </c>
      <c r="G507" s="304"/>
      <c r="H507" s="338" t="s">
        <v>244</v>
      </c>
      <c r="I507" s="336"/>
      <c r="J507" s="305" t="s">
        <v>32</v>
      </c>
      <c r="K50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07" s="306" t="s">
        <v>423</v>
      </c>
      <c r="M507" s="306">
        <v>50</v>
      </c>
      <c r="N507" s="303">
        <v>0.73</v>
      </c>
      <c r="O507" s="307">
        <f>IFERROR(_xlfn.LET(_xlpm.boxType, J507, _xlpm.tallos, M507, _xlpm.cost, N507, _xlpm.precio, P507,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P507" s="323">
        <v>2.19</v>
      </c>
      <c r="Q507" s="303" t="s">
        <v>725</v>
      </c>
      <c r="R50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07" s="303">
        <v>0.47</v>
      </c>
      <c r="T50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U507" s="301">
        <v>1.0900000000000001</v>
      </c>
    </row>
    <row r="508" spans="1:21" ht="15.75" thickBot="1" x14ac:dyDescent="0.3">
      <c r="A508" s="315" t="s">
        <v>156</v>
      </c>
      <c r="B508" s="316">
        <f>_xlfn.XLOOKUP(Catalogo[[#This Row],[Finca]], Fincas[Nombre], Fincas[ID])</f>
        <v>61</v>
      </c>
      <c r="C508" s="315" t="s">
        <v>709</v>
      </c>
      <c r="D508" s="315" t="s">
        <v>797</v>
      </c>
      <c r="E508" s="315"/>
      <c r="F508" s="315" t="s">
        <v>614</v>
      </c>
      <c r="G508" s="315"/>
      <c r="H508" s="344" t="s">
        <v>244</v>
      </c>
      <c r="I508" s="337"/>
      <c r="J508" s="316" t="s">
        <v>33</v>
      </c>
      <c r="K508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08" s="317" t="s">
        <v>424</v>
      </c>
      <c r="M508" s="317">
        <v>100</v>
      </c>
      <c r="N508" s="319">
        <v>0.73</v>
      </c>
      <c r="O508" s="318">
        <f>IFERROR(_xlfn.LET(_xlpm.boxType, J508, _xlpm.tallos, M508, _xlpm.cost, N508, _xlpm.precio, P508,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P508" s="324">
        <v>2.09</v>
      </c>
      <c r="Q508" s="319" t="s">
        <v>726</v>
      </c>
      <c r="R508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08" s="319">
        <v>0.47</v>
      </c>
      <c r="T508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U508" s="321">
        <v>1.0900000000000001</v>
      </c>
    </row>
    <row r="509" spans="1:21" x14ac:dyDescent="0.25">
      <c r="A509" s="304" t="s">
        <v>156</v>
      </c>
      <c r="B509" s="305">
        <f>_xlfn.XLOOKUP(Catalogo[[#This Row],[Finca]], Fincas[Nombre], Fincas[ID])</f>
        <v>61</v>
      </c>
      <c r="C509" s="304" t="s">
        <v>709</v>
      </c>
      <c r="D509" s="304" t="s">
        <v>798</v>
      </c>
      <c r="E509" s="304"/>
      <c r="F509" s="304" t="s">
        <v>179</v>
      </c>
      <c r="G509" s="304"/>
      <c r="H509" s="338" t="s">
        <v>244</v>
      </c>
      <c r="I509" s="336"/>
      <c r="J509" s="305" t="s">
        <v>32</v>
      </c>
      <c r="K50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09" s="306" t="s">
        <v>423</v>
      </c>
      <c r="M509" s="306">
        <v>50</v>
      </c>
      <c r="N509" s="303">
        <v>0.73</v>
      </c>
      <c r="O509" s="307">
        <f>IFERROR(_xlfn.LET(_xlpm.boxType, J509, _xlpm.tallos, M509, _xlpm.cost, N509, _xlpm.precio, P509,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P509" s="323">
        <v>2.19</v>
      </c>
      <c r="Q509" s="303" t="s">
        <v>725</v>
      </c>
      <c r="R50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09" s="303">
        <v>0.47</v>
      </c>
      <c r="T50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U509" s="301">
        <v>1.0900000000000001</v>
      </c>
    </row>
    <row r="510" spans="1:21" ht="15.75" thickBot="1" x14ac:dyDescent="0.3">
      <c r="A510" s="315" t="s">
        <v>156</v>
      </c>
      <c r="B510" s="316">
        <f>_xlfn.XLOOKUP(Catalogo[[#This Row],[Finca]], Fincas[Nombre], Fincas[ID])</f>
        <v>61</v>
      </c>
      <c r="C510" s="315" t="s">
        <v>709</v>
      </c>
      <c r="D510" s="315" t="s">
        <v>798</v>
      </c>
      <c r="E510" s="315"/>
      <c r="F510" s="315" t="s">
        <v>179</v>
      </c>
      <c r="G510" s="315"/>
      <c r="H510" s="344" t="s">
        <v>244</v>
      </c>
      <c r="I510" s="337"/>
      <c r="J510" s="316" t="s">
        <v>33</v>
      </c>
      <c r="K510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10" s="317" t="s">
        <v>424</v>
      </c>
      <c r="M510" s="317">
        <v>100</v>
      </c>
      <c r="N510" s="319">
        <v>0.73</v>
      </c>
      <c r="O510" s="318">
        <f>IFERROR(_xlfn.LET(_xlpm.boxType, J510, _xlpm.tallos, M510, _xlpm.cost, N510, _xlpm.precio, P510,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P510" s="324">
        <v>2.09</v>
      </c>
      <c r="Q510" s="319" t="s">
        <v>726</v>
      </c>
      <c r="R510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10" s="319">
        <v>0.47</v>
      </c>
      <c r="T510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U510" s="321">
        <v>1.0900000000000001</v>
      </c>
    </row>
    <row r="511" spans="1:21" x14ac:dyDescent="0.25">
      <c r="A511" s="304" t="s">
        <v>156</v>
      </c>
      <c r="B511" s="305">
        <f>_xlfn.XLOOKUP(Catalogo[[#This Row],[Finca]], Fincas[Nombre], Fincas[ID])</f>
        <v>61</v>
      </c>
      <c r="C511" s="304" t="s">
        <v>709</v>
      </c>
      <c r="D511" s="304" t="s">
        <v>799</v>
      </c>
      <c r="E511" s="304"/>
      <c r="F511" s="304" t="s">
        <v>616</v>
      </c>
      <c r="G511" s="304"/>
      <c r="H511" s="338" t="s">
        <v>244</v>
      </c>
      <c r="I511" s="336"/>
      <c r="J511" s="305" t="s">
        <v>32</v>
      </c>
      <c r="K511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11" s="306" t="s">
        <v>423</v>
      </c>
      <c r="M511" s="306">
        <v>50</v>
      </c>
      <c r="N511" s="303">
        <v>0.73</v>
      </c>
      <c r="O511" s="307">
        <f>IFERROR(_xlfn.LET(_xlpm.boxType, J511, _xlpm.tallos, M511, _xlpm.cost, N511, _xlpm.precio, P511,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P511" s="323">
        <v>2.19</v>
      </c>
      <c r="Q511" s="303" t="s">
        <v>725</v>
      </c>
      <c r="R511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11" s="303">
        <v>0.47</v>
      </c>
      <c r="T51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U511" s="301">
        <v>1.0900000000000001</v>
      </c>
    </row>
    <row r="512" spans="1:21" ht="15.75" thickBot="1" x14ac:dyDescent="0.3">
      <c r="A512" s="315" t="s">
        <v>156</v>
      </c>
      <c r="B512" s="316">
        <f>_xlfn.XLOOKUP(Catalogo[[#This Row],[Finca]], Fincas[Nombre], Fincas[ID])</f>
        <v>61</v>
      </c>
      <c r="C512" s="315" t="s">
        <v>709</v>
      </c>
      <c r="D512" s="315" t="s">
        <v>799</v>
      </c>
      <c r="E512" s="315"/>
      <c r="F512" s="315" t="s">
        <v>616</v>
      </c>
      <c r="G512" s="315"/>
      <c r="H512" s="344" t="s">
        <v>244</v>
      </c>
      <c r="I512" s="337"/>
      <c r="J512" s="316" t="s">
        <v>33</v>
      </c>
      <c r="K51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12" s="317" t="s">
        <v>424</v>
      </c>
      <c r="M512" s="317">
        <v>100</v>
      </c>
      <c r="N512" s="319">
        <v>0.73</v>
      </c>
      <c r="O512" s="318">
        <f>IFERROR(_xlfn.LET(_xlpm.boxType, J512, _xlpm.tallos, M512, _xlpm.cost, N512, _xlpm.precio, P512,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P512" s="324">
        <v>2.09</v>
      </c>
      <c r="Q512" s="319" t="s">
        <v>726</v>
      </c>
      <c r="R512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12" s="319">
        <v>0.47</v>
      </c>
      <c r="T512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U512" s="321">
        <v>1.0900000000000001</v>
      </c>
    </row>
    <row r="513" spans="1:21" x14ac:dyDescent="0.25">
      <c r="A513" s="304" t="s">
        <v>156</v>
      </c>
      <c r="B513" s="305">
        <f>_xlfn.XLOOKUP(Catalogo[[#This Row],[Finca]], Fincas[Nombre], Fincas[ID])</f>
        <v>61</v>
      </c>
      <c r="C513" s="304" t="s">
        <v>709</v>
      </c>
      <c r="D513" s="304" t="s">
        <v>798</v>
      </c>
      <c r="E513" s="304"/>
      <c r="F513" s="304" t="s">
        <v>179</v>
      </c>
      <c r="G513" s="304"/>
      <c r="H513" s="338" t="s">
        <v>244</v>
      </c>
      <c r="I513" s="336"/>
      <c r="J513" s="305" t="s">
        <v>32</v>
      </c>
      <c r="K513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13" s="306" t="s">
        <v>423</v>
      </c>
      <c r="M513" s="306">
        <v>50</v>
      </c>
      <c r="N513" s="303">
        <v>0.73</v>
      </c>
      <c r="O513" s="307">
        <f>IFERROR(_xlfn.LET(_xlpm.boxType, J513, _xlpm.tallos, M513, _xlpm.cost, N513, _xlpm.precio, P513,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P513" s="323">
        <v>2.19</v>
      </c>
      <c r="Q513" s="303" t="s">
        <v>725</v>
      </c>
      <c r="R513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13" s="303">
        <v>0.47</v>
      </c>
      <c r="T51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U513" s="301">
        <v>1.0900000000000001</v>
      </c>
    </row>
    <row r="514" spans="1:21" ht="15.75" thickBot="1" x14ac:dyDescent="0.3">
      <c r="A514" s="315" t="s">
        <v>156</v>
      </c>
      <c r="B514" s="316">
        <f>_xlfn.XLOOKUP(Catalogo[[#This Row],[Finca]], Fincas[Nombre], Fincas[ID])</f>
        <v>61</v>
      </c>
      <c r="C514" s="315" t="s">
        <v>709</v>
      </c>
      <c r="D514" s="315" t="s">
        <v>798</v>
      </c>
      <c r="E514" s="315"/>
      <c r="F514" s="315" t="s">
        <v>179</v>
      </c>
      <c r="G514" s="315"/>
      <c r="H514" s="344" t="s">
        <v>244</v>
      </c>
      <c r="I514" s="337"/>
      <c r="J514" s="316" t="s">
        <v>33</v>
      </c>
      <c r="K514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L514" s="317" t="s">
        <v>424</v>
      </c>
      <c r="M514" s="317">
        <v>100</v>
      </c>
      <c r="N514" s="319">
        <v>0.73</v>
      </c>
      <c r="O514" s="318">
        <f>IFERROR(_xlfn.LET(_xlpm.boxType, J514, _xlpm.tallos, M514, _xlpm.cost, N514, _xlpm.precio, P514,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P514" s="324">
        <v>2.09</v>
      </c>
      <c r="Q514" s="319" t="s">
        <v>726</v>
      </c>
      <c r="R514" s="31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S514" s="319">
        <v>0.47</v>
      </c>
      <c r="T514" s="32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U514" s="321">
        <v>1.0900000000000001</v>
      </c>
    </row>
    <row r="515" spans="1:21" x14ac:dyDescent="0.25">
      <c r="A515" s="304"/>
      <c r="B515" s="305">
        <f>_xlfn.XLOOKUP(Catalogo[[#This Row],[Finca]], Fincas[Nombre], Fincas[ID])</f>
        <v>0</v>
      </c>
      <c r="C515" s="304"/>
      <c r="D515" s="304"/>
      <c r="E515" s="304"/>
      <c r="F515" s="304"/>
      <c r="G515" s="304"/>
      <c r="H515" s="338"/>
      <c r="I515" s="336"/>
      <c r="J515" s="305"/>
      <c r="K515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515" s="306"/>
      <c r="M515" s="306"/>
      <c r="N515" s="303"/>
      <c r="O515" s="307" t="str">
        <f>IFERROR(_xlfn.LET(_xlpm.boxType, J515, _xlpm.tallos, M515, _xlpm.cost, N515, _xlpm.precio, P515,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515" s="323"/>
      <c r="Q515" s="303"/>
      <c r="R515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515" s="303"/>
      <c r="T515" s="73"/>
    </row>
    <row r="516" spans="1:21" x14ac:dyDescent="0.25">
      <c r="A516" s="304"/>
      <c r="B516" s="305">
        <f>_xlfn.XLOOKUP(Catalogo[[#This Row],[Finca]], Fincas[Nombre], Fincas[ID])</f>
        <v>0</v>
      </c>
      <c r="C516" s="304"/>
      <c r="D516" s="304"/>
      <c r="E516" s="304"/>
      <c r="F516" s="304"/>
      <c r="G516" s="304"/>
      <c r="H516" s="338"/>
      <c r="I516" s="336"/>
      <c r="J516" s="305"/>
      <c r="K516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516" s="306"/>
      <c r="M516" s="306"/>
      <c r="N516" s="303"/>
      <c r="O516" s="307" t="str">
        <f>IFERROR(_xlfn.LET(_xlpm.boxType, J516, _xlpm.tallos, M516, _xlpm.cost, N516, _xlpm.precio, P516,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516" s="323"/>
      <c r="Q516" s="303"/>
      <c r="R516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516" s="303"/>
      <c r="T516" s="73"/>
    </row>
    <row r="517" spans="1:21" x14ac:dyDescent="0.25">
      <c r="A517" s="304"/>
      <c r="B517" s="305">
        <f>_xlfn.XLOOKUP(Catalogo[[#This Row],[Finca]], Fincas[Nombre], Fincas[ID])</f>
        <v>0</v>
      </c>
      <c r="C517" s="304"/>
      <c r="D517" s="304"/>
      <c r="E517" s="304"/>
      <c r="F517" s="304"/>
      <c r="G517" s="304"/>
      <c r="H517" s="338"/>
      <c r="I517" s="336"/>
      <c r="J517" s="305"/>
      <c r="K517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517" s="306"/>
      <c r="M517" s="306"/>
      <c r="N517" s="303"/>
      <c r="O517" s="307" t="str">
        <f>IFERROR(_xlfn.LET(_xlpm.boxType, J517, _xlpm.tallos, M517, _xlpm.cost, N517, _xlpm.precio, P517,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517" s="323"/>
      <c r="Q517" s="303"/>
      <c r="R517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517" s="303"/>
      <c r="T517" s="73"/>
    </row>
    <row r="518" spans="1:21" x14ac:dyDescent="0.25">
      <c r="A518" s="304"/>
      <c r="B518" s="305">
        <f>_xlfn.XLOOKUP(Catalogo[[#This Row],[Finca]], Fincas[Nombre], Fincas[ID])</f>
        <v>0</v>
      </c>
      <c r="C518" s="304"/>
      <c r="D518" s="304"/>
      <c r="E518" s="304"/>
      <c r="F518" s="304"/>
      <c r="G518" s="304"/>
      <c r="H518" s="338"/>
      <c r="I518" s="336"/>
      <c r="J518" s="305"/>
      <c r="K518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518" s="306"/>
      <c r="M518" s="306"/>
      <c r="N518" s="303"/>
      <c r="O518" s="307" t="str">
        <f>IFERROR(_xlfn.LET(_xlpm.boxType, J518, _xlpm.tallos, M518, _xlpm.cost, N518, _xlpm.precio, P518,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518" s="323"/>
      <c r="Q518" s="303"/>
      <c r="R518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518" s="303"/>
      <c r="T518" s="73"/>
    </row>
    <row r="519" spans="1:21" x14ac:dyDescent="0.25">
      <c r="A519" s="304"/>
      <c r="B519" s="305">
        <f>_xlfn.XLOOKUP(Catalogo[[#This Row],[Finca]], Fincas[Nombre], Fincas[ID])</f>
        <v>0</v>
      </c>
      <c r="C519" s="304"/>
      <c r="D519" s="304"/>
      <c r="E519" s="304"/>
      <c r="F519" s="304"/>
      <c r="G519" s="304"/>
      <c r="H519" s="306"/>
      <c r="I519" s="336"/>
      <c r="J519" s="305"/>
      <c r="K519" s="306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L519" s="306"/>
      <c r="M519" s="306"/>
      <c r="N519" s="303"/>
      <c r="O519" s="307" t="str">
        <f>IFERROR(_xlfn.LET(_xlpm.boxType, J519, _xlpm.tallos, M519, _xlpm.cost, N519, _xlpm.precio, P519,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P519" s="323"/>
      <c r="Q519" s="303"/>
      <c r="R519" s="303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S519" s="303"/>
    </row>
  </sheetData>
  <mergeCells count="1">
    <mergeCell ref="A1:P1"/>
  </mergeCells>
  <phoneticPr fontId="20" type="noConversion"/>
  <conditionalFormatting sqref="K1:K1048576 R1:R1048576">
    <cfRule type="cellIs" dxfId="3" priority="4" operator="equal">
      <formula>"n"</formula>
    </cfRule>
    <cfRule type="cellIs" dxfId="2" priority="5" operator="equal">
      <formula>"y"</formula>
    </cfRule>
  </conditionalFormatting>
  <conditionalFormatting sqref="O1:O1048576">
    <cfRule type="expression" dxfId="1" priority="3">
      <formula>AND(ISNUMBER(O1), O1&lt;20%)</formula>
    </cfRule>
  </conditionalFormatting>
  <dataValidations count="5">
    <dataValidation type="list" allowBlank="1" showInputMessage="1" showErrorMessage="1" sqref="A3:A519" xr:uid="{5A5857AE-5994-4FAB-BA93-386D129C37F0}">
      <formula1>INDIRECT("Fincas[Nombre]")</formula1>
    </dataValidation>
    <dataValidation type="list" allowBlank="1" showInputMessage="1" showErrorMessage="1" sqref="Q3:Q519 J3:J519 L3:L519" xr:uid="{FF747EBF-3F40-4BC0-AD01-293B99AA7F86}">
      <formula1>INDIRECT("Cajas[Nombre]")</formula1>
    </dataValidation>
    <dataValidation type="list" allowBlank="1" showInputMessage="1" showErrorMessage="1" sqref="H3:I519" xr:uid="{856AE30B-C3BA-42BF-A625-7B3061922120}">
      <formula1>INDIRECT("Size[Size]")</formula1>
    </dataValidation>
    <dataValidation type="list" allowBlank="1" showInputMessage="1" showErrorMessage="1" sqref="C3:C514" xr:uid="{B61CDA0B-6156-426F-A175-937CA0DE5A5E}">
      <formula1>INDIRECT("Category[Category]")</formula1>
    </dataValidation>
    <dataValidation type="list" allowBlank="1" showInputMessage="1" showErrorMessage="1" sqref="F3:G519" xr:uid="{B9177D5A-9413-421A-B174-A0E4E36CEF10}">
      <formula1>INDIRECT("Colors[Colors]")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4E1CB-2FA4-4B6B-8536-0DBDA25ADF62}">
  <sheetPr codeName="Sheet5">
    <tabColor theme="9" tint="0.39997558519241921"/>
    <pageSetUpPr fitToPage="1"/>
  </sheetPr>
  <dimension ref="A1:M64"/>
  <sheetViews>
    <sheetView workbookViewId="0">
      <selection activeCell="D4" sqref="D4"/>
    </sheetView>
  </sheetViews>
  <sheetFormatPr defaultColWidth="9.140625" defaultRowHeight="15" x14ac:dyDescent="0.25"/>
  <cols>
    <col min="1" max="1" width="1.42578125" style="2" customWidth="1"/>
    <col min="2" max="2" width="12.42578125" style="5" customWidth="1"/>
    <col min="3" max="3" width="16.28515625" style="2" bestFit="1" customWidth="1"/>
    <col min="4" max="4" width="80.5703125" style="2" bestFit="1" customWidth="1"/>
    <col min="5" max="5" width="26.5703125" style="2" bestFit="1" customWidth="1"/>
    <col min="6" max="6" width="26.85546875" style="2" customWidth="1"/>
    <col min="7" max="7" width="9.5703125" style="2" bestFit="1" customWidth="1"/>
    <col min="8" max="8" width="10.5703125" style="12" customWidth="1"/>
    <col min="9" max="9" width="19.5703125" style="2" customWidth="1"/>
    <col min="10" max="10" width="9.85546875" style="84" customWidth="1"/>
    <col min="11" max="11" width="1.28515625" style="2" customWidth="1"/>
    <col min="12" max="12" width="2.28515625" style="2" customWidth="1"/>
    <col min="13" max="13" width="23.140625" customWidth="1"/>
  </cols>
  <sheetData>
    <row r="1" spans="1:13" ht="6.75" customHeight="1" x14ac:dyDescent="0.25">
      <c r="A1" s="353"/>
      <c r="B1" s="284"/>
      <c r="C1" s="356"/>
      <c r="D1" s="356"/>
      <c r="E1" s="356"/>
      <c r="F1" s="42"/>
      <c r="G1" s="42"/>
      <c r="H1" s="43"/>
      <c r="I1" s="42"/>
      <c r="J1" s="78"/>
      <c r="K1" s="350"/>
    </row>
    <row r="2" spans="1:13" ht="15" customHeight="1" x14ac:dyDescent="0.25">
      <c r="A2" s="354"/>
      <c r="B2" s="285"/>
      <c r="C2" s="361" t="s">
        <v>539</v>
      </c>
      <c r="D2" s="362"/>
      <c r="E2" s="40" t="s">
        <v>588</v>
      </c>
      <c r="F2" s="282">
        <v>50</v>
      </c>
      <c r="G2" s="38"/>
      <c r="H2" s="38"/>
      <c r="I2" s="41" t="s">
        <v>589</v>
      </c>
      <c r="J2" s="39" t="s">
        <v>545</v>
      </c>
      <c r="K2" s="351"/>
    </row>
    <row r="3" spans="1:13" x14ac:dyDescent="0.25">
      <c r="A3" s="354"/>
      <c r="B3" s="4" t="s">
        <v>590</v>
      </c>
      <c r="C3" s="4" t="s">
        <v>591</v>
      </c>
      <c r="D3" s="4" t="s">
        <v>590</v>
      </c>
      <c r="E3" s="4" t="s">
        <v>592</v>
      </c>
      <c r="F3" s="4" t="s">
        <v>645</v>
      </c>
      <c r="G3" s="4" t="s">
        <v>553</v>
      </c>
      <c r="H3" s="9" t="s">
        <v>593</v>
      </c>
      <c r="I3" s="4" t="s">
        <v>594</v>
      </c>
      <c r="J3" s="79" t="s">
        <v>9</v>
      </c>
      <c r="K3" s="351"/>
      <c r="M3" s="48" t="s">
        <v>595</v>
      </c>
    </row>
    <row r="4" spans="1:13" x14ac:dyDescent="0.25">
      <c r="A4" s="354"/>
      <c r="B4" s="286" t="str" cm="1">
        <f t="array" ref="B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_xlfn.MAP(_xlfn.SEQUENCE(ROWS(_xlpm.sortedFinal)), _xlfn.LAMBDA(_xlpm.r,
        _xlfn.LET(
          _xlpm.idx, INDEX(_xlpm.sortedFinal, _xlpm.r, 1),
          "Order #" &amp; (_xlpm.idx+1)
        )
      ))
    )
  )
)</f>
        <v>Order #133</v>
      </c>
      <c r="C4" s="14" t="str" cm="1">
        <f t="array" ref="C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"Sin coincidencias",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_xlpm.segs,   INDEX(_xlpm.data,,2),
      _xlpm.incP,   _xlfn.MAP(_xlpm.segs,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_xlpm.sel, INDEX(_xlpm.sortedFinal,,2),
      _xlfn.MAP(_xlpm.sel, _xlfn.LAMBDA(_xlpm.s,
        IF(ISNUMBER(FIND("(*Par)",_xlpm.s)),   "Biweekly (Par)",
        IF(ISNUMBER(FIND("(*Impar)",_xlpm.s)), "Biweekly (Impar)",
        "Everyweek"))
      ))
    )
  )
)</f>
        <v>Everyweek</v>
      </c>
      <c r="D4" s="15" t="str" cm="1">
        <f t="array" ref="D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_xlfn.MAP(_xlfn.SEQUENCE(ROWS(_xlpm.sortedFinal)), _xlfn.LAMBDA(_xlpm.r,
        _xlfn.LET(
          _xlpm.idx,    INDEX(_xlpm.sortedFinal, _xlpm.r, 1),
          _xlpm.s_val,  INDEX(_xlpm.sortedFinal, _xlpm.r, 2),
          _xlpm.rowB,   INDEX(Main[Qty], _xlpm.idx),
          _xlpm.rowC,   INDEX(Main[Type of Box], _xlpm.idx),
          _xlpm.rowD,   INDEX(Main[Cantidad_Min], _xlpm.idx),
          _xlpm.rowF,   INDEX(Main[Variedad], _xlpm.idx),
          _xlpm.rowG,   INDEX(Main[Nombre], _xlpm.idx),
          _xlpm.first_sp, IFERROR(FIND(" ", _xlpm.s_val), 0),
          _xlpm.id_ex,  IF(_xlpm.first_sp&gt;0, IFERROR(VALUE(LEFT(_xlpm.s_val, _xlpm.first_sp-1)), _xlpm.rowB), _xlpm.rowB),
          CONCATENATE(_xlpm.id_ex," ",_xlpm.rowC," x ",_xlpm.rowD," ",_xlpm.rowF," ",_xlpm.rowG)
        )
      ))
    )
  )
)</f>
        <v>1 QB x 100 Roses 60cm Free Spirit 40cm/Phoenix 60cm/Candlelight 60cm/Shocking Blue 60cm (T/W)</v>
      </c>
      <c r="E4" s="15" t="str" cm="1">
        <f t="array" ref="E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_xlpm.segs,   INDEX(_xlpm.data,,2),
      _xlpm.incP,   _xlfn.MAP(_xlpm.segs,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_xlpm.sel, INDEX(_xlpm.sortedFinal,,2),
      _xlfn.MAP(_xlpm.sel, _xlfn.LAMBDA(_xlpm.s,
        _xlfn.LET(_xlpm.o, IFERROR(FIND("[",_xlpm.s),0), _xlpm.c, IFERROR(FIND("]",_xlpm.s),0),
        IF(_xlpm.o=0, "[N/A]", MID(_xlpm.s,_xlpm.o+1,_xlpm.c-_xlpm.o-1)))
      ))
    )
  )
)</f>
        <v>The Wylde Rose CA</v>
      </c>
      <c r="F4" s="16" t="str" cm="1">
        <f t="array" aca="1" ref="F4" ca="1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
        _xlfn.LET(
          _xlpm.numGuia, INDEX(Main[Guia], _xlpm.idx),
          _xlpm.res, _xlfn.XLOOKUP(_xlpm.numGuia, Guias[Ecuador], Guias[Entrega], _xlfn.XLOOKUP(_xlpm.numGuia, Guias[Colombia], Guias[Entrega], "Sin Entrega")),
          IF(_xlpm.res="Sin Entrega", _xlpm.res,
            _xlfn.LET(
              _xlpm.full, _xlfn.TEXTSPLIT("Lunes,Martes,Miércoles,Jueves,Viernes,Sábado,Domingo", ","),
              _xlpm.short, _xlfn.TEXTSPLIT("Lun,Mar,Mie,Jue,Vie,Sab,Dom", ","),
              _xlfn.REDUCE(_xlpm.res, _xlfn.SEQUENCE(7), _xlfn.LAMBDA(_xlpm.txt,_xlpm.i, SUBSTITUTE(_xlpm.txt, INDEX(_xlpm.full, 1, _xlpm.i), INDEX(_xlpm.short, 1, _xlpm.i))))
            )
          )
        )
      ))
    )
  )
)</f>
        <v>Sin Entrega</v>
      </c>
      <c r="G4" s="16" t="str" cm="1">
        <f t="array" ref="G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INDEX(Main[Color], _xlpm.idx)))
    )
  )
)</f>
        <v>PO106340</v>
      </c>
      <c r="H4" s="13" cm="1">
        <f t="array" ref="H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INDEX(Main[Precio], _xlpm.idx)))
    )
  )
)</f>
        <v>1.55</v>
      </c>
      <c r="I4" s="16" t="str" cm="1">
        <f t="array" ref="I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INDEX(Main[Finca], _xlpm.idx)))
    )
  )
)</f>
        <v>Flores Verdes</v>
      </c>
      <c r="J4" s="80" cm="1">
        <f t="array" ref="J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INDEX(Main[Markup], _xlpm.idx)))
    )
  )
)</f>
        <v>0.29435483870967738</v>
      </c>
      <c r="K4" s="351"/>
      <c r="M4" s="49" t="str" cm="1">
        <f t="array" ref="M4">SUMPRODUCT(IFERROR(VALUE(TRIM(LEFT(D4:D61,FIND("EB",D4:D61)-1))),0))&amp;" EB estan en orden fija"</f>
        <v>0 EB estan en orden fija</v>
      </c>
    </row>
    <row r="5" spans="1:13" x14ac:dyDescent="0.25">
      <c r="A5" s="354"/>
      <c r="B5" s="286"/>
      <c r="C5" s="14"/>
      <c r="D5" s="15"/>
      <c r="E5" s="15"/>
      <c r="F5" s="16"/>
      <c r="G5" s="16"/>
      <c r="H5" s="13"/>
      <c r="I5" s="16"/>
      <c r="J5" s="80"/>
      <c r="K5" s="351"/>
      <c r="M5" s="50" t="str" cm="1">
        <f t="array" ref="M5">SUMPRODUCT(IFERROR(VALUE(TRIM(LEFT(D4:D61,FIND("QB",D4:D61)-1))),0))&amp;" QB estan en orden fija"</f>
        <v>1 QB estan en orden fija</v>
      </c>
    </row>
    <row r="6" spans="1:13" x14ac:dyDescent="0.25">
      <c r="A6" s="354"/>
      <c r="B6" s="286"/>
      <c r="C6" s="14"/>
      <c r="D6" s="15"/>
      <c r="E6" s="15"/>
      <c r="F6" s="16"/>
      <c r="G6" s="16"/>
      <c r="H6" s="13"/>
      <c r="I6" s="16"/>
      <c r="J6" s="80"/>
      <c r="K6" s="351"/>
      <c r="M6" s="51" t="str" cm="1">
        <f t="array" ref="M6">SUMPRODUCT(IFERROR(VALUE(TRIM(LEFT(D4:D61,FIND("HB",D4:D61)-1))),0))&amp;" HB estan en orden fija"</f>
        <v>0 HB estan en orden fija</v>
      </c>
    </row>
    <row r="7" spans="1:13" x14ac:dyDescent="0.25">
      <c r="A7" s="354"/>
      <c r="B7" s="286"/>
      <c r="C7" s="14"/>
      <c r="D7" s="15"/>
      <c r="E7" s="15"/>
      <c r="F7" s="16"/>
      <c r="G7" s="16"/>
      <c r="H7" s="13"/>
      <c r="I7" s="16"/>
      <c r="J7" s="80"/>
      <c r="K7" s="351"/>
    </row>
    <row r="8" spans="1:13" x14ac:dyDescent="0.25">
      <c r="A8" s="354"/>
      <c r="B8" s="286"/>
      <c r="C8" s="14"/>
      <c r="D8" s="15"/>
      <c r="E8" s="15"/>
      <c r="F8" s="16"/>
      <c r="G8" s="16"/>
      <c r="H8" s="13"/>
      <c r="I8" s="16"/>
      <c r="J8" s="80"/>
      <c r="K8" s="351"/>
    </row>
    <row r="9" spans="1:13" x14ac:dyDescent="0.25">
      <c r="A9" s="354"/>
      <c r="B9" s="286"/>
      <c r="C9" s="14"/>
      <c r="D9" s="15"/>
      <c r="E9" s="15"/>
      <c r="F9" s="16"/>
      <c r="G9" s="16"/>
      <c r="H9" s="13"/>
      <c r="I9" s="16"/>
      <c r="J9" s="80"/>
      <c r="K9" s="351"/>
    </row>
    <row r="10" spans="1:13" x14ac:dyDescent="0.25">
      <c r="A10" s="354"/>
      <c r="B10" s="286"/>
      <c r="C10" s="14"/>
      <c r="D10" s="15"/>
      <c r="E10" s="15"/>
      <c r="F10" s="16"/>
      <c r="G10" s="16"/>
      <c r="H10" s="13"/>
      <c r="I10" s="16"/>
      <c r="J10" s="80"/>
      <c r="K10" s="351"/>
    </row>
    <row r="11" spans="1:13" x14ac:dyDescent="0.25">
      <c r="A11" s="354"/>
      <c r="B11" s="286"/>
      <c r="C11" s="14"/>
      <c r="D11" s="15"/>
      <c r="E11" s="15"/>
      <c r="F11" s="16"/>
      <c r="G11" s="16"/>
      <c r="H11" s="13"/>
      <c r="I11" s="16"/>
      <c r="J11" s="80"/>
      <c r="K11" s="351"/>
    </row>
    <row r="12" spans="1:13" x14ac:dyDescent="0.25">
      <c r="A12" s="354"/>
      <c r="B12" s="286"/>
      <c r="C12" s="14"/>
      <c r="D12" s="15"/>
      <c r="E12" s="15"/>
      <c r="F12" s="16"/>
      <c r="G12" s="16"/>
      <c r="H12" s="13"/>
      <c r="I12" s="16"/>
      <c r="J12" s="80"/>
      <c r="K12" s="351"/>
    </row>
    <row r="13" spans="1:13" x14ac:dyDescent="0.25">
      <c r="A13" s="354"/>
      <c r="B13" s="286"/>
      <c r="C13" s="14"/>
      <c r="D13" s="15"/>
      <c r="E13" s="15"/>
      <c r="F13" s="16"/>
      <c r="G13" s="16"/>
      <c r="H13" s="13"/>
      <c r="I13" s="16"/>
      <c r="J13" s="80"/>
      <c r="K13" s="351"/>
    </row>
    <row r="14" spans="1:13" x14ac:dyDescent="0.25">
      <c r="A14" s="354"/>
      <c r="B14" s="286"/>
      <c r="C14" s="3"/>
      <c r="D14" s="6"/>
      <c r="E14" s="6"/>
      <c r="F14" s="10"/>
      <c r="G14" s="10"/>
      <c r="H14" s="11"/>
      <c r="I14" s="10"/>
      <c r="J14" s="81"/>
      <c r="K14" s="351"/>
    </row>
    <row r="15" spans="1:13" x14ac:dyDescent="0.25">
      <c r="A15" s="354"/>
      <c r="B15" s="286"/>
      <c r="C15" s="3"/>
      <c r="D15" s="6"/>
      <c r="E15" s="6"/>
      <c r="F15" s="10"/>
      <c r="G15" s="10"/>
      <c r="H15" s="11"/>
      <c r="I15" s="10"/>
      <c r="J15" s="81"/>
      <c r="K15" s="351"/>
    </row>
    <row r="16" spans="1:13" x14ac:dyDescent="0.25">
      <c r="A16" s="354"/>
      <c r="B16" s="286"/>
      <c r="C16" s="3"/>
      <c r="D16" s="6"/>
      <c r="E16" s="6"/>
      <c r="F16" s="10"/>
      <c r="G16" s="10"/>
      <c r="H16" s="11"/>
      <c r="I16" s="10"/>
      <c r="J16" s="81"/>
      <c r="K16" s="351"/>
    </row>
    <row r="17" spans="1:11" x14ac:dyDescent="0.25">
      <c r="A17" s="354"/>
      <c r="B17" s="286"/>
      <c r="C17" s="3"/>
      <c r="D17" s="6"/>
      <c r="E17" s="6"/>
      <c r="F17" s="10"/>
      <c r="G17" s="10"/>
      <c r="H17" s="11"/>
      <c r="I17" s="10"/>
      <c r="J17" s="81"/>
      <c r="K17" s="351"/>
    </row>
    <row r="18" spans="1:11" x14ac:dyDescent="0.25">
      <c r="A18" s="354"/>
      <c r="B18" s="286"/>
      <c r="C18" s="3"/>
      <c r="D18" s="6"/>
      <c r="E18" s="6"/>
      <c r="F18" s="10"/>
      <c r="G18" s="10"/>
      <c r="H18" s="11"/>
      <c r="I18" s="10"/>
      <c r="J18" s="81"/>
      <c r="K18" s="351"/>
    </row>
    <row r="19" spans="1:11" x14ac:dyDescent="0.25">
      <c r="A19" s="354"/>
      <c r="B19" s="286"/>
      <c r="C19" s="3"/>
      <c r="D19" s="6"/>
      <c r="E19" s="6"/>
      <c r="F19" s="10"/>
      <c r="G19" s="10"/>
      <c r="H19" s="11"/>
      <c r="I19" s="10"/>
      <c r="J19" s="81"/>
      <c r="K19" s="351"/>
    </row>
    <row r="20" spans="1:11" x14ac:dyDescent="0.25">
      <c r="A20" s="354"/>
      <c r="B20" s="286"/>
      <c r="C20" s="3"/>
      <c r="D20" s="6"/>
      <c r="E20" s="6"/>
      <c r="F20" s="10"/>
      <c r="G20" s="10"/>
      <c r="H20" s="11"/>
      <c r="I20" s="10"/>
      <c r="J20" s="81"/>
      <c r="K20" s="351"/>
    </row>
    <row r="21" spans="1:11" x14ac:dyDescent="0.25">
      <c r="A21" s="354"/>
      <c r="B21" s="286"/>
      <c r="C21" s="3"/>
      <c r="D21" s="6"/>
      <c r="E21" s="6"/>
      <c r="F21" s="10"/>
      <c r="G21" s="10"/>
      <c r="H21" s="11"/>
      <c r="I21" s="10"/>
      <c r="J21" s="81"/>
      <c r="K21" s="351"/>
    </row>
    <row r="22" spans="1:11" x14ac:dyDescent="0.25">
      <c r="A22" s="354"/>
      <c r="B22" s="286"/>
      <c r="C22" s="3"/>
      <c r="D22" s="6"/>
      <c r="E22" s="6"/>
      <c r="F22" s="10"/>
      <c r="G22" s="10"/>
      <c r="H22" s="11"/>
      <c r="I22" s="10"/>
      <c r="J22" s="81"/>
      <c r="K22" s="351"/>
    </row>
    <row r="23" spans="1:11" x14ac:dyDescent="0.25">
      <c r="A23" s="354"/>
      <c r="B23" s="286"/>
      <c r="C23" s="3"/>
      <c r="D23" s="6"/>
      <c r="E23" s="6"/>
      <c r="F23" s="10"/>
      <c r="G23" s="10"/>
      <c r="H23" s="11"/>
      <c r="I23" s="10"/>
      <c r="J23" s="81"/>
      <c r="K23" s="351"/>
    </row>
    <row r="24" spans="1:11" x14ac:dyDescent="0.25">
      <c r="A24" s="354"/>
      <c r="B24" s="286"/>
      <c r="C24" s="3"/>
      <c r="D24" s="6"/>
      <c r="E24" s="6"/>
      <c r="F24" s="10"/>
      <c r="G24" s="10"/>
      <c r="H24" s="11"/>
      <c r="I24" s="10"/>
      <c r="J24" s="81"/>
      <c r="K24" s="351"/>
    </row>
    <row r="25" spans="1:11" x14ac:dyDescent="0.25">
      <c r="A25" s="354"/>
      <c r="B25" s="286"/>
      <c r="C25" s="3"/>
      <c r="D25" s="6"/>
      <c r="E25" s="6"/>
      <c r="F25" s="10"/>
      <c r="G25" s="10"/>
      <c r="H25" s="11"/>
      <c r="I25" s="10"/>
      <c r="J25" s="81"/>
      <c r="K25" s="351"/>
    </row>
    <row r="26" spans="1:11" x14ac:dyDescent="0.25">
      <c r="A26" s="354"/>
      <c r="B26" s="286"/>
      <c r="C26" s="3"/>
      <c r="D26" s="6"/>
      <c r="E26" s="6"/>
      <c r="F26" s="10"/>
      <c r="G26" s="10"/>
      <c r="H26" s="11"/>
      <c r="I26" s="10"/>
      <c r="J26" s="81"/>
      <c r="K26" s="351"/>
    </row>
    <row r="27" spans="1:11" x14ac:dyDescent="0.25">
      <c r="A27" s="354"/>
      <c r="B27" s="286"/>
      <c r="C27" s="3"/>
      <c r="D27" s="6"/>
      <c r="E27" s="6"/>
      <c r="F27" s="10"/>
      <c r="G27" s="10"/>
      <c r="H27" s="11"/>
      <c r="I27" s="10"/>
      <c r="J27" s="81"/>
      <c r="K27" s="351"/>
    </row>
    <row r="28" spans="1:11" x14ac:dyDescent="0.25">
      <c r="A28" s="354"/>
      <c r="B28" s="286"/>
      <c r="C28" s="3"/>
      <c r="D28" s="6"/>
      <c r="E28" s="6"/>
      <c r="F28" s="10"/>
      <c r="G28" s="10"/>
      <c r="H28" s="11"/>
      <c r="I28" s="10"/>
      <c r="J28" s="81"/>
      <c r="K28" s="351"/>
    </row>
    <row r="29" spans="1:11" x14ac:dyDescent="0.25">
      <c r="A29" s="354"/>
      <c r="B29" s="286"/>
      <c r="C29" s="3"/>
      <c r="D29" s="6"/>
      <c r="E29" s="6"/>
      <c r="F29" s="10"/>
      <c r="G29" s="10"/>
      <c r="H29" s="11"/>
      <c r="I29" s="10"/>
      <c r="J29" s="81"/>
      <c r="K29" s="351"/>
    </row>
    <row r="30" spans="1:11" x14ac:dyDescent="0.25">
      <c r="A30" s="354"/>
      <c r="B30" s="286"/>
      <c r="C30" s="3"/>
      <c r="D30" s="6"/>
      <c r="E30" s="6"/>
      <c r="F30" s="10"/>
      <c r="G30" s="10"/>
      <c r="H30" s="11"/>
      <c r="I30" s="10"/>
      <c r="J30" s="81"/>
      <c r="K30" s="351"/>
    </row>
    <row r="31" spans="1:11" x14ac:dyDescent="0.25">
      <c r="A31" s="354"/>
      <c r="B31" s="286"/>
      <c r="C31" s="3"/>
      <c r="D31" s="6"/>
      <c r="E31" s="6"/>
      <c r="F31" s="10"/>
      <c r="G31" s="10"/>
      <c r="H31" s="11"/>
      <c r="I31" s="10"/>
      <c r="J31" s="81"/>
      <c r="K31" s="351"/>
    </row>
    <row r="32" spans="1:11" x14ac:dyDescent="0.25">
      <c r="A32" s="354"/>
      <c r="B32" s="286"/>
      <c r="C32" s="3"/>
      <c r="D32" s="6"/>
      <c r="E32" s="6"/>
      <c r="F32" s="10"/>
      <c r="G32" s="10"/>
      <c r="H32" s="11"/>
      <c r="I32" s="10"/>
      <c r="J32" s="81"/>
      <c r="K32" s="351"/>
    </row>
    <row r="33" spans="1:11" x14ac:dyDescent="0.25">
      <c r="A33" s="354"/>
      <c r="B33" s="286"/>
      <c r="C33" s="3"/>
      <c r="D33" s="6"/>
      <c r="E33" s="6"/>
      <c r="F33" s="10"/>
      <c r="G33" s="10"/>
      <c r="H33" s="11"/>
      <c r="I33" s="10"/>
      <c r="J33" s="81"/>
      <c r="K33" s="351"/>
    </row>
    <row r="34" spans="1:11" x14ac:dyDescent="0.25">
      <c r="A34" s="354"/>
      <c r="B34" s="286"/>
      <c r="C34" s="3"/>
      <c r="D34" s="6"/>
      <c r="E34" s="6"/>
      <c r="F34" s="10"/>
      <c r="G34" s="10"/>
      <c r="H34" s="11"/>
      <c r="I34" s="10"/>
      <c r="J34" s="81"/>
      <c r="K34" s="351"/>
    </row>
    <row r="35" spans="1:11" x14ac:dyDescent="0.25">
      <c r="A35" s="354"/>
      <c r="B35" s="286"/>
      <c r="C35" s="3"/>
      <c r="D35" s="6"/>
      <c r="E35" s="6"/>
      <c r="F35" s="10"/>
      <c r="G35" s="10"/>
      <c r="H35" s="11"/>
      <c r="I35" s="10"/>
      <c r="J35" s="81"/>
      <c r="K35" s="351"/>
    </row>
    <row r="36" spans="1:11" x14ac:dyDescent="0.25">
      <c r="A36" s="354"/>
      <c r="B36" s="286"/>
      <c r="C36" s="3"/>
      <c r="D36" s="6"/>
      <c r="E36" s="6"/>
      <c r="F36" s="10"/>
      <c r="G36" s="10"/>
      <c r="H36" s="11"/>
      <c r="I36" s="10"/>
      <c r="J36" s="81"/>
      <c r="K36" s="351"/>
    </row>
    <row r="37" spans="1:11" x14ac:dyDescent="0.25">
      <c r="A37" s="354"/>
      <c r="B37" s="286"/>
      <c r="C37" s="3"/>
      <c r="D37" s="6"/>
      <c r="E37" s="6"/>
      <c r="F37" s="10"/>
      <c r="G37" s="10"/>
      <c r="H37" s="11"/>
      <c r="I37" s="10"/>
      <c r="J37" s="81"/>
      <c r="K37" s="351"/>
    </row>
    <row r="38" spans="1:11" x14ac:dyDescent="0.25">
      <c r="A38" s="354"/>
      <c r="B38" s="286"/>
      <c r="C38" s="3"/>
      <c r="D38" s="6"/>
      <c r="E38" s="6"/>
      <c r="F38" s="10"/>
      <c r="G38" s="10"/>
      <c r="H38" s="11"/>
      <c r="I38" s="10"/>
      <c r="J38" s="81"/>
      <c r="K38" s="351"/>
    </row>
    <row r="39" spans="1:11" x14ac:dyDescent="0.25">
      <c r="A39" s="354"/>
      <c r="B39" s="286"/>
      <c r="C39" s="3"/>
      <c r="D39" s="6"/>
      <c r="E39" s="6"/>
      <c r="F39" s="10"/>
      <c r="G39" s="10"/>
      <c r="H39" s="11"/>
      <c r="I39" s="10"/>
      <c r="J39" s="81"/>
      <c r="K39" s="351"/>
    </row>
    <row r="40" spans="1:11" x14ac:dyDescent="0.25">
      <c r="A40" s="354"/>
      <c r="B40" s="286"/>
      <c r="C40" s="3"/>
      <c r="D40" s="6"/>
      <c r="E40" s="6"/>
      <c r="F40" s="10"/>
      <c r="G40" s="10"/>
      <c r="H40" s="11"/>
      <c r="I40" s="10"/>
      <c r="J40" s="81"/>
      <c r="K40" s="351"/>
    </row>
    <row r="41" spans="1:11" x14ac:dyDescent="0.25">
      <c r="A41" s="354"/>
      <c r="B41" s="286"/>
      <c r="C41" s="3"/>
      <c r="D41" s="6"/>
      <c r="E41" s="6"/>
      <c r="F41" s="10"/>
      <c r="G41" s="10"/>
      <c r="H41" s="11"/>
      <c r="I41" s="10"/>
      <c r="J41" s="81"/>
      <c r="K41" s="351"/>
    </row>
    <row r="42" spans="1:11" x14ac:dyDescent="0.25">
      <c r="A42" s="354"/>
      <c r="B42" s="286"/>
      <c r="C42" s="3"/>
      <c r="D42" s="6"/>
      <c r="E42" s="6"/>
      <c r="F42" s="10"/>
      <c r="G42" s="10"/>
      <c r="H42" s="11"/>
      <c r="I42" s="10"/>
      <c r="J42" s="81"/>
      <c r="K42" s="351"/>
    </row>
    <row r="43" spans="1:11" x14ac:dyDescent="0.25">
      <c r="A43" s="354"/>
      <c r="B43" s="286"/>
      <c r="C43" s="3"/>
      <c r="D43" s="6"/>
      <c r="E43" s="6"/>
      <c r="F43" s="10"/>
      <c r="G43" s="10"/>
      <c r="H43" s="11"/>
      <c r="I43" s="10"/>
      <c r="J43" s="81"/>
      <c r="K43" s="351"/>
    </row>
    <row r="44" spans="1:11" x14ac:dyDescent="0.25">
      <c r="A44" s="354"/>
      <c r="B44" s="286"/>
      <c r="C44" s="3"/>
      <c r="D44" s="6"/>
      <c r="E44" s="6"/>
      <c r="F44" s="10"/>
      <c r="G44" s="10"/>
      <c r="H44" s="11"/>
      <c r="I44" s="10"/>
      <c r="J44" s="81"/>
      <c r="K44" s="351"/>
    </row>
    <row r="45" spans="1:11" x14ac:dyDescent="0.25">
      <c r="A45" s="354"/>
      <c r="B45" s="286"/>
      <c r="C45" s="3"/>
      <c r="D45" s="6"/>
      <c r="E45" s="6"/>
      <c r="F45" s="10"/>
      <c r="G45" s="10"/>
      <c r="H45" s="11"/>
      <c r="I45" s="10"/>
      <c r="J45" s="81"/>
      <c r="K45" s="351"/>
    </row>
    <row r="46" spans="1:11" x14ac:dyDescent="0.25">
      <c r="A46" s="354"/>
      <c r="B46" s="286"/>
      <c r="C46" s="3"/>
      <c r="D46" s="6"/>
      <c r="E46" s="6"/>
      <c r="F46" s="10"/>
      <c r="G46" s="10"/>
      <c r="H46" s="11"/>
      <c r="I46" s="10"/>
      <c r="J46" s="81"/>
      <c r="K46" s="351"/>
    </row>
    <row r="47" spans="1:11" x14ac:dyDescent="0.25">
      <c r="A47" s="354"/>
      <c r="B47" s="286"/>
      <c r="C47" s="3"/>
      <c r="D47" s="6"/>
      <c r="E47" s="6"/>
      <c r="F47" s="10"/>
      <c r="G47" s="10"/>
      <c r="H47" s="11"/>
      <c r="I47" s="10"/>
      <c r="J47" s="81"/>
      <c r="K47" s="351"/>
    </row>
    <row r="48" spans="1:11" x14ac:dyDescent="0.25">
      <c r="A48" s="354"/>
      <c r="B48" s="286"/>
      <c r="C48" s="3"/>
      <c r="D48" s="6"/>
      <c r="E48" s="6"/>
      <c r="F48" s="10"/>
      <c r="G48" s="10"/>
      <c r="H48" s="11"/>
      <c r="I48" s="10"/>
      <c r="J48" s="81"/>
      <c r="K48" s="351"/>
    </row>
    <row r="49" spans="1:11" x14ac:dyDescent="0.25">
      <c r="A49" s="354"/>
      <c r="B49" s="286"/>
      <c r="C49" s="3"/>
      <c r="D49" s="6"/>
      <c r="E49" s="6"/>
      <c r="F49" s="10"/>
      <c r="G49" s="10"/>
      <c r="H49" s="11"/>
      <c r="I49" s="10"/>
      <c r="J49" s="81"/>
      <c r="K49" s="351"/>
    </row>
    <row r="50" spans="1:11" x14ac:dyDescent="0.25">
      <c r="A50" s="354"/>
      <c r="B50" s="286"/>
      <c r="C50" s="3"/>
      <c r="D50" s="6"/>
      <c r="E50" s="6"/>
      <c r="F50" s="10"/>
      <c r="G50" s="10"/>
      <c r="H50" s="11"/>
      <c r="I50" s="10"/>
      <c r="J50" s="81"/>
      <c r="K50" s="351"/>
    </row>
    <row r="51" spans="1:11" x14ac:dyDescent="0.25">
      <c r="A51" s="354"/>
      <c r="B51" s="286"/>
      <c r="C51" s="3"/>
      <c r="D51" s="6"/>
      <c r="E51" s="6"/>
      <c r="F51" s="10"/>
      <c r="G51" s="10"/>
      <c r="H51" s="11"/>
      <c r="I51" s="10"/>
      <c r="J51" s="81"/>
      <c r="K51" s="351"/>
    </row>
    <row r="52" spans="1:11" x14ac:dyDescent="0.25">
      <c r="A52" s="354"/>
      <c r="B52" s="286"/>
      <c r="C52" s="3"/>
      <c r="D52" s="6"/>
      <c r="E52" s="6"/>
      <c r="F52" s="10"/>
      <c r="G52" s="10"/>
      <c r="H52" s="11"/>
      <c r="I52" s="10"/>
      <c r="J52" s="81"/>
      <c r="K52" s="351"/>
    </row>
    <row r="53" spans="1:11" x14ac:dyDescent="0.25">
      <c r="A53" s="354"/>
      <c r="B53" s="286"/>
      <c r="C53" s="3"/>
      <c r="D53" s="6"/>
      <c r="E53" s="6"/>
      <c r="F53" s="10"/>
      <c r="G53" s="10"/>
      <c r="H53" s="11"/>
      <c r="I53" s="10"/>
      <c r="J53" s="81"/>
      <c r="K53" s="351"/>
    </row>
    <row r="54" spans="1:11" x14ac:dyDescent="0.25">
      <c r="A54" s="354"/>
      <c r="B54" s="286"/>
      <c r="C54" s="3"/>
      <c r="D54" s="6"/>
      <c r="E54" s="6"/>
      <c r="F54" s="10"/>
      <c r="G54" s="10"/>
      <c r="H54" s="11"/>
      <c r="I54" s="10"/>
      <c r="J54" s="81"/>
      <c r="K54" s="351"/>
    </row>
    <row r="55" spans="1:11" x14ac:dyDescent="0.25">
      <c r="A55" s="354"/>
      <c r="B55" s="286"/>
      <c r="C55" s="3"/>
      <c r="D55" s="6"/>
      <c r="E55" s="6"/>
      <c r="F55" s="10"/>
      <c r="G55" s="10"/>
      <c r="H55" s="11"/>
      <c r="I55" s="10"/>
      <c r="J55" s="81"/>
      <c r="K55" s="351"/>
    </row>
    <row r="56" spans="1:11" x14ac:dyDescent="0.25">
      <c r="A56" s="354"/>
      <c r="B56" s="286"/>
      <c r="C56" s="3"/>
      <c r="D56" s="6"/>
      <c r="E56" s="6"/>
      <c r="F56" s="10"/>
      <c r="G56" s="10"/>
      <c r="H56" s="11"/>
      <c r="I56" s="10"/>
      <c r="J56" s="81"/>
      <c r="K56" s="351"/>
    </row>
    <row r="57" spans="1:11" x14ac:dyDescent="0.25">
      <c r="A57" s="354"/>
      <c r="B57" s="286"/>
      <c r="C57" s="3"/>
      <c r="D57" s="6"/>
      <c r="E57" s="6"/>
      <c r="F57" s="10"/>
      <c r="G57" s="10"/>
      <c r="H57" s="11"/>
      <c r="I57" s="10"/>
      <c r="J57" s="81"/>
      <c r="K57" s="351"/>
    </row>
    <row r="58" spans="1:11" x14ac:dyDescent="0.25">
      <c r="A58" s="354"/>
      <c r="B58" s="286"/>
      <c r="C58" s="3"/>
      <c r="D58" s="6"/>
      <c r="E58" s="6"/>
      <c r="F58" s="10"/>
      <c r="G58" s="10"/>
      <c r="H58" s="11"/>
      <c r="I58" s="10"/>
      <c r="J58" s="81"/>
      <c r="K58" s="351"/>
    </row>
    <row r="59" spans="1:11" x14ac:dyDescent="0.25">
      <c r="A59" s="354"/>
      <c r="B59" s="286"/>
      <c r="C59" s="3"/>
      <c r="D59" s="6"/>
      <c r="E59" s="6"/>
      <c r="F59" s="10"/>
      <c r="G59" s="10"/>
      <c r="H59" s="11"/>
      <c r="I59" s="10"/>
      <c r="J59" s="81"/>
      <c r="K59" s="351"/>
    </row>
    <row r="60" spans="1:11" x14ac:dyDescent="0.25">
      <c r="A60" s="354"/>
      <c r="B60" s="286"/>
      <c r="C60" s="3"/>
      <c r="D60" s="6"/>
      <c r="E60" s="6"/>
      <c r="F60" s="10"/>
      <c r="G60" s="10"/>
      <c r="H60" s="11"/>
      <c r="I60" s="10"/>
      <c r="J60" s="81"/>
      <c r="K60" s="351"/>
    </row>
    <row r="61" spans="1:11" x14ac:dyDescent="0.25">
      <c r="A61" s="354"/>
      <c r="B61" s="286"/>
      <c r="C61" s="3"/>
      <c r="D61" s="6"/>
      <c r="E61" s="6"/>
      <c r="F61" s="10"/>
      <c r="G61" s="10"/>
      <c r="H61" s="11"/>
      <c r="I61" s="10"/>
      <c r="J61" s="81"/>
      <c r="K61" s="351"/>
    </row>
    <row r="62" spans="1:11" ht="6.75" customHeight="1" x14ac:dyDescent="0.25">
      <c r="A62" s="354"/>
      <c r="B62" s="285"/>
      <c r="C62" s="357"/>
      <c r="D62" s="357"/>
      <c r="E62" s="357"/>
      <c r="F62" s="44"/>
      <c r="G62" s="44"/>
      <c r="H62" s="45"/>
      <c r="I62" s="44"/>
      <c r="J62" s="82"/>
      <c r="K62" s="351"/>
    </row>
    <row r="63" spans="1:11" x14ac:dyDescent="0.25">
      <c r="A63" s="354"/>
      <c r="B63" s="285"/>
      <c r="C63" s="358" t="str" cm="1">
        <f t="array" ref="C63">"Nota: (" &amp; SUMPRODUCT(IFERROR(VALUE(LEFT(D4:D61,FIND(" ",D4:D61)-1)),0)*(C4:C61="Everyweek")) + SUMPRODUCT(IFERROR(VALUE(LEFT(D4:D61,FIND(" ",D4:D61)-1)),0)*((C4:C61="Biweekly (Par)")+(C4:C61="Biweekly (Impar)"))) &amp; ") Ordenes Fijas. (" &amp; SUMPRODUCT(IFERROR(VALUE(LEFT(D4:D61,FIND(" ",D4:D61)-1)),0)*(C4:C61="Everyweek")) &amp; ") Ordenes Semanales. (" &amp; SUMPRODUCT(IFERROR(VALUE(LEFT(D4:D61,FIND(" ",D4:D61)-1)),0)*((C4:C61="Biweekly (Par)")+(C4:C61="Biweekly (Impar)"))) &amp; ") Ordenes Cada 15 días."</f>
        <v>Nota: (1) Ordenes Fijas. (1) Ordenes Semanales. (0) Ordenes Cada 15 días.</v>
      </c>
      <c r="D63" s="358"/>
      <c r="E63" s="359"/>
      <c r="F63" s="10"/>
      <c r="G63" s="10"/>
      <c r="H63" s="11"/>
      <c r="I63" s="10"/>
      <c r="J63" s="81"/>
      <c r="K63" s="351"/>
    </row>
    <row r="64" spans="1:11" ht="6" customHeight="1" x14ac:dyDescent="0.25">
      <c r="A64" s="355"/>
      <c r="B64" s="287"/>
      <c r="C64" s="360"/>
      <c r="D64" s="360"/>
      <c r="E64" s="360"/>
      <c r="F64" s="46"/>
      <c r="G64" s="46"/>
      <c r="H64" s="47"/>
      <c r="I64" s="46"/>
      <c r="J64" s="83"/>
      <c r="K64" s="352"/>
    </row>
  </sheetData>
  <mergeCells count="7">
    <mergeCell ref="K1:K64"/>
    <mergeCell ref="A1:A64"/>
    <mergeCell ref="C1:E1"/>
    <mergeCell ref="C62:E62"/>
    <mergeCell ref="C63:E63"/>
    <mergeCell ref="C64:E64"/>
    <mergeCell ref="C2:D2"/>
  </mergeCells>
  <conditionalFormatting sqref="J1:J1048576">
    <cfRule type="expression" dxfId="0" priority="1">
      <formula>AND(J1&lt;&gt;"",J1&lt;20%)</formula>
    </cfRule>
  </conditionalFormatting>
  <pageMargins left="0.70866141732283472" right="0.70866141732283472" top="0.74803149606299213" bottom="0.74803149606299213" header="0.31496062992125984" footer="0.31496062992125984"/>
  <pageSetup paperSize="9" scale="59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9C6C3B17-318F-4731-8C60-43FFF00791D7}">
          <x14:formula1>
            <xm:f>Guias!$O$8:$O$13</xm:f>
          </x14:formula1>
          <xm:sqref>J2</xm:sqref>
        </x14:dataValidation>
        <x14:dataValidation type="list" allowBlank="1" showInputMessage="1" showErrorMessage="1" xr:uid="{21378933-B774-4752-A21E-54C21BA12FE0}">
          <x14:formula1>
            <xm:f>Guias!$I$2:$I$21</xm:f>
          </x14:formula1>
          <xm:sqref>C2:D2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B38AA-0385-4E2C-A18F-9B7C33CD909A}">
  <sheetPr codeName="Sheet6">
    <tabColor rgb="FFF98FC4"/>
    <pageSetUpPr fitToPage="1"/>
  </sheetPr>
  <dimension ref="A1:AH56"/>
  <sheetViews>
    <sheetView zoomScaleNormal="100" workbookViewId="0">
      <selection activeCell="I8" sqref="C3:I8"/>
    </sheetView>
  </sheetViews>
  <sheetFormatPr defaultColWidth="8.85546875" defaultRowHeight="15" x14ac:dyDescent="0.25"/>
  <cols>
    <col min="1" max="1" width="1.42578125" style="52" customWidth="1"/>
    <col min="2" max="2" width="13" style="292" customWidth="1"/>
    <col min="3" max="3" width="5.140625" style="52" bestFit="1" customWidth="1"/>
    <col min="4" max="4" width="4.5703125" style="52" bestFit="1" customWidth="1"/>
    <col min="5" max="5" width="6.42578125" style="53" bestFit="1" customWidth="1"/>
    <col min="6" max="6" width="67.140625" style="52" customWidth="1"/>
    <col min="7" max="7" width="9.42578125" style="52" customWidth="1"/>
    <col min="8" max="8" width="20.85546875" style="54" customWidth="1"/>
    <col min="9" max="9" width="10.140625" style="55" customWidth="1"/>
    <col min="10" max="10" width="12.7109375" style="55" customWidth="1"/>
    <col min="11" max="11" width="40.5703125" style="52" bestFit="1" customWidth="1"/>
    <col min="12" max="13" width="1.140625" style="52" customWidth="1"/>
    <col min="14" max="14" width="25" style="52" customWidth="1"/>
    <col min="15" max="15" width="14.42578125" style="52" bestFit="1" customWidth="1"/>
    <col min="16" max="17" width="13.7109375" style="52" bestFit="1" customWidth="1"/>
    <col min="18" max="19" width="17.5703125" style="52" bestFit="1" customWidth="1"/>
    <col min="20" max="21" width="13" style="52" bestFit="1" customWidth="1"/>
    <col min="22" max="16384" width="8.85546875" style="52"/>
  </cols>
  <sheetData>
    <row r="1" spans="1:34" ht="6.75" customHeight="1" x14ac:dyDescent="0.25">
      <c r="A1" s="183"/>
      <c r="B1" s="288"/>
      <c r="C1" s="184"/>
      <c r="D1" s="185"/>
      <c r="E1" s="185"/>
      <c r="F1" s="186"/>
      <c r="G1" s="184"/>
      <c r="H1" s="187"/>
      <c r="I1" s="85"/>
      <c r="J1" s="85"/>
      <c r="K1" s="184"/>
      <c r="L1" s="188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</row>
    <row r="2" spans="1:34" ht="16.5" customHeight="1" thickBot="1" x14ac:dyDescent="0.3">
      <c r="A2" s="190"/>
      <c r="B2" s="289"/>
      <c r="C2" s="191"/>
      <c r="D2" s="192"/>
      <c r="E2" s="69" t="s">
        <v>596</v>
      </c>
      <c r="F2" s="86" t="s">
        <v>67</v>
      </c>
      <c r="G2" s="69" t="s">
        <v>597</v>
      </c>
      <c r="H2" s="86">
        <f>Guias!M2</f>
        <v>40</v>
      </c>
      <c r="I2" s="87" t="s">
        <v>589</v>
      </c>
      <c r="J2" s="193" t="s">
        <v>511</v>
      </c>
      <c r="K2" s="194"/>
      <c r="L2" s="195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</row>
    <row r="3" spans="1:34" ht="15" customHeight="1" x14ac:dyDescent="0.25">
      <c r="A3" s="190"/>
      <c r="B3" s="283" t="s">
        <v>590</v>
      </c>
      <c r="C3" s="88" t="s">
        <v>598</v>
      </c>
      <c r="D3" s="88" t="s">
        <v>15</v>
      </c>
      <c r="E3" s="88" t="s">
        <v>599</v>
      </c>
      <c r="F3" s="88" t="s">
        <v>600</v>
      </c>
      <c r="G3" s="88" t="s">
        <v>601</v>
      </c>
      <c r="H3" s="89" t="s">
        <v>530</v>
      </c>
      <c r="I3" s="88" t="s">
        <v>553</v>
      </c>
      <c r="J3" s="136" t="s">
        <v>602</v>
      </c>
      <c r="K3" s="90" t="s">
        <v>603</v>
      </c>
      <c r="L3" s="195"/>
      <c r="M3" s="189"/>
      <c r="N3" s="91" t="s">
        <v>595</v>
      </c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189" cm="1">
        <f t="array" ref="AA3:AH7">_xlfn.LET(
_xlpm.id,F2,
_xlpm.colC,_xlfn.MAP(_xlfn._xlws.FILTER(test!B:B,test!A:A=_xlpm.id),_xlfn.LAMBDA(_xlpm.x,IFERROR(_xlpm.x,"[N/A]"))),
_xlpm.colD,_xlfn.MAP(_xlfn._xlws.FILTER(test!C:C,test!A:A=_xlpm.id),_xlfn.LAMBDA(_xlpm.x,IFERROR(_xlpm.x,"[N/A]"))),
_xlpm.colE,_xlfn.MAP(
_xlfn._xlws.FILTER(test!D:D,test!A:A=_xlpm.id),
_xlfn._xlws.FILTER(test!G:G,test!A:A=_xlpm.id),
_xlfn.LAMBDA(_xlpm.d,_xlpm.g,
IFERROR(
IF(_xlpm.d=1,
LEFT(_xlfn.REGEXEXTRACT(CLEAN(TRIM(_xlpm.g)),"(\d+)\s*\("),
LEN(_xlfn.REGEXEXTRACT(CLEAN(TRIM(_xlpm.g)),"(\d+)\s*\("))-2),
_xlpm.d),
"[N/A]")
)),
_xlpm.colF,_xlfn.MAP(_xlfn._xlws.FILTER(test!F:F,test!A:A=_xlpm.id),_xlfn._xlws.FILTER(test!G:G,test!A:A=_xlpm.id),_xlfn.LAMBDA(_xlpm.f,_xlpm.g,_xlpm.f&amp;" "&amp;_xlpm.g)),
_xlpm.colH,_xlfn.MAP(_xlfn._xlws.FILTER(test!M:M,test!A:A=_xlpm.id),_xlfn.LAMBDA(_xlpm.x,IFERROR(_xlpm.x,"[N/A]"))),
_xlpm.colI,_xlfn.MAP(_xlfn._xlws.FILTER(test!H:H,test!A:A=_xlpm.id),_xlfn.LAMBDA(_xlpm.x,IFERROR(_xlpm.x,"[N/A]"))),
_xlpm.colJ,_xlfn.MAP(_xlfn._xlws.FILTER(test!AC:AC,test!A:A=_xlpm.id),_xlfn.LAMBDA(_xlpm.x,IFERROR(IF(_xlpm.x="","",_xlpm.x),"[N/A]"))),
_xlpm.colK,_xlfn.MAP(_xlfn._xlws.FILTER(test!AD:AD,test!A:A=_xlpm.id),_xlfn.LAMBDA(_xlpm.x,IF(_xlpm.x=""," ",_xlpm.x))),
_xlpm.base,_xlfn.HSTACK(_xlpm.colC,_xlpm.colD,_xlpm.colE,_xlpm.colF,_xlpm.colH,_xlpm.colI,_xlpm.colJ,_xlpm.colK),
IF(J2="Cantidad",
_xlfn.SORTBY(_xlpm.base,_xlpm.colC,-1,_xlpm.colE,-1),
IF(J2="PO",
_xlfn.SORTBY(_xlpm.base,_xlpm.colI,1),
IF(J2="Cliente",
_xlfn.SORTBY(_xlpm.base,_xlpm.colK,1),
_xlpm.base)))
)</f>
        <v>1</v>
      </c>
      <c r="AB3" s="189" t="str">
        <v>QB</v>
      </c>
      <c r="AC3" s="189">
        <v>100</v>
      </c>
      <c r="AD3" s="189" t="str">
        <v>Roses 50cm 50 Miss Piggy/25 Yellow/25 Purple (T/W)</v>
      </c>
      <c r="AE3" s="189">
        <v>46296</v>
      </c>
      <c r="AF3" s="189" t="str">
        <v>PO106255</v>
      </c>
      <c r="AG3" s="189" t="str">
        <v/>
      </c>
      <c r="AH3" s="189" t="str">
        <v>1 Daniel [Benjamins Flowers and Gifts]</v>
      </c>
    </row>
    <row r="4" spans="1:34" x14ac:dyDescent="0.25">
      <c r="A4" s="190"/>
      <c r="B4" s="290" t="str" cm="1">
        <f t="array" ref="B4:B8">_xlfn.LET(
_xlpm.id, $F$2,
_xlpm.colOrden, _xlfn.MAP(_xlfn._xlws.FILTER(_xlfn.SEQUENCE(ROWS(Main[Finca])), Main[Finca]=_xlpm.id), _xlfn.LAMBDA(_xlpm.idx, "Order #" &amp; (_xlpm.idx+1))),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_xlfn.HSTACK(_xlpm.colOrden,_xlpm.colC,_xlpm.colD,_xlpm.colE,_xlpm.colF,_xlpm.colH,_xlpm.colI,_xlpm.colJ,_xlpm.colK),
_xlpm.sorted, IF($J$2="Cantidad", _xlfn.SORTBY(_xlpm.base,_xlpm.colC,-1,_xlpm.colE,-1), IF($J$2="PO", _xlfn.SORTBY(_xlpm.base,_xlpm.colI,1), IF($J$2="Cliente", _xlfn.SORTBY(_xlpm.base,_xlpm.colK,1), IF($J$2="Fecha", _xlfn.SORTBY(_xlpm.base,_xlpm.colH,1), _xlpm.base)))),
_xlfn.CHOOSECOLS(_xlpm.sorted,1)
)</f>
        <v>Order #176</v>
      </c>
      <c r="C4" s="70" cm="1">
        <f t="array" ref="C4:C8">_xlfn.LET(
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
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_xlfn.CHOOSECOLS(_xlpm.sorted,1)
)</f>
        <v>5</v>
      </c>
      <c r="D4" s="236" t="str" cm="1">
        <f t="array" ref="D4:D8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_xlfn.CHOOSECOLS(_xlpm.sorted,2)
)</f>
        <v>EB</v>
      </c>
      <c r="E4" s="192" cm="1">
        <f t="array" ref="E4:E8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_xlfn.CHOOSECOLS(_xlpm.sorted,3)
)</f>
        <v>50</v>
      </c>
      <c r="F4" s="191" t="str" cm="1">
        <f t="array" ref="F4:F8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_xlfn.CHOOSECOLS(_xlpm.sorted,4)
)</f>
        <v>Gerberas/Mini Gerberas Mix Assorted Colors (M/T)</v>
      </c>
      <c r="G4" s="196">
        <f>IF(AND(C4&lt;&gt;"",E4&lt;&gt;""),C4*E4,"")</f>
        <v>250</v>
      </c>
      <c r="H4" s="197" cm="1">
        <f t="array" ref="H4:H8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_xlfn.CHOOSECOLS(_xlpm.sorted,5)
)</f>
        <v>46295</v>
      </c>
      <c r="I4" s="92" t="str" cm="1">
        <f t="array" ref="I4:I8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_xlfn.CHOOSECOLS(_xlpm.sorted,6)
)</f>
        <v>PO106383</v>
      </c>
      <c r="J4" s="137" t="str" cm="1">
        <f t="array" ref="J4:J8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_xlfn.CHOOSECOLS(_xlpm.sorted,7)
)</f>
        <v/>
      </c>
      <c r="K4" s="198" t="str" cm="1">
        <f t="array" ref="K4:K8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_xlfn.CHOOSECOLS(_xlpm.sorted,8)
)</f>
        <v>1 Majo [The Florist at Moana NV]</v>
      </c>
      <c r="L4" s="195"/>
      <c r="M4" s="189"/>
      <c r="N4" s="199" t="str">
        <f>"Hay "&amp;(SUMIF(D4:D51,"*EB*",C4:C51))&amp;" EB en Orden Fija"</f>
        <v>Hay 15 EB en Orden Fija</v>
      </c>
      <c r="O4" s="189"/>
      <c r="P4" s="189"/>
      <c r="Q4" s="189"/>
      <c r="R4" s="189"/>
      <c r="S4" s="189"/>
      <c r="T4" s="189"/>
      <c r="U4" s="189"/>
      <c r="V4" s="189"/>
      <c r="W4" s="189"/>
      <c r="X4" s="189"/>
      <c r="Y4" s="189"/>
      <c r="Z4" s="189"/>
      <c r="AA4" s="189">
        <v>1</v>
      </c>
      <c r="AB4" s="189" t="str">
        <v>QB</v>
      </c>
      <c r="AC4" s="189">
        <v>125</v>
      </c>
      <c r="AD4" s="189" t="str">
        <v>Roses 50cm 50 Explorer/ 25 Sweet Memory/ 25 Playa Blanca/ 25 Arya (T/F)</v>
      </c>
      <c r="AE4" s="189">
        <v>46297</v>
      </c>
      <c r="AF4" s="189" t="str">
        <v>PO106264</v>
      </c>
      <c r="AG4" s="189" t="str">
        <v/>
      </c>
      <c r="AH4" s="189" t="str">
        <v>1 John [Bliss Point Floral]</v>
      </c>
    </row>
    <row r="5" spans="1:34" x14ac:dyDescent="0.25">
      <c r="A5" s="190"/>
      <c r="B5" s="179" t="str">
        <v>Order #48</v>
      </c>
      <c r="C5" s="94">
        <v>1</v>
      </c>
      <c r="D5" s="196" t="str">
        <v>QB</v>
      </c>
      <c r="E5" s="196">
        <v>100</v>
      </c>
      <c r="F5" s="200" t="str">
        <v>Roses 50cm 50 Miss Piggy/25 Yellow/25 Purple (T/W)</v>
      </c>
      <c r="G5" s="196">
        <f t="shared" ref="G5:G18" si="0">IF(AND(C5&lt;&gt;"",E5&lt;&gt;""),C5*E5,"")</f>
        <v>100</v>
      </c>
      <c r="H5" s="201">
        <v>46296</v>
      </c>
      <c r="I5" s="87" t="str">
        <v>PO106255</v>
      </c>
      <c r="J5" s="138" t="str">
        <v/>
      </c>
      <c r="K5" s="202" t="str">
        <v>1 Daniel [Benjamins Flowers and Gifts]</v>
      </c>
      <c r="L5" s="195"/>
      <c r="M5" s="189"/>
      <c r="N5" s="199" t="str">
        <f>"Hay "&amp;SUMIF(D4:D51,"*QB*",C4:C51)&amp;" QB en Orden Fija"</f>
        <v>Hay 2 QB en Orden Fija</v>
      </c>
      <c r="O5" s="189"/>
      <c r="P5" s="189"/>
      <c r="Q5" s="189"/>
      <c r="R5" s="189"/>
      <c r="S5" s="189"/>
      <c r="T5" s="189"/>
      <c r="U5" s="189"/>
      <c r="V5" s="189"/>
      <c r="W5" s="189"/>
      <c r="X5" s="189"/>
      <c r="Y5" s="189"/>
      <c r="Z5" s="189"/>
      <c r="AA5" s="189">
        <v>5</v>
      </c>
      <c r="AB5" s="189" t="str">
        <v>EB</v>
      </c>
      <c r="AC5" s="189">
        <v>50</v>
      </c>
      <c r="AD5" s="189" t="str">
        <v>Gerberas/Mini Gerberas Mix Assorted Colors (M/T)</v>
      </c>
      <c r="AE5" s="189">
        <v>46295</v>
      </c>
      <c r="AF5" s="189" t="str">
        <v>PO106383</v>
      </c>
      <c r="AG5" s="189" t="str">
        <v/>
      </c>
      <c r="AH5" s="189" t="str">
        <v>1 Majo [The Florist at Moana NV]</v>
      </c>
    </row>
    <row r="6" spans="1:34" x14ac:dyDescent="0.25">
      <c r="A6" s="190"/>
      <c r="B6" s="179" t="str">
        <v>Order #177</v>
      </c>
      <c r="C6" s="94">
        <v>5</v>
      </c>
      <c r="D6" s="196" t="str">
        <v>EB</v>
      </c>
      <c r="E6" s="196">
        <v>50</v>
      </c>
      <c r="F6" s="200" t="str">
        <v>Gerberas/Mini Gerberas Mix Assorted Colors (T/W)</v>
      </c>
      <c r="G6" s="196">
        <f t="shared" si="0"/>
        <v>250</v>
      </c>
      <c r="H6" s="201">
        <v>46296</v>
      </c>
      <c r="I6" s="87" t="str">
        <v>PO106384</v>
      </c>
      <c r="J6" s="138" t="str">
        <v/>
      </c>
      <c r="K6" s="202" t="str">
        <v xml:space="preserve"> </v>
      </c>
      <c r="L6" s="195"/>
      <c r="M6" s="189"/>
      <c r="N6" s="203" t="str">
        <f>"Hay "&amp;SUMIF(D4:D51,"*HB*",C4:C51)&amp;" HB en Orden Fija"</f>
        <v>Hay 0 HB en Orden Fija</v>
      </c>
      <c r="O6" s="189"/>
      <c r="P6" s="189"/>
      <c r="Q6" s="189"/>
      <c r="R6" s="189"/>
      <c r="S6" s="189"/>
      <c r="T6" s="189"/>
      <c r="U6" s="189"/>
      <c r="V6" s="189"/>
      <c r="W6" s="189"/>
      <c r="X6" s="189"/>
      <c r="Y6" s="189"/>
      <c r="Z6" s="189"/>
      <c r="AA6" s="189">
        <v>5</v>
      </c>
      <c r="AB6" s="189" t="str">
        <v>EB</v>
      </c>
      <c r="AC6" s="189">
        <v>50</v>
      </c>
      <c r="AD6" s="189" t="str">
        <v>Gerberas/Mini Gerberas Mix Assorted Colors (T/W)</v>
      </c>
      <c r="AE6" s="189">
        <v>46296</v>
      </c>
      <c r="AF6" s="189" t="str">
        <v>PO106384</v>
      </c>
      <c r="AG6" s="189" t="str">
        <v/>
      </c>
      <c r="AH6" s="189" t="str">
        <v xml:space="preserve"> </v>
      </c>
    </row>
    <row r="7" spans="1:34" x14ac:dyDescent="0.25">
      <c r="A7" s="190"/>
      <c r="B7" s="179" t="str">
        <v>Order #57</v>
      </c>
      <c r="C7" s="94">
        <v>1</v>
      </c>
      <c r="D7" s="196" t="str">
        <v>QB</v>
      </c>
      <c r="E7" s="196">
        <v>125</v>
      </c>
      <c r="F7" s="200" t="str">
        <v>Roses 50cm 50 Explorer/ 25 Sweet Memory/ 25 Playa Blanca/ 25 Arya (T/F)</v>
      </c>
      <c r="G7" s="196">
        <f t="shared" si="0"/>
        <v>125</v>
      </c>
      <c r="H7" s="201">
        <v>46297</v>
      </c>
      <c r="I7" s="87" t="str">
        <v>PO106264</v>
      </c>
      <c r="J7" s="138" t="str">
        <v/>
      </c>
      <c r="K7" s="202" t="str">
        <v>1 John [Bliss Point Floral]</v>
      </c>
      <c r="L7" s="195"/>
      <c r="M7" s="189"/>
      <c r="N7" s="95" t="str">
        <f>"Son "&amp;SUM(C4:C51)&amp;" Cajas en Orden Fija"</f>
        <v>Son 17 Cajas en Orden Fija</v>
      </c>
      <c r="O7" s="189"/>
      <c r="P7" s="189"/>
      <c r="Q7" s="189"/>
      <c r="R7" s="189"/>
      <c r="S7" s="189"/>
      <c r="T7" s="189"/>
      <c r="U7" s="189"/>
      <c r="V7" s="189"/>
      <c r="W7" s="189"/>
      <c r="X7" s="189"/>
      <c r="Y7" s="189"/>
      <c r="Z7" s="189"/>
      <c r="AA7" s="189">
        <v>5</v>
      </c>
      <c r="AB7" s="189" t="str">
        <v>EB</v>
      </c>
      <c r="AC7" s="189">
        <v>50</v>
      </c>
      <c r="AD7" s="189" t="str">
        <v>Gerberas/Mini Gerberas Mix Assorted Colors (T/F)</v>
      </c>
      <c r="AE7" s="189">
        <v>46298</v>
      </c>
      <c r="AF7" s="189" t="str">
        <v>PO106410</v>
      </c>
      <c r="AG7" s="189" t="str">
        <v/>
      </c>
      <c r="AH7" s="189" t="str">
        <v xml:space="preserve"> </v>
      </c>
    </row>
    <row r="8" spans="1:34" x14ac:dyDescent="0.25">
      <c r="A8" s="190"/>
      <c r="B8" s="179" t="str">
        <v>Order #203</v>
      </c>
      <c r="C8" s="94">
        <v>5</v>
      </c>
      <c r="D8" s="196" t="str">
        <v>EB</v>
      </c>
      <c r="E8" s="196">
        <v>50</v>
      </c>
      <c r="F8" s="200" t="str">
        <v>Gerberas/Mini Gerberas Mix Assorted Colors (T/F)</v>
      </c>
      <c r="G8" s="196">
        <f t="shared" si="0"/>
        <v>250</v>
      </c>
      <c r="H8" s="201">
        <v>46298</v>
      </c>
      <c r="I8" s="87" t="str">
        <v>PO106410</v>
      </c>
      <c r="J8" s="138" t="str">
        <v/>
      </c>
      <c r="K8" s="202" t="str">
        <v xml:space="preserve"> </v>
      </c>
      <c r="L8" s="195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  <c r="AC8" s="189"/>
      <c r="AD8" s="189"/>
      <c r="AE8" s="189"/>
      <c r="AF8" s="189"/>
      <c r="AG8" s="189"/>
      <c r="AH8" s="189"/>
    </row>
    <row r="9" spans="1:34" x14ac:dyDescent="0.25">
      <c r="A9" s="190"/>
      <c r="B9" s="179"/>
      <c r="C9" s="94"/>
      <c r="D9" s="196"/>
      <c r="E9" s="196"/>
      <c r="F9" s="200"/>
      <c r="G9" s="196" t="str">
        <f t="shared" si="0"/>
        <v/>
      </c>
      <c r="H9" s="201"/>
      <c r="I9" s="87"/>
      <c r="J9" s="138"/>
      <c r="K9" s="202"/>
      <c r="L9" s="195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  <c r="AG9" s="189"/>
      <c r="AH9" s="189"/>
    </row>
    <row r="10" spans="1:34" x14ac:dyDescent="0.25">
      <c r="A10" s="190"/>
      <c r="B10" s="179"/>
      <c r="C10" s="94"/>
      <c r="D10" s="196"/>
      <c r="E10" s="196"/>
      <c r="F10" s="200"/>
      <c r="G10" s="196" t="str">
        <f t="shared" si="0"/>
        <v/>
      </c>
      <c r="H10" s="201"/>
      <c r="I10" s="87"/>
      <c r="J10" s="138"/>
      <c r="K10" s="202"/>
      <c r="L10" s="195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  <c r="Y10" s="189"/>
      <c r="Z10" s="189"/>
      <c r="AA10" s="189"/>
      <c r="AB10" s="189"/>
      <c r="AC10" s="189"/>
      <c r="AD10" s="189"/>
      <c r="AE10" s="189"/>
      <c r="AF10" s="189"/>
      <c r="AG10" s="189"/>
      <c r="AH10" s="189"/>
    </row>
    <row r="11" spans="1:34" x14ac:dyDescent="0.25">
      <c r="A11" s="190"/>
      <c r="B11" s="179"/>
      <c r="C11" s="94"/>
      <c r="D11" s="196"/>
      <c r="E11" s="196"/>
      <c r="F11" s="200"/>
      <c r="G11" s="196" t="str">
        <f t="shared" si="0"/>
        <v/>
      </c>
      <c r="H11" s="201"/>
      <c r="I11" s="87"/>
      <c r="J11" s="138"/>
      <c r="K11" s="202"/>
      <c r="L11" s="195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  <c r="Y11" s="189"/>
      <c r="Z11" s="189"/>
      <c r="AA11" s="189"/>
      <c r="AB11" s="189"/>
      <c r="AC11" s="189"/>
      <c r="AD11" s="189"/>
      <c r="AE11" s="189"/>
      <c r="AF11" s="189"/>
      <c r="AG11" s="189"/>
      <c r="AH11" s="189"/>
    </row>
    <row r="12" spans="1:34" x14ac:dyDescent="0.25">
      <c r="A12" s="190"/>
      <c r="B12" s="179"/>
      <c r="C12" s="94"/>
      <c r="D12" s="196"/>
      <c r="E12" s="196"/>
      <c r="F12" s="200"/>
      <c r="G12" s="196" t="str">
        <f t="shared" si="0"/>
        <v/>
      </c>
      <c r="H12" s="201"/>
      <c r="I12" s="87"/>
      <c r="J12" s="138"/>
      <c r="K12" s="202"/>
      <c r="L12" s="195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  <c r="Y12" s="189"/>
      <c r="Z12" s="189"/>
      <c r="AA12" s="189"/>
      <c r="AB12" s="189"/>
      <c r="AC12" s="189"/>
      <c r="AD12" s="189"/>
      <c r="AE12" s="189"/>
      <c r="AF12" s="189"/>
      <c r="AG12" s="189"/>
      <c r="AH12" s="189"/>
    </row>
    <row r="13" spans="1:34" x14ac:dyDescent="0.25">
      <c r="A13" s="190"/>
      <c r="B13" s="179"/>
      <c r="C13" s="94"/>
      <c r="D13" s="196"/>
      <c r="E13" s="196"/>
      <c r="F13" s="200"/>
      <c r="G13" s="196" t="str">
        <f t="shared" si="0"/>
        <v/>
      </c>
      <c r="H13" s="201"/>
      <c r="I13" s="87"/>
      <c r="J13" s="138"/>
      <c r="K13" s="202"/>
      <c r="L13" s="195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  <c r="Y13" s="189"/>
      <c r="Z13" s="189"/>
      <c r="AA13" s="189"/>
      <c r="AB13" s="189"/>
      <c r="AC13" s="189"/>
      <c r="AD13" s="189"/>
      <c r="AE13" s="189"/>
      <c r="AF13" s="189"/>
      <c r="AG13" s="189"/>
      <c r="AH13" s="189"/>
    </row>
    <row r="14" spans="1:34" x14ac:dyDescent="0.25">
      <c r="A14" s="190"/>
      <c r="B14" s="179"/>
      <c r="C14" s="94"/>
      <c r="D14" s="196"/>
      <c r="E14" s="196"/>
      <c r="F14" s="200"/>
      <c r="G14" s="196" t="str">
        <f t="shared" si="0"/>
        <v/>
      </c>
      <c r="H14" s="201"/>
      <c r="I14" s="87"/>
      <c r="J14" s="138"/>
      <c r="K14" s="202"/>
      <c r="L14" s="195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</row>
    <row r="15" spans="1:34" x14ac:dyDescent="0.25">
      <c r="A15" s="190"/>
      <c r="B15" s="179"/>
      <c r="C15" s="94"/>
      <c r="D15" s="196"/>
      <c r="E15" s="196"/>
      <c r="F15" s="200"/>
      <c r="G15" s="196" t="str">
        <f t="shared" si="0"/>
        <v/>
      </c>
      <c r="H15" s="201"/>
      <c r="I15" s="87"/>
      <c r="J15" s="138"/>
      <c r="K15" s="202"/>
      <c r="L15" s="195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  <c r="Y15" s="189"/>
      <c r="Z15" s="189"/>
      <c r="AA15" s="189"/>
      <c r="AB15" s="189"/>
      <c r="AC15" s="189"/>
      <c r="AD15" s="189"/>
      <c r="AE15" s="189"/>
      <c r="AF15" s="189"/>
      <c r="AG15" s="189"/>
      <c r="AH15" s="189"/>
    </row>
    <row r="16" spans="1:34" x14ac:dyDescent="0.25">
      <c r="A16" s="190"/>
      <c r="B16" s="179"/>
      <c r="C16" s="94"/>
      <c r="D16" s="196"/>
      <c r="E16" s="196"/>
      <c r="F16" s="200"/>
      <c r="G16" s="196" t="str">
        <f t="shared" si="0"/>
        <v/>
      </c>
      <c r="H16" s="201"/>
      <c r="I16" s="87"/>
      <c r="J16" s="138"/>
      <c r="K16" s="202"/>
      <c r="L16" s="195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  <c r="Y16" s="189"/>
      <c r="Z16" s="189"/>
      <c r="AA16" s="189"/>
      <c r="AB16" s="189"/>
      <c r="AC16" s="189"/>
      <c r="AD16" s="189"/>
      <c r="AE16" s="189"/>
      <c r="AF16" s="189"/>
      <c r="AG16" s="189"/>
      <c r="AH16" s="189"/>
    </row>
    <row r="17" spans="1:34" x14ac:dyDescent="0.25">
      <c r="A17" s="190"/>
      <c r="B17" s="179"/>
      <c r="C17" s="94"/>
      <c r="D17" s="196"/>
      <c r="E17" s="196"/>
      <c r="F17" s="200"/>
      <c r="G17" s="196" t="str">
        <f t="shared" si="0"/>
        <v/>
      </c>
      <c r="H17" s="201"/>
      <c r="I17" s="87"/>
      <c r="J17" s="138"/>
      <c r="K17" s="202"/>
      <c r="L17" s="195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  <c r="Y17" s="189"/>
      <c r="Z17" s="189"/>
      <c r="AA17" s="189"/>
      <c r="AB17" s="189"/>
      <c r="AC17" s="189"/>
      <c r="AD17" s="189"/>
      <c r="AE17" s="189"/>
      <c r="AF17" s="189"/>
      <c r="AG17" s="189"/>
      <c r="AH17" s="189"/>
    </row>
    <row r="18" spans="1:34" x14ac:dyDescent="0.25">
      <c r="A18" s="190"/>
      <c r="B18" s="179"/>
      <c r="C18" s="94"/>
      <c r="D18" s="196"/>
      <c r="E18" s="196"/>
      <c r="F18" s="200"/>
      <c r="G18" s="196" t="str">
        <f t="shared" si="0"/>
        <v/>
      </c>
      <c r="H18" s="201"/>
      <c r="I18" s="87"/>
      <c r="J18" s="138"/>
      <c r="K18" s="202"/>
      <c r="L18" s="195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  <c r="Y18" s="189"/>
      <c r="Z18" s="189"/>
      <c r="AA18" s="189"/>
      <c r="AB18" s="189"/>
      <c r="AC18" s="189"/>
      <c r="AD18" s="189"/>
      <c r="AE18" s="189"/>
      <c r="AF18" s="189"/>
      <c r="AG18" s="189"/>
      <c r="AH18" s="189"/>
    </row>
    <row r="19" spans="1:34" x14ac:dyDescent="0.25">
      <c r="A19" s="190"/>
      <c r="B19" s="179"/>
      <c r="C19" s="94"/>
      <c r="D19" s="196"/>
      <c r="E19" s="196"/>
      <c r="F19" s="200"/>
      <c r="G19" s="196" t="str">
        <f t="shared" ref="G19:G51" si="1">IF(AND(C19&lt;&gt;"",E19&lt;&gt;""),C19*E19,"")</f>
        <v/>
      </c>
      <c r="H19" s="201"/>
      <c r="I19" s="87"/>
      <c r="J19" s="138"/>
      <c r="K19" s="202"/>
      <c r="L19" s="195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  <c r="AG19" s="189"/>
      <c r="AH19" s="189"/>
    </row>
    <row r="20" spans="1:34" x14ac:dyDescent="0.25">
      <c r="A20" s="190"/>
      <c r="B20" s="179"/>
      <c r="C20" s="94"/>
      <c r="D20" s="196"/>
      <c r="E20" s="196"/>
      <c r="F20" s="200"/>
      <c r="G20" s="196" t="str">
        <f t="shared" si="1"/>
        <v/>
      </c>
      <c r="H20" s="201"/>
      <c r="I20" s="87"/>
      <c r="J20" s="138"/>
      <c r="K20" s="202"/>
      <c r="L20" s="195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  <c r="Y20" s="189"/>
      <c r="Z20" s="189"/>
      <c r="AA20" s="189"/>
      <c r="AB20" s="189"/>
      <c r="AC20" s="189"/>
      <c r="AD20" s="189"/>
      <c r="AE20" s="189"/>
      <c r="AF20" s="189"/>
      <c r="AG20" s="189"/>
      <c r="AH20" s="189"/>
    </row>
    <row r="21" spans="1:34" x14ac:dyDescent="0.25">
      <c r="A21" s="190"/>
      <c r="B21" s="179"/>
      <c r="C21" s="94"/>
      <c r="D21" s="196"/>
      <c r="E21" s="196"/>
      <c r="F21" s="200"/>
      <c r="G21" s="196" t="str">
        <f t="shared" si="1"/>
        <v/>
      </c>
      <c r="H21" s="201"/>
      <c r="I21" s="87"/>
      <c r="J21" s="138"/>
      <c r="K21" s="202"/>
      <c r="L21" s="195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  <c r="Y21" s="189"/>
      <c r="Z21" s="189"/>
      <c r="AA21" s="189"/>
      <c r="AB21" s="189"/>
      <c r="AC21" s="189"/>
      <c r="AD21" s="189"/>
      <c r="AE21" s="189"/>
      <c r="AF21" s="189"/>
      <c r="AG21" s="189"/>
      <c r="AH21" s="189"/>
    </row>
    <row r="22" spans="1:34" x14ac:dyDescent="0.25">
      <c r="A22" s="190"/>
      <c r="B22" s="179"/>
      <c r="C22" s="94"/>
      <c r="D22" s="196"/>
      <c r="E22" s="196"/>
      <c r="F22" s="200"/>
      <c r="G22" s="196" t="str">
        <f t="shared" si="1"/>
        <v/>
      </c>
      <c r="H22" s="201"/>
      <c r="I22" s="87"/>
      <c r="J22" s="138"/>
      <c r="K22" s="202"/>
      <c r="L22" s="195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  <c r="Y22" s="189"/>
      <c r="Z22" s="189"/>
      <c r="AA22" s="189"/>
      <c r="AB22" s="189"/>
      <c r="AC22" s="189"/>
      <c r="AD22" s="189"/>
      <c r="AE22" s="189"/>
      <c r="AF22" s="189"/>
      <c r="AG22" s="189"/>
      <c r="AH22" s="189"/>
    </row>
    <row r="23" spans="1:34" x14ac:dyDescent="0.25">
      <c r="A23" s="190"/>
      <c r="B23" s="180"/>
      <c r="C23" s="96"/>
      <c r="D23" s="204"/>
      <c r="E23" s="204"/>
      <c r="F23" s="205"/>
      <c r="G23" s="196" t="str">
        <f t="shared" si="1"/>
        <v/>
      </c>
      <c r="H23" s="206"/>
      <c r="I23" s="97"/>
      <c r="J23" s="139"/>
      <c r="K23" s="207"/>
      <c r="L23" s="195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  <c r="Y23" s="189"/>
      <c r="Z23" s="189"/>
      <c r="AA23" s="189"/>
      <c r="AB23" s="189"/>
      <c r="AC23" s="189"/>
      <c r="AD23" s="189"/>
      <c r="AE23" s="189"/>
      <c r="AF23" s="189"/>
      <c r="AG23" s="189"/>
      <c r="AH23" s="189"/>
    </row>
    <row r="24" spans="1:34" x14ac:dyDescent="0.25">
      <c r="A24" s="190"/>
      <c r="B24" s="181"/>
      <c r="C24" s="92"/>
      <c r="D24" s="192"/>
      <c r="E24" s="192"/>
      <c r="F24" s="208"/>
      <c r="G24" s="196" t="str">
        <f t="shared" si="1"/>
        <v/>
      </c>
      <c r="H24" s="197"/>
      <c r="I24" s="92"/>
      <c r="J24" s="140"/>
      <c r="K24" s="198"/>
      <c r="L24" s="195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  <c r="Y24" s="189"/>
      <c r="Z24" s="189"/>
      <c r="AA24" s="189"/>
      <c r="AB24" s="189"/>
      <c r="AC24" s="189"/>
      <c r="AD24" s="189"/>
      <c r="AE24" s="189"/>
      <c r="AF24" s="189"/>
      <c r="AG24" s="189"/>
      <c r="AH24" s="189"/>
    </row>
    <row r="25" spans="1:34" x14ac:dyDescent="0.25">
      <c r="A25" s="190"/>
      <c r="B25" s="181"/>
      <c r="C25" s="92"/>
      <c r="D25" s="192"/>
      <c r="E25" s="192"/>
      <c r="F25" s="208"/>
      <c r="G25" s="196" t="str">
        <f t="shared" si="1"/>
        <v/>
      </c>
      <c r="H25" s="197"/>
      <c r="I25" s="92"/>
      <c r="J25" s="140"/>
      <c r="K25" s="198"/>
      <c r="L25" s="195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89"/>
      <c r="AD25" s="189"/>
      <c r="AE25" s="189"/>
      <c r="AF25" s="189"/>
      <c r="AG25" s="189"/>
      <c r="AH25" s="189"/>
    </row>
    <row r="26" spans="1:34" x14ac:dyDescent="0.25">
      <c r="A26" s="190"/>
      <c r="B26" s="181"/>
      <c r="C26" s="92"/>
      <c r="D26" s="192"/>
      <c r="E26" s="192"/>
      <c r="F26" s="208"/>
      <c r="G26" s="196" t="str">
        <f t="shared" si="1"/>
        <v/>
      </c>
      <c r="H26" s="197"/>
      <c r="I26" s="92"/>
      <c r="J26" s="140"/>
      <c r="K26" s="198"/>
      <c r="L26" s="195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  <c r="Y26" s="189"/>
      <c r="Z26" s="189"/>
      <c r="AA26" s="189"/>
      <c r="AB26" s="189"/>
      <c r="AC26" s="189"/>
      <c r="AD26" s="189"/>
      <c r="AE26" s="189"/>
      <c r="AF26" s="189"/>
      <c r="AG26" s="189"/>
      <c r="AH26" s="189"/>
    </row>
    <row r="27" spans="1:34" x14ac:dyDescent="0.25">
      <c r="A27" s="190"/>
      <c r="B27" s="181"/>
      <c r="C27" s="92"/>
      <c r="D27" s="192"/>
      <c r="E27" s="192"/>
      <c r="F27" s="208"/>
      <c r="G27" s="196" t="str">
        <f t="shared" si="1"/>
        <v/>
      </c>
      <c r="H27" s="197"/>
      <c r="I27" s="92"/>
      <c r="J27" s="140"/>
      <c r="K27" s="198"/>
      <c r="L27" s="195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  <c r="Y27" s="189"/>
      <c r="Z27" s="189"/>
      <c r="AA27" s="189"/>
      <c r="AB27" s="189"/>
      <c r="AC27" s="189"/>
      <c r="AD27" s="189"/>
      <c r="AE27" s="189"/>
      <c r="AF27" s="189"/>
      <c r="AG27" s="189"/>
      <c r="AH27" s="189"/>
    </row>
    <row r="28" spans="1:34" x14ac:dyDescent="0.25">
      <c r="A28" s="190"/>
      <c r="B28" s="181"/>
      <c r="C28" s="92"/>
      <c r="D28" s="192"/>
      <c r="E28" s="192"/>
      <c r="F28" s="208"/>
      <c r="G28" s="196" t="str">
        <f t="shared" si="1"/>
        <v/>
      </c>
      <c r="H28" s="197"/>
      <c r="I28" s="92"/>
      <c r="J28" s="140"/>
      <c r="K28" s="198"/>
      <c r="L28" s="195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  <c r="Y28" s="189"/>
      <c r="Z28" s="189"/>
      <c r="AA28" s="189"/>
      <c r="AB28" s="189"/>
      <c r="AC28" s="189"/>
      <c r="AD28" s="189"/>
      <c r="AE28" s="189"/>
      <c r="AF28" s="189"/>
      <c r="AG28" s="189"/>
      <c r="AH28" s="189"/>
    </row>
    <row r="29" spans="1:34" x14ac:dyDescent="0.25">
      <c r="A29" s="190"/>
      <c r="B29" s="181"/>
      <c r="C29" s="92"/>
      <c r="D29" s="192"/>
      <c r="E29" s="192"/>
      <c r="F29" s="208"/>
      <c r="G29" s="196" t="str">
        <f t="shared" si="1"/>
        <v/>
      </c>
      <c r="H29" s="197"/>
      <c r="I29" s="92"/>
      <c r="J29" s="140"/>
      <c r="K29" s="198"/>
      <c r="L29" s="195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  <c r="Y29" s="189"/>
      <c r="Z29" s="189"/>
      <c r="AA29" s="189"/>
      <c r="AB29" s="189"/>
      <c r="AC29" s="189"/>
      <c r="AD29" s="189"/>
      <c r="AE29" s="189"/>
      <c r="AF29" s="189"/>
      <c r="AG29" s="189"/>
      <c r="AH29" s="189"/>
    </row>
    <row r="30" spans="1:34" x14ac:dyDescent="0.25">
      <c r="A30" s="190"/>
      <c r="B30" s="181"/>
      <c r="C30" s="92"/>
      <c r="D30" s="192"/>
      <c r="E30" s="192"/>
      <c r="F30" s="208"/>
      <c r="G30" s="196" t="str">
        <f t="shared" si="1"/>
        <v/>
      </c>
      <c r="H30" s="197"/>
      <c r="I30" s="92"/>
      <c r="J30" s="140"/>
      <c r="K30" s="198"/>
      <c r="L30" s="195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  <c r="Y30" s="189"/>
      <c r="Z30" s="189"/>
      <c r="AA30" s="189"/>
      <c r="AB30" s="189"/>
      <c r="AC30" s="189"/>
      <c r="AD30" s="189"/>
      <c r="AE30" s="189"/>
      <c r="AF30" s="189"/>
      <c r="AG30" s="189"/>
      <c r="AH30" s="189"/>
    </row>
    <row r="31" spans="1:34" x14ac:dyDescent="0.25">
      <c r="A31" s="190"/>
      <c r="B31" s="181"/>
      <c r="C31" s="92"/>
      <c r="D31" s="192"/>
      <c r="E31" s="192"/>
      <c r="F31" s="208"/>
      <c r="G31" s="196" t="str">
        <f t="shared" si="1"/>
        <v/>
      </c>
      <c r="H31" s="197"/>
      <c r="I31" s="92"/>
      <c r="J31" s="140"/>
      <c r="K31" s="198"/>
      <c r="L31" s="195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  <c r="Y31" s="189"/>
      <c r="Z31" s="189"/>
      <c r="AA31" s="189"/>
      <c r="AB31" s="189"/>
      <c r="AC31" s="189"/>
      <c r="AD31" s="189"/>
      <c r="AE31" s="189"/>
      <c r="AF31" s="189"/>
      <c r="AG31" s="189"/>
      <c r="AH31" s="189"/>
    </row>
    <row r="32" spans="1:34" x14ac:dyDescent="0.25">
      <c r="A32" s="190"/>
      <c r="B32" s="181"/>
      <c r="C32" s="92"/>
      <c r="D32" s="192"/>
      <c r="E32" s="192"/>
      <c r="F32" s="208"/>
      <c r="G32" s="196" t="str">
        <f t="shared" si="1"/>
        <v/>
      </c>
      <c r="H32" s="197"/>
      <c r="I32" s="92"/>
      <c r="J32" s="140"/>
      <c r="K32" s="198"/>
      <c r="L32" s="195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  <c r="Y32" s="189"/>
      <c r="Z32" s="189"/>
      <c r="AA32" s="189"/>
      <c r="AB32" s="189"/>
      <c r="AC32" s="189"/>
      <c r="AD32" s="189"/>
      <c r="AE32" s="189"/>
      <c r="AF32" s="189"/>
      <c r="AG32" s="189"/>
      <c r="AH32" s="189"/>
    </row>
    <row r="33" spans="1:34" x14ac:dyDescent="0.25">
      <c r="A33" s="190"/>
      <c r="B33" s="181"/>
      <c r="C33" s="92"/>
      <c r="D33" s="192"/>
      <c r="E33" s="192"/>
      <c r="F33" s="208"/>
      <c r="G33" s="196" t="str">
        <f t="shared" si="1"/>
        <v/>
      </c>
      <c r="H33" s="197"/>
      <c r="I33" s="92"/>
      <c r="J33" s="140"/>
      <c r="K33" s="198"/>
      <c r="L33" s="195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  <c r="Y33" s="189"/>
      <c r="Z33" s="189"/>
      <c r="AA33" s="189"/>
      <c r="AB33" s="189"/>
      <c r="AC33" s="189"/>
      <c r="AD33" s="189"/>
      <c r="AE33" s="189"/>
      <c r="AF33" s="189"/>
      <c r="AG33" s="189"/>
      <c r="AH33" s="189"/>
    </row>
    <row r="34" spans="1:34" x14ac:dyDescent="0.25">
      <c r="A34" s="190"/>
      <c r="B34" s="181"/>
      <c r="C34" s="92"/>
      <c r="D34" s="192"/>
      <c r="E34" s="192"/>
      <c r="G34" s="196" t="str">
        <f t="shared" si="1"/>
        <v/>
      </c>
      <c r="H34" s="197"/>
      <c r="I34" s="92"/>
      <c r="J34" s="140"/>
      <c r="K34" s="198"/>
      <c r="L34" s="195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  <c r="Y34" s="189"/>
      <c r="Z34" s="189"/>
      <c r="AA34" s="189"/>
      <c r="AB34" s="189"/>
      <c r="AC34" s="189"/>
      <c r="AD34" s="189"/>
      <c r="AE34" s="189"/>
      <c r="AF34" s="189"/>
      <c r="AG34" s="189"/>
      <c r="AH34" s="189"/>
    </row>
    <row r="35" spans="1:34" x14ac:dyDescent="0.25">
      <c r="A35" s="190"/>
      <c r="B35" s="181"/>
      <c r="C35" s="92"/>
      <c r="D35" s="192"/>
      <c r="E35" s="192"/>
      <c r="F35" s="208"/>
      <c r="G35" s="196" t="str">
        <f t="shared" si="1"/>
        <v/>
      </c>
      <c r="H35" s="197"/>
      <c r="I35" s="92"/>
      <c r="J35" s="140"/>
      <c r="K35" s="198"/>
      <c r="L35" s="195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</row>
    <row r="36" spans="1:34" x14ac:dyDescent="0.25">
      <c r="A36" s="190"/>
      <c r="B36" s="181"/>
      <c r="C36" s="92"/>
      <c r="D36" s="192"/>
      <c r="E36" s="192"/>
      <c r="F36" s="208"/>
      <c r="G36" s="196" t="str">
        <f t="shared" si="1"/>
        <v/>
      </c>
      <c r="H36" s="197"/>
      <c r="I36" s="92"/>
      <c r="J36" s="140"/>
      <c r="K36" s="198"/>
      <c r="L36" s="195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  <c r="Y36" s="189"/>
      <c r="Z36" s="189"/>
      <c r="AA36" s="189"/>
      <c r="AB36" s="189"/>
      <c r="AC36" s="189"/>
      <c r="AD36" s="189"/>
      <c r="AE36" s="189"/>
      <c r="AF36" s="189"/>
      <c r="AG36" s="189"/>
      <c r="AH36" s="189"/>
    </row>
    <row r="37" spans="1:34" x14ac:dyDescent="0.25">
      <c r="A37" s="190"/>
      <c r="B37" s="181"/>
      <c r="C37" s="92"/>
      <c r="D37" s="192"/>
      <c r="E37" s="192"/>
      <c r="F37" s="208"/>
      <c r="G37" s="196" t="str">
        <f t="shared" si="1"/>
        <v/>
      </c>
      <c r="H37" s="197"/>
      <c r="I37" s="92"/>
      <c r="J37" s="140"/>
      <c r="K37" s="198"/>
      <c r="L37" s="195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  <c r="Y37" s="189"/>
      <c r="Z37" s="189"/>
      <c r="AA37" s="189"/>
      <c r="AB37" s="189"/>
      <c r="AC37" s="189"/>
      <c r="AD37" s="189"/>
      <c r="AE37" s="189"/>
      <c r="AF37" s="189"/>
      <c r="AG37" s="189"/>
      <c r="AH37" s="189"/>
    </row>
    <row r="38" spans="1:34" x14ac:dyDescent="0.25">
      <c r="A38" s="190"/>
      <c r="B38" s="181"/>
      <c r="C38" s="92"/>
      <c r="D38" s="192"/>
      <c r="E38" s="192"/>
      <c r="F38" s="208"/>
      <c r="G38" s="196" t="str">
        <f t="shared" si="1"/>
        <v/>
      </c>
      <c r="H38" s="197"/>
      <c r="I38" s="92"/>
      <c r="J38" s="140"/>
      <c r="K38" s="198"/>
      <c r="L38" s="195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  <c r="Y38" s="189"/>
      <c r="Z38" s="189"/>
      <c r="AA38" s="189"/>
      <c r="AB38" s="189"/>
      <c r="AC38" s="189"/>
      <c r="AD38" s="189"/>
      <c r="AE38" s="189"/>
      <c r="AF38" s="189"/>
      <c r="AG38" s="189"/>
      <c r="AH38" s="189"/>
    </row>
    <row r="39" spans="1:34" x14ac:dyDescent="0.25">
      <c r="A39" s="190"/>
      <c r="B39" s="181"/>
      <c r="C39" s="92"/>
      <c r="D39" s="192"/>
      <c r="E39" s="192"/>
      <c r="F39" s="208"/>
      <c r="G39" s="196" t="str">
        <f t="shared" si="1"/>
        <v/>
      </c>
      <c r="H39" s="197"/>
      <c r="I39" s="92"/>
      <c r="J39" s="140"/>
      <c r="K39" s="198"/>
      <c r="L39" s="195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</row>
    <row r="40" spans="1:34" x14ac:dyDescent="0.25">
      <c r="A40" s="190"/>
      <c r="B40" s="181"/>
      <c r="C40" s="92"/>
      <c r="D40" s="192"/>
      <c r="E40" s="192"/>
      <c r="F40" s="208"/>
      <c r="G40" s="196" t="str">
        <f t="shared" si="1"/>
        <v/>
      </c>
      <c r="H40" s="197"/>
      <c r="I40" s="92"/>
      <c r="J40" s="140"/>
      <c r="K40" s="198"/>
      <c r="L40" s="195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  <c r="Y40" s="189"/>
      <c r="Z40" s="189"/>
      <c r="AA40" s="189"/>
      <c r="AB40" s="189"/>
      <c r="AC40" s="189"/>
      <c r="AD40" s="189"/>
      <c r="AE40" s="189"/>
      <c r="AF40" s="189"/>
      <c r="AG40" s="189"/>
      <c r="AH40" s="189"/>
    </row>
    <row r="41" spans="1:34" x14ac:dyDescent="0.25">
      <c r="A41" s="190"/>
      <c r="B41" s="181"/>
      <c r="C41" s="92"/>
      <c r="D41" s="192"/>
      <c r="E41" s="192"/>
      <c r="F41" s="208"/>
      <c r="G41" s="196" t="str">
        <f t="shared" si="1"/>
        <v/>
      </c>
      <c r="H41" s="197"/>
      <c r="I41" s="92"/>
      <c r="J41" s="140"/>
      <c r="K41" s="198"/>
      <c r="L41" s="195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  <c r="Y41" s="189"/>
      <c r="Z41" s="189"/>
      <c r="AA41" s="189"/>
      <c r="AB41" s="189"/>
      <c r="AC41" s="189"/>
      <c r="AD41" s="189"/>
      <c r="AE41" s="189"/>
      <c r="AF41" s="189"/>
      <c r="AG41" s="189"/>
      <c r="AH41" s="189"/>
    </row>
    <row r="42" spans="1:34" x14ac:dyDescent="0.25">
      <c r="A42" s="190"/>
      <c r="B42" s="181"/>
      <c r="C42" s="92"/>
      <c r="D42" s="192"/>
      <c r="E42" s="192"/>
      <c r="F42" s="208"/>
      <c r="G42" s="196" t="str">
        <f t="shared" si="1"/>
        <v/>
      </c>
      <c r="H42" s="197"/>
      <c r="I42" s="92"/>
      <c r="J42" s="140"/>
      <c r="K42" s="198"/>
      <c r="L42" s="195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  <c r="Y42" s="189"/>
      <c r="Z42" s="189"/>
      <c r="AA42" s="189"/>
      <c r="AB42" s="189"/>
      <c r="AC42" s="189"/>
      <c r="AD42" s="189"/>
      <c r="AE42" s="189"/>
      <c r="AF42" s="189"/>
      <c r="AG42" s="189"/>
      <c r="AH42" s="189"/>
    </row>
    <row r="43" spans="1:34" x14ac:dyDescent="0.25">
      <c r="A43" s="190"/>
      <c r="B43" s="181"/>
      <c r="C43" s="92"/>
      <c r="D43" s="192"/>
      <c r="E43" s="192"/>
      <c r="F43" s="208"/>
      <c r="G43" s="196" t="str">
        <f t="shared" si="1"/>
        <v/>
      </c>
      <c r="H43" s="197"/>
      <c r="I43" s="92"/>
      <c r="J43" s="140"/>
      <c r="K43" s="198"/>
      <c r="L43" s="195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  <c r="Y43" s="189"/>
      <c r="Z43" s="189"/>
      <c r="AA43" s="189"/>
      <c r="AB43" s="189"/>
      <c r="AC43" s="189"/>
      <c r="AD43" s="189"/>
      <c r="AE43" s="189"/>
      <c r="AF43" s="189"/>
      <c r="AG43" s="189"/>
      <c r="AH43" s="189"/>
    </row>
    <row r="44" spans="1:34" x14ac:dyDescent="0.25">
      <c r="A44" s="190"/>
      <c r="B44" s="181"/>
      <c r="C44" s="92"/>
      <c r="D44" s="192"/>
      <c r="E44" s="192"/>
      <c r="F44" s="208"/>
      <c r="G44" s="196" t="str">
        <f t="shared" si="1"/>
        <v/>
      </c>
      <c r="H44" s="197"/>
      <c r="I44" s="92"/>
      <c r="J44" s="140"/>
      <c r="K44" s="198"/>
      <c r="L44" s="195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  <c r="Y44" s="189"/>
      <c r="Z44" s="189"/>
      <c r="AA44" s="189"/>
      <c r="AB44" s="189"/>
      <c r="AC44" s="189"/>
      <c r="AD44" s="189"/>
      <c r="AE44" s="189"/>
      <c r="AF44" s="189"/>
      <c r="AG44" s="189"/>
      <c r="AH44" s="189"/>
    </row>
    <row r="45" spans="1:34" x14ac:dyDescent="0.25">
      <c r="A45" s="190"/>
      <c r="B45" s="181"/>
      <c r="C45" s="92"/>
      <c r="D45" s="192"/>
      <c r="E45" s="192"/>
      <c r="F45" s="208"/>
      <c r="G45" s="196" t="str">
        <f t="shared" si="1"/>
        <v/>
      </c>
      <c r="H45" s="197"/>
      <c r="I45" s="92"/>
      <c r="J45" s="140"/>
      <c r="K45" s="198"/>
      <c r="L45" s="195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  <c r="Y45" s="189"/>
      <c r="Z45" s="189"/>
      <c r="AA45" s="189"/>
      <c r="AB45" s="189"/>
      <c r="AC45" s="189"/>
      <c r="AD45" s="189"/>
      <c r="AE45" s="189"/>
      <c r="AF45" s="189"/>
      <c r="AG45" s="189"/>
      <c r="AH45" s="189"/>
    </row>
    <row r="46" spans="1:34" x14ac:dyDescent="0.25">
      <c r="A46" s="190"/>
      <c r="B46" s="181"/>
      <c r="C46" s="92"/>
      <c r="D46" s="192"/>
      <c r="E46" s="192"/>
      <c r="F46" s="208"/>
      <c r="G46" s="196" t="str">
        <f t="shared" si="1"/>
        <v/>
      </c>
      <c r="H46" s="197"/>
      <c r="I46" s="92"/>
      <c r="J46" s="140"/>
      <c r="K46" s="198"/>
      <c r="L46" s="195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  <c r="Y46" s="189"/>
      <c r="Z46" s="189"/>
      <c r="AA46" s="189"/>
      <c r="AB46" s="189"/>
      <c r="AC46" s="189"/>
      <c r="AD46" s="189"/>
      <c r="AE46" s="189"/>
      <c r="AF46" s="189"/>
      <c r="AG46" s="189"/>
      <c r="AH46" s="189"/>
    </row>
    <row r="47" spans="1:34" x14ac:dyDescent="0.25">
      <c r="A47" s="190"/>
      <c r="B47" s="181"/>
      <c r="C47" s="92"/>
      <c r="D47" s="192"/>
      <c r="E47" s="192"/>
      <c r="F47" s="208"/>
      <c r="G47" s="196" t="str">
        <f t="shared" si="1"/>
        <v/>
      </c>
      <c r="H47" s="197"/>
      <c r="I47" s="92"/>
      <c r="J47" s="140"/>
      <c r="K47" s="198"/>
      <c r="L47" s="195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  <c r="Y47" s="189"/>
      <c r="Z47" s="189"/>
      <c r="AA47" s="189"/>
      <c r="AB47" s="189"/>
      <c r="AC47" s="189"/>
      <c r="AD47" s="189"/>
      <c r="AE47" s="189"/>
      <c r="AF47" s="189"/>
      <c r="AG47" s="189"/>
      <c r="AH47" s="189"/>
    </row>
    <row r="48" spans="1:34" x14ac:dyDescent="0.25">
      <c r="A48" s="190"/>
      <c r="B48" s="181"/>
      <c r="C48" s="92"/>
      <c r="D48" s="192"/>
      <c r="E48" s="192"/>
      <c r="F48" s="208"/>
      <c r="G48" s="196" t="str">
        <f t="shared" si="1"/>
        <v/>
      </c>
      <c r="H48" s="197"/>
      <c r="I48" s="92"/>
      <c r="J48" s="140"/>
      <c r="K48" s="198"/>
      <c r="L48" s="195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  <c r="Y48" s="189"/>
      <c r="Z48" s="189"/>
      <c r="AA48" s="189"/>
      <c r="AB48" s="189"/>
      <c r="AC48" s="189"/>
      <c r="AD48" s="189"/>
      <c r="AE48" s="189"/>
      <c r="AF48" s="189"/>
      <c r="AG48" s="189"/>
      <c r="AH48" s="189"/>
    </row>
    <row r="49" spans="1:12" x14ac:dyDescent="0.25">
      <c r="A49" s="190"/>
      <c r="B49" s="181"/>
      <c r="C49" s="92"/>
      <c r="D49" s="192"/>
      <c r="E49" s="192"/>
      <c r="F49" s="208"/>
      <c r="G49" s="196" t="str">
        <f t="shared" si="1"/>
        <v/>
      </c>
      <c r="H49" s="197"/>
      <c r="I49" s="92"/>
      <c r="J49" s="140"/>
      <c r="K49" s="198"/>
      <c r="L49" s="195"/>
    </row>
    <row r="50" spans="1:12" x14ac:dyDescent="0.25">
      <c r="A50" s="190"/>
      <c r="B50" s="181"/>
      <c r="C50" s="92"/>
      <c r="D50" s="192"/>
      <c r="E50" s="192"/>
      <c r="F50" s="208"/>
      <c r="G50" s="196" t="str">
        <f t="shared" si="1"/>
        <v/>
      </c>
      <c r="H50" s="197"/>
      <c r="I50" s="92"/>
      <c r="J50" s="140"/>
      <c r="K50" s="198"/>
      <c r="L50" s="195"/>
    </row>
    <row r="51" spans="1:12" x14ac:dyDescent="0.25">
      <c r="A51" s="190"/>
      <c r="B51" s="181"/>
      <c r="C51" s="92"/>
      <c r="D51" s="192"/>
      <c r="E51" s="192"/>
      <c r="F51" s="208"/>
      <c r="G51" s="196" t="str">
        <f t="shared" si="1"/>
        <v/>
      </c>
      <c r="H51" s="197"/>
      <c r="I51" s="92"/>
      <c r="J51" s="140"/>
      <c r="K51" s="198"/>
      <c r="L51" s="195"/>
    </row>
    <row r="52" spans="1:12" x14ac:dyDescent="0.25">
      <c r="A52" s="209"/>
      <c r="B52" s="291"/>
      <c r="C52" s="98">
        <f>SUM(C4:C51)</f>
        <v>17</v>
      </c>
      <c r="D52" s="99"/>
      <c r="E52" s="99"/>
      <c r="F52" s="71" t="s">
        <v>604</v>
      </c>
      <c r="G52" s="98">
        <f>SUM(G4:G51)</f>
        <v>975</v>
      </c>
      <c r="H52" s="210"/>
      <c r="I52" s="100"/>
      <c r="J52" s="100"/>
      <c r="K52" s="211"/>
      <c r="L52" s="212"/>
    </row>
    <row r="53" spans="1:12" x14ac:dyDescent="0.25">
      <c r="A53" s="189"/>
      <c r="C53" s="189"/>
      <c r="D53" s="213"/>
      <c r="E53" s="213"/>
      <c r="F53" s="214"/>
      <c r="G53" s="189"/>
      <c r="H53" s="215"/>
      <c r="I53" s="101"/>
      <c r="J53" s="101"/>
      <c r="K53" s="189"/>
      <c r="L53" s="189"/>
    </row>
    <row r="54" spans="1:12" x14ac:dyDescent="0.25">
      <c r="A54" s="189"/>
      <c r="C54" s="189"/>
      <c r="D54" s="213"/>
      <c r="E54" s="213"/>
      <c r="F54" s="214"/>
      <c r="G54" s="189"/>
      <c r="H54" s="215"/>
      <c r="I54" s="101"/>
      <c r="J54" s="101"/>
      <c r="K54" s="189"/>
      <c r="L54" s="189"/>
    </row>
    <row r="55" spans="1:12" x14ac:dyDescent="0.25">
      <c r="A55" s="189"/>
      <c r="C55" s="189"/>
      <c r="D55" s="213"/>
      <c r="E55" s="213"/>
      <c r="F55" s="214"/>
      <c r="G55" s="189"/>
      <c r="H55" s="215"/>
      <c r="I55" s="101"/>
      <c r="J55" s="101"/>
      <c r="K55" s="189"/>
      <c r="L55" s="189"/>
    </row>
    <row r="56" spans="1:12" x14ac:dyDescent="0.25">
      <c r="A56" s="189"/>
      <c r="C56" s="189"/>
      <c r="D56" s="213"/>
      <c r="E56" s="213"/>
      <c r="F56" s="214"/>
      <c r="G56" s="189"/>
      <c r="H56" s="215"/>
      <c r="I56" s="101"/>
      <c r="J56" s="101"/>
      <c r="K56" s="189"/>
      <c r="L56" s="189"/>
    </row>
  </sheetData>
  <pageMargins left="0.25" right="0.25" top="0.75" bottom="0.75" header="0.3" footer="0.3"/>
  <pageSetup paperSize="9" scale="67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051E3CD-D34F-454A-AF5E-DF7D80549BA7}">
          <x14:formula1>
            <xm:f>Fincas!$B$2:$B$105</xm:f>
          </x14:formula1>
          <xm:sqref>F2</xm:sqref>
        </x14:dataValidation>
        <x14:dataValidation type="list" showInputMessage="1" showErrorMessage="1" xr:uid="{DB90204D-23C3-40D9-8EC3-B845879CE632}">
          <x14:formula1>
            <xm:f>Guias!$O$16:$O$20</xm:f>
          </x14:formula1>
          <xm:sqref>J2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ACD5-8D3C-4083-BBA7-8C2AA77A02F6}">
  <sheetPr>
    <tabColor theme="7" tint="0.39997558519241921"/>
  </sheetPr>
  <dimension ref="A1:R135"/>
  <sheetViews>
    <sheetView topLeftCell="A75" zoomScaleNormal="100" workbookViewId="0">
      <selection activeCell="M4" sqref="M4"/>
    </sheetView>
  </sheetViews>
  <sheetFormatPr defaultRowHeight="15" x14ac:dyDescent="0.25"/>
  <cols>
    <col min="1" max="1" width="1.42578125" style="56" customWidth="1"/>
    <col min="2" max="2" width="12.42578125" style="56" customWidth="1"/>
    <col min="3" max="3" width="9.140625" style="56" customWidth="1"/>
    <col min="4" max="4" width="4.5703125" style="56" bestFit="1" customWidth="1"/>
    <col min="5" max="5" width="7.7109375" style="56" bestFit="1" customWidth="1"/>
    <col min="6" max="6" width="17.28515625" style="66" bestFit="1" customWidth="1"/>
    <col min="7" max="7" width="90.140625" style="56" bestFit="1" customWidth="1"/>
    <col min="8" max="8" width="7.28515625" style="56" bestFit="1" customWidth="1"/>
    <col min="9" max="9" width="8.7109375" style="67" bestFit="1" customWidth="1"/>
    <col min="10" max="10" width="9.85546875" style="68" customWidth="1"/>
    <col min="11" max="11" width="11.7109375" style="68" customWidth="1"/>
    <col min="12" max="12" width="12" style="68" customWidth="1"/>
    <col min="13" max="13" width="25.42578125" style="56" customWidth="1"/>
    <col min="14" max="14" width="11.42578125" style="56" customWidth="1"/>
    <col min="15" max="15" width="1.7109375" style="56" customWidth="1"/>
    <col min="16" max="16" width="3" style="56" customWidth="1"/>
    <col min="17" max="17" width="25.5703125" style="56" bestFit="1" customWidth="1"/>
    <col min="18" max="16384" width="9.140625" style="56"/>
  </cols>
  <sheetData>
    <row r="1" spans="1:18" x14ac:dyDescent="0.25">
      <c r="A1" s="102"/>
      <c r="B1" s="103"/>
      <c r="C1" s="103"/>
      <c r="D1" s="104"/>
      <c r="E1" s="104"/>
      <c r="F1" s="105"/>
      <c r="G1" s="105"/>
      <c r="H1" s="103"/>
      <c r="I1" s="106"/>
      <c r="J1" s="107"/>
      <c r="K1" s="107"/>
      <c r="L1" s="107"/>
      <c r="M1" s="108"/>
      <c r="N1" s="109"/>
      <c r="O1" s="110"/>
      <c r="P1" s="175"/>
      <c r="Q1" s="175"/>
      <c r="R1" s="175"/>
    </row>
    <row r="2" spans="1:18" ht="18.75" customHeight="1" x14ac:dyDescent="0.25">
      <c r="A2" s="111"/>
      <c r="B2" s="114"/>
      <c r="C2" s="57" t="s">
        <v>605</v>
      </c>
      <c r="D2" s="58"/>
      <c r="E2" s="58"/>
      <c r="F2" s="58"/>
      <c r="G2" s="58"/>
      <c r="H2" s="58"/>
      <c r="I2" s="58"/>
      <c r="J2" s="112" t="s">
        <v>606</v>
      </c>
      <c r="K2" s="200"/>
      <c r="L2" s="113" t="s">
        <v>589</v>
      </c>
      <c r="M2" s="216" t="s">
        <v>530</v>
      </c>
      <c r="N2" s="59"/>
      <c r="O2" s="114"/>
      <c r="P2" s="175"/>
      <c r="Q2" s="175"/>
      <c r="R2" s="175"/>
    </row>
    <row r="3" spans="1:18" ht="15.75" x14ac:dyDescent="0.25">
      <c r="A3" s="111"/>
      <c r="B3" s="177" t="s">
        <v>607</v>
      </c>
      <c r="C3" s="60" t="s">
        <v>598</v>
      </c>
      <c r="D3" s="60" t="s">
        <v>15</v>
      </c>
      <c r="E3" s="60" t="s">
        <v>599</v>
      </c>
      <c r="F3" s="61" t="s">
        <v>0</v>
      </c>
      <c r="G3" s="60" t="s">
        <v>600</v>
      </c>
      <c r="H3" s="60" t="s">
        <v>601</v>
      </c>
      <c r="I3" s="62" t="s">
        <v>9</v>
      </c>
      <c r="J3" s="63" t="s">
        <v>593</v>
      </c>
      <c r="K3" s="63" t="s">
        <v>608</v>
      </c>
      <c r="L3" s="63" t="s">
        <v>24</v>
      </c>
      <c r="M3" s="64" t="s">
        <v>530</v>
      </c>
      <c r="N3" s="60" t="s">
        <v>553</v>
      </c>
      <c r="O3" s="114"/>
      <c r="P3" s="175"/>
      <c r="Q3" s="115" t="s">
        <v>609</v>
      </c>
      <c r="R3" s="175"/>
    </row>
    <row r="4" spans="1:18" x14ac:dyDescent="0.25">
      <c r="A4" s="111"/>
      <c r="B4" s="178" t="str" cm="1">
        <f t="array" ref="B4:B113">_xlfn.LET(
    _xlpm.b, Main[Qty],
    _xlpm.aa, Main[Inventarios],
    _xlpm.resta, _xlfn.MAP(_xlpm.aa, _xlfn.LAMBDA(_xlpm.id, IF(_xlpm.id="", 0, COUNTA(_xlfn.TEXTSPLIT(_xlpm.id, ",", , TRUE))))),
    _xlpm.final, _xlpm.b-_xlpm.resta,
    _xlpm.filas, _xlfn.SEQUENCE(ROWS(Main[Qty]))+1,
    _xlpm.mask, IF(K2="", _xlpm.final&gt;0, (_xlpm.final&gt;0)*(Main[Finca]=K2)),
    _xlpm.data, "Order #" &amp; _xlfn._xlws.FILTER(_xlpm.filas,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Order #3</v>
      </c>
      <c r="C4" s="65" cm="1">
        <f t="array" ref="C4:C113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_xlfn._xlws.FILTER(_xlpm.final,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</v>
      </c>
      <c r="D4" s="217" t="str" cm="1">
        <f t="array" ref="D4:D113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_xlfn._xlws.FILTER(Main[Type of Box],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QB</v>
      </c>
      <c r="E4" s="192" cm="1">
        <f t="array" ref="E4:E113">_xlfn.LET(
    _xlpm.b, Main[Qty],
    _xlpm.aa, Main[Inventarios],
    _xlpm.d, Main[Cantidad_Min],
    _xlpm.g, Main[Nombre],
    _xlpm.resta, _xlfn.MAP(_xlpm.aa, _xlfn.LAMBDA(_xlpm.id, IF(_xlpm.id="", 0, COUNTA(_xlfn.TEXTSPLIT(_xlpm.id, ",", , TRUE))))),
    _xlpm.final, _xlpm.b-_xlpm.resta,
    _xlpm.colE, _xlfn.MAP(_xlpm.d, _xlpm.g, _xlfn.LAMBDA(_xlpm.valD,_xlpm.valG, IFERROR(IF(_xlpm.valD=1, --TRIM(_xlfn.TEXTAFTER(_xlfn.TEXTBEFORE(_xlpm.valG, "("), "x ", -1)), _xlpm.valD), _xlpm.valD))),
    _xlpm.mask, IF(K2="", _xlpm.final&gt;0, (_xlpm.final&gt;0)*(Main[Finca]=K2)),
    _xlpm.data, _xlfn._xlws.FILTER(_xlpm.colE,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125</v>
      </c>
      <c r="F4" s="208" t="str" cm="1">
        <f t="array" ref="F4:F113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_xlfn._xlws.FILTER(Main[Finca],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Mystic Flowers</v>
      </c>
      <c r="G4" s="191" t="str" cm="1">
        <f t="array" ref="G4:G113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_xlfn._xlws.FILTER(Main[Variedad] &amp; " " &amp; Main[Nombre],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Roses 60cm Hermosa (M/T)</v>
      </c>
      <c r="H4" s="196" cm="1">
        <f t="array" ref="H4:H113">_xlfn.ANCHORARRAY(C4) *_xlfn.ANCHORARRAY( E4)</f>
        <v>125</v>
      </c>
      <c r="I4" s="218" cm="1">
        <f t="array" ref="I4:I113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_xlfn._xlws.FILTER(Main[Markup],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0.23321759259259245</v>
      </c>
      <c r="J4" s="116" cm="1">
        <f t="array" ref="J4:J113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_xlfn._xlws.FILTER(Main[Precio],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1.44</v>
      </c>
      <c r="K4" s="219">
        <f>IF(OR(E4="", J4=""), "", IF(COUNTIF(G4, "* x * (*)*"), J4, E4*J4))</f>
        <v>180</v>
      </c>
      <c r="L4" s="116">
        <f>IF(OR(K4="", C4=""), "", K4*C4)</f>
        <v>180</v>
      </c>
      <c r="M4" s="197" cm="1">
        <f t="array" ref="M4:M113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_xlfn._xlws.FILTER(Main[FechaEntrega],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46295</v>
      </c>
      <c r="N4" s="93" t="str" cm="1">
        <f t="array" ref="N4:N113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_xlfn._xlws.FILTER(Main[Color],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PO106210</v>
      </c>
      <c r="O4" s="220"/>
      <c r="P4" s="175"/>
      <c r="Q4" s="221" t="str">
        <f>"Hay "&amp;(SUMIF(D4:D130,"*EB*",C4:C130))&amp;" EB en Orden Fija"</f>
        <v>Hay 123 EB en Orden Fija</v>
      </c>
      <c r="R4" s="175"/>
    </row>
    <row r="5" spans="1:18" x14ac:dyDescent="0.25">
      <c r="A5" s="111"/>
      <c r="B5" s="179" t="str">
        <v>Order #4</v>
      </c>
      <c r="C5" s="117">
        <v>1</v>
      </c>
      <c r="D5" s="196" t="str">
        <v>QB</v>
      </c>
      <c r="E5" s="196">
        <v>125</v>
      </c>
      <c r="F5" s="200" t="str">
        <v>Star Roses</v>
      </c>
      <c r="G5" s="200" t="str">
        <v>Roses 60cm Tibet (M/T)</v>
      </c>
      <c r="H5" s="196">
        <v>125</v>
      </c>
      <c r="I5" s="218">
        <v>0.2592592592592593</v>
      </c>
      <c r="J5" s="116">
        <v>1.35</v>
      </c>
      <c r="K5" s="219">
        <f t="shared" ref="K5:K69" si="0">IF(OR(E5="", J5=""), "", IF(COUNTIF(G5, "* x * (*)*"), J5, E5*J5))</f>
        <v>168.75</v>
      </c>
      <c r="L5" s="116">
        <f t="shared" ref="L5:L69" si="1">IF(OR(K5="", C5=""), "", K5*C5)</f>
        <v>168.75</v>
      </c>
      <c r="M5" s="201">
        <v>46295</v>
      </c>
      <c r="N5" s="118" t="str">
        <v>PO106211</v>
      </c>
      <c r="O5" s="220"/>
      <c r="P5" s="175"/>
      <c r="Q5" s="222" t="str">
        <f>"Hay "&amp;(SUMIF(D5:D131,"*QB*",C5:C131))&amp;" QB en Orden Fija"</f>
        <v>Hay 110 QB en Orden Fija</v>
      </c>
      <c r="R5" s="175"/>
    </row>
    <row r="6" spans="1:18" x14ac:dyDescent="0.25">
      <c r="A6" s="111"/>
      <c r="B6" s="179" t="str">
        <v>Order #15</v>
      </c>
      <c r="C6" s="117">
        <v>1</v>
      </c>
      <c r="D6" s="196" t="str">
        <v>QB</v>
      </c>
      <c r="E6" s="196">
        <v>125</v>
      </c>
      <c r="F6" s="200" t="str">
        <v>Florecal</v>
      </c>
      <c r="G6" s="200" t="str">
        <v>Roses 50cm Explorer (M/T)</v>
      </c>
      <c r="H6" s="196">
        <v>125</v>
      </c>
      <c r="I6" s="218">
        <v>0.22965116279069764</v>
      </c>
      <c r="J6" s="116">
        <v>1.29</v>
      </c>
      <c r="K6" s="219">
        <f t="shared" si="0"/>
        <v>161.25</v>
      </c>
      <c r="L6" s="116">
        <f t="shared" si="1"/>
        <v>161.25</v>
      </c>
      <c r="M6" s="201">
        <v>46295</v>
      </c>
      <c r="N6" s="118" t="str">
        <v>PO106222</v>
      </c>
      <c r="O6" s="220"/>
      <c r="P6" s="175"/>
      <c r="Q6" s="223" t="str">
        <f>"Hay "&amp;(SUMIF(D6:D132,"*HB*",C6:C132))&amp;" HB en Orden Fija"</f>
        <v>Hay 0 HB en Orden Fija</v>
      </c>
      <c r="R6" s="175"/>
    </row>
    <row r="7" spans="1:18" x14ac:dyDescent="0.25">
      <c r="A7" s="111"/>
      <c r="B7" s="179" t="str">
        <v>Order #21</v>
      </c>
      <c r="C7" s="117">
        <v>1</v>
      </c>
      <c r="D7" s="196" t="str">
        <v>EB</v>
      </c>
      <c r="E7" s="196">
        <v>50</v>
      </c>
      <c r="F7" s="200" t="str">
        <v>Florecal</v>
      </c>
      <c r="G7" s="200" t="str">
        <v>Roses 60cm Freedom (M/T)</v>
      </c>
      <c r="H7" s="196">
        <v>50</v>
      </c>
      <c r="I7" s="218">
        <v>0.13730425055928408</v>
      </c>
      <c r="J7" s="116">
        <v>1.49</v>
      </c>
      <c r="K7" s="219">
        <f t="shared" si="0"/>
        <v>74.5</v>
      </c>
      <c r="L7" s="116">
        <f t="shared" si="1"/>
        <v>74.5</v>
      </c>
      <c r="M7" s="201">
        <v>46295</v>
      </c>
      <c r="N7" s="118" t="str">
        <v>PO106228</v>
      </c>
      <c r="O7" s="220"/>
      <c r="P7" s="175"/>
      <c r="Q7" s="119" t="str">
        <f>"Hay "&amp;SUM(C4:C130)&amp;" Cajas en Orden Fija"</f>
        <v>Hay 234 Cajas en Orden Fija</v>
      </c>
      <c r="R7" s="175"/>
    </row>
    <row r="8" spans="1:18" x14ac:dyDescent="0.25">
      <c r="A8" s="111"/>
      <c r="B8" s="179" t="str">
        <v>Order #22</v>
      </c>
      <c r="C8" s="117">
        <v>1</v>
      </c>
      <c r="D8" s="196" t="str">
        <v>QB</v>
      </c>
      <c r="E8" s="196">
        <v>125</v>
      </c>
      <c r="F8" s="200" t="str">
        <v>Florecal</v>
      </c>
      <c r="G8" s="200" t="str">
        <v>Roses 50cm Redvolution (M/T)</v>
      </c>
      <c r="H8" s="196">
        <v>125</v>
      </c>
      <c r="I8" s="218">
        <v>0.28507194244604306</v>
      </c>
      <c r="J8" s="116">
        <v>1.39</v>
      </c>
      <c r="K8" s="219">
        <f t="shared" si="0"/>
        <v>173.75</v>
      </c>
      <c r="L8" s="116">
        <f t="shared" si="1"/>
        <v>173.75</v>
      </c>
      <c r="M8" s="201">
        <v>46295</v>
      </c>
      <c r="N8" s="118" t="str">
        <v>PO106229</v>
      </c>
      <c r="O8" s="220"/>
      <c r="P8" s="175"/>
      <c r="Q8" s="175"/>
      <c r="R8" s="175"/>
    </row>
    <row r="9" spans="1:18" x14ac:dyDescent="0.25">
      <c r="A9" s="111"/>
      <c r="B9" s="179" t="str">
        <v>Order #23</v>
      </c>
      <c r="C9" s="117">
        <v>1</v>
      </c>
      <c r="D9" s="196" t="str">
        <v>QB</v>
      </c>
      <c r="E9" s="196">
        <v>125</v>
      </c>
      <c r="F9" s="200" t="str">
        <v>Florecal</v>
      </c>
      <c r="G9" s="200" t="str">
        <v>Roses 50cm Fortune (M/T)</v>
      </c>
      <c r="H9" s="196">
        <v>125</v>
      </c>
      <c r="I9" s="218">
        <v>0.28507194244604306</v>
      </c>
      <c r="J9" s="116">
        <v>1.39</v>
      </c>
      <c r="K9" s="219">
        <f t="shared" si="0"/>
        <v>173.75</v>
      </c>
      <c r="L9" s="116">
        <f t="shared" si="1"/>
        <v>173.75</v>
      </c>
      <c r="M9" s="201">
        <v>46295</v>
      </c>
      <c r="N9" s="118" t="str">
        <v>PO106230</v>
      </c>
      <c r="O9" s="220"/>
      <c r="P9" s="175"/>
      <c r="Q9" s="175"/>
      <c r="R9" s="175"/>
    </row>
    <row r="10" spans="1:18" x14ac:dyDescent="0.25">
      <c r="A10" s="111"/>
      <c r="B10" s="179" t="str">
        <v>Order #26</v>
      </c>
      <c r="C10" s="117">
        <v>1</v>
      </c>
      <c r="D10" s="196" t="str">
        <v>QB</v>
      </c>
      <c r="E10" s="196">
        <v>125</v>
      </c>
      <c r="F10" s="200" t="str">
        <v>Star Roses</v>
      </c>
      <c r="G10" s="200" t="str">
        <v>Roses 60cm Freedom (M/T)</v>
      </c>
      <c r="H10" s="196">
        <v>125</v>
      </c>
      <c r="I10" s="218">
        <v>0.28057553956834524</v>
      </c>
      <c r="J10" s="116">
        <v>1.39</v>
      </c>
      <c r="K10" s="219">
        <f t="shared" si="0"/>
        <v>173.75</v>
      </c>
      <c r="L10" s="116">
        <f t="shared" si="1"/>
        <v>173.75</v>
      </c>
      <c r="M10" s="201">
        <v>46295</v>
      </c>
      <c r="N10" s="118" t="str">
        <v>PO106233</v>
      </c>
      <c r="O10" s="220"/>
      <c r="P10" s="175"/>
      <c r="Q10" s="175"/>
      <c r="R10" s="175"/>
    </row>
    <row r="11" spans="1:18" x14ac:dyDescent="0.25">
      <c r="A11" s="111"/>
      <c r="B11" s="179" t="str">
        <v>Order #27</v>
      </c>
      <c r="C11" s="117">
        <v>2</v>
      </c>
      <c r="D11" s="196" t="str">
        <v>QB</v>
      </c>
      <c r="E11" s="196">
        <v>125</v>
      </c>
      <c r="F11" s="200" t="str">
        <v>Mystic Flowers</v>
      </c>
      <c r="G11" s="200" t="str">
        <v>Roses 60cm Freedom (M/T)</v>
      </c>
      <c r="H11" s="196">
        <v>250</v>
      </c>
      <c r="I11" s="218">
        <v>0.25059952038369293</v>
      </c>
      <c r="J11" s="116">
        <v>1.39</v>
      </c>
      <c r="K11" s="219">
        <f t="shared" si="0"/>
        <v>173.75</v>
      </c>
      <c r="L11" s="116">
        <f t="shared" si="1"/>
        <v>347.5</v>
      </c>
      <c r="M11" s="201">
        <v>46295</v>
      </c>
      <c r="N11" s="118" t="str">
        <v>PO106234</v>
      </c>
      <c r="O11" s="220"/>
      <c r="P11" s="175"/>
      <c r="Q11" s="175"/>
      <c r="R11" s="175"/>
    </row>
    <row r="12" spans="1:18" x14ac:dyDescent="0.25">
      <c r="A12" s="111"/>
      <c r="B12" s="179" t="str">
        <v>Order #35</v>
      </c>
      <c r="C12" s="117">
        <v>1</v>
      </c>
      <c r="D12" s="196" t="str">
        <v>EB</v>
      </c>
      <c r="E12" s="196">
        <v>50</v>
      </c>
      <c r="F12" s="200" t="str">
        <v>Flores Verdes</v>
      </c>
      <c r="G12" s="200" t="str">
        <v>Garden Spray Roses 50cm 30 Rosanella/20 Jeanine (M/T)</v>
      </c>
      <c r="H12" s="196">
        <v>50</v>
      </c>
      <c r="I12" s="218">
        <v>0.22602420856610794</v>
      </c>
      <c r="J12" s="116">
        <v>1.79</v>
      </c>
      <c r="K12" s="219">
        <f t="shared" si="0"/>
        <v>89.5</v>
      </c>
      <c r="L12" s="116">
        <f t="shared" si="1"/>
        <v>89.5</v>
      </c>
      <c r="M12" s="201">
        <v>46295</v>
      </c>
      <c r="N12" s="118" t="str">
        <v>PO106242</v>
      </c>
      <c r="O12" s="220"/>
      <c r="P12" s="175"/>
      <c r="Q12" s="175"/>
      <c r="R12" s="175"/>
    </row>
    <row r="13" spans="1:18" x14ac:dyDescent="0.25">
      <c r="A13" s="111"/>
      <c r="B13" s="179" t="str">
        <v>Order #65</v>
      </c>
      <c r="C13" s="117">
        <v>1</v>
      </c>
      <c r="D13" s="196" t="str">
        <v>QB</v>
      </c>
      <c r="E13" s="196">
        <v>100</v>
      </c>
      <c r="F13" s="200" t="str">
        <v>Star Roses</v>
      </c>
      <c r="G13" s="200" t="str">
        <v>Roses 50cm Fortune (M/T)</v>
      </c>
      <c r="H13" s="196">
        <v>100</v>
      </c>
      <c r="I13" s="218">
        <v>0.11983204134366909</v>
      </c>
      <c r="J13" s="116">
        <v>1.29</v>
      </c>
      <c r="K13" s="219">
        <f t="shared" si="0"/>
        <v>129</v>
      </c>
      <c r="L13" s="116">
        <f t="shared" si="1"/>
        <v>129</v>
      </c>
      <c r="M13" s="201">
        <v>46295</v>
      </c>
      <c r="N13" s="118" t="str">
        <v>PO106272</v>
      </c>
      <c r="O13" s="220"/>
      <c r="P13" s="175"/>
      <c r="Q13" s="175"/>
      <c r="R13" s="175"/>
    </row>
    <row r="14" spans="1:18" x14ac:dyDescent="0.25">
      <c r="A14" s="111"/>
      <c r="B14" s="179" t="str">
        <v>Order #66</v>
      </c>
      <c r="C14" s="117">
        <v>1</v>
      </c>
      <c r="D14" s="196" t="str">
        <v>QB</v>
      </c>
      <c r="E14" s="196">
        <v>100</v>
      </c>
      <c r="F14" s="200" t="str">
        <v>Star Roses</v>
      </c>
      <c r="G14" s="200" t="str">
        <v>Roses 50cm 50 Fortune/25 Rhoslyn/25 Luciano 60cm (M/T)</v>
      </c>
      <c r="H14" s="196">
        <v>100</v>
      </c>
      <c r="I14" s="218">
        <v>9.1569767441860406E-2</v>
      </c>
      <c r="J14" s="116">
        <v>1.29</v>
      </c>
      <c r="K14" s="219">
        <f t="shared" si="0"/>
        <v>129</v>
      </c>
      <c r="L14" s="116">
        <f t="shared" si="1"/>
        <v>129</v>
      </c>
      <c r="M14" s="201">
        <v>46295</v>
      </c>
      <c r="N14" s="118" t="str">
        <v>PO106273</v>
      </c>
      <c r="O14" s="220"/>
      <c r="P14" s="175"/>
      <c r="Q14" s="175"/>
      <c r="R14" s="175"/>
    </row>
    <row r="15" spans="1:18" x14ac:dyDescent="0.25">
      <c r="A15" s="111"/>
      <c r="B15" s="179" t="str">
        <v>Order #71</v>
      </c>
      <c r="C15" s="117">
        <v>1</v>
      </c>
      <c r="D15" s="196" t="str">
        <v>QB</v>
      </c>
      <c r="E15" s="196">
        <v>100</v>
      </c>
      <c r="F15" s="200" t="str">
        <v>Flores Verdes</v>
      </c>
      <c r="G15" s="200" t="str">
        <v>Roses 60cm 50 Explorer/25 Mondial/25 Pink Mondial (M/T)</v>
      </c>
      <c r="H15" s="196">
        <v>100</v>
      </c>
      <c r="I15" s="218">
        <v>0.28691275167785224</v>
      </c>
      <c r="J15" s="116">
        <v>1.49</v>
      </c>
      <c r="K15" s="219">
        <f t="shared" si="0"/>
        <v>149</v>
      </c>
      <c r="L15" s="116">
        <f t="shared" si="1"/>
        <v>149</v>
      </c>
      <c r="M15" s="201">
        <v>46295</v>
      </c>
      <c r="N15" s="118" t="str">
        <v>PO106278</v>
      </c>
      <c r="O15" s="220"/>
      <c r="P15" s="175"/>
      <c r="Q15" s="175"/>
      <c r="R15" s="175"/>
    </row>
    <row r="16" spans="1:18" x14ac:dyDescent="0.25">
      <c r="A16" s="111"/>
      <c r="B16" s="179" t="str">
        <v>Order #76</v>
      </c>
      <c r="C16" s="117">
        <v>1</v>
      </c>
      <c r="D16" s="196" t="str">
        <v>QB</v>
      </c>
      <c r="E16" s="196">
        <v>100</v>
      </c>
      <c r="F16" s="200" t="str">
        <v>Flores Verdes</v>
      </c>
      <c r="G16" s="200" t="str">
        <v>Roses 60cm 25 Deep Purple/25 Yellow/25 Free Spirit/25 Lola (M/T)</v>
      </c>
      <c r="H16" s="196">
        <v>100</v>
      </c>
      <c r="I16" s="218">
        <v>0.27419354838709675</v>
      </c>
      <c r="J16" s="116">
        <v>1.55</v>
      </c>
      <c r="K16" s="219">
        <f t="shared" si="0"/>
        <v>155</v>
      </c>
      <c r="L16" s="116">
        <f t="shared" si="1"/>
        <v>155</v>
      </c>
      <c r="M16" s="201">
        <v>46295</v>
      </c>
      <c r="N16" s="118" t="str">
        <v>PO106283</v>
      </c>
      <c r="O16" s="220"/>
      <c r="P16" s="175"/>
      <c r="Q16" s="175"/>
      <c r="R16" s="175"/>
    </row>
    <row r="17" spans="1:18" x14ac:dyDescent="0.25">
      <c r="A17" s="111"/>
      <c r="B17" s="179" t="str">
        <v>Order #77</v>
      </c>
      <c r="C17" s="117">
        <v>1</v>
      </c>
      <c r="D17" s="196" t="str">
        <v>EB</v>
      </c>
      <c r="E17" s="196">
        <v>50</v>
      </c>
      <c r="F17" s="200" t="str">
        <v>Flores Verdes</v>
      </c>
      <c r="G17" s="200" t="str">
        <v>Garden Spray Roses 50cm 30 Rosanella/20 Jeanine (M/T)</v>
      </c>
      <c r="H17" s="196">
        <v>50</v>
      </c>
      <c r="I17" s="218">
        <v>0.22602420856610794</v>
      </c>
      <c r="J17" s="116">
        <v>1.79</v>
      </c>
      <c r="K17" s="219">
        <f t="shared" si="0"/>
        <v>89.5</v>
      </c>
      <c r="L17" s="116">
        <f t="shared" si="1"/>
        <v>89.5</v>
      </c>
      <c r="M17" s="201">
        <v>46295</v>
      </c>
      <c r="N17" s="118" t="str">
        <v>PO106284</v>
      </c>
      <c r="O17" s="220"/>
      <c r="P17" s="175"/>
      <c r="Q17" s="175"/>
      <c r="R17" s="175"/>
    </row>
    <row r="18" spans="1:18" x14ac:dyDescent="0.25">
      <c r="A18" s="111"/>
      <c r="B18" s="179" t="str">
        <v>Order #87</v>
      </c>
      <c r="C18" s="117">
        <v>1</v>
      </c>
      <c r="D18" s="196" t="str">
        <v>QB</v>
      </c>
      <c r="E18" s="196">
        <v>80</v>
      </c>
      <c r="F18" s="200" t="str">
        <v>Florisol</v>
      </c>
      <c r="G18" s="200" t="str">
        <v>Sunny Mix Box x 80 (M/T)</v>
      </c>
      <c r="H18" s="196">
        <v>80</v>
      </c>
      <c r="I18" s="218">
        <v>0.24161610774051601</v>
      </c>
      <c r="J18" s="116">
        <v>149.99</v>
      </c>
      <c r="K18" s="219">
        <f t="shared" si="0"/>
        <v>149.99</v>
      </c>
      <c r="L18" s="116">
        <f t="shared" si="1"/>
        <v>149.99</v>
      </c>
      <c r="M18" s="201">
        <v>46295</v>
      </c>
      <c r="N18" s="118" t="str">
        <v>PO106294</v>
      </c>
      <c r="O18" s="220"/>
      <c r="P18" s="175"/>
      <c r="Q18" s="175"/>
      <c r="R18" s="175"/>
    </row>
    <row r="19" spans="1:18" x14ac:dyDescent="0.25">
      <c r="A19" s="111"/>
      <c r="B19" s="179" t="str">
        <v>Order #88</v>
      </c>
      <c r="C19" s="117">
        <v>1</v>
      </c>
      <c r="D19" s="196" t="str">
        <v>QB</v>
      </c>
      <c r="E19" s="196">
        <v>120</v>
      </c>
      <c r="F19" s="200" t="str">
        <v>Florisol</v>
      </c>
      <c r="G19" s="200" t="str">
        <v>(Vincents Choice) Essential Mix Alstro/Spray Roses/Delph/Gypso/Lepidium/Solidago x 120 (M/T)</v>
      </c>
      <c r="H19" s="196">
        <v>120</v>
      </c>
      <c r="I19" s="218">
        <v>0.28635752688172034</v>
      </c>
      <c r="J19" s="116">
        <v>155</v>
      </c>
      <c r="K19" s="219">
        <f t="shared" si="0"/>
        <v>155</v>
      </c>
      <c r="L19" s="116">
        <f t="shared" si="1"/>
        <v>155</v>
      </c>
      <c r="M19" s="201">
        <v>46295</v>
      </c>
      <c r="N19" s="118" t="str">
        <v>PO106295</v>
      </c>
      <c r="O19" s="220"/>
      <c r="P19" s="175"/>
      <c r="Q19" s="175"/>
      <c r="R19" s="175"/>
    </row>
    <row r="20" spans="1:18" x14ac:dyDescent="0.25">
      <c r="A20" s="111"/>
      <c r="B20" s="179" t="str">
        <v>Order #89</v>
      </c>
      <c r="C20" s="117">
        <v>1</v>
      </c>
      <c r="D20" s="196" t="str">
        <v>QB</v>
      </c>
      <c r="E20" s="196">
        <v>120</v>
      </c>
      <c r="F20" s="200" t="str">
        <v>Florisol</v>
      </c>
      <c r="G20" s="200" t="str">
        <v>Essential Mix Alstro/Spray Roses/Delph/Gypso/Lepidium/Solidago x 120 (M/T)</v>
      </c>
      <c r="H20" s="196">
        <v>120</v>
      </c>
      <c r="I20" s="218">
        <v>0.23708818999011438</v>
      </c>
      <c r="J20" s="116">
        <v>144.99</v>
      </c>
      <c r="K20" s="219">
        <f t="shared" si="0"/>
        <v>144.99</v>
      </c>
      <c r="L20" s="116">
        <f t="shared" si="1"/>
        <v>144.99</v>
      </c>
      <c r="M20" s="201">
        <v>46295</v>
      </c>
      <c r="N20" s="118" t="str">
        <v>PO106296</v>
      </c>
      <c r="O20" s="220"/>
      <c r="P20" s="175"/>
      <c r="Q20" s="175"/>
      <c r="R20" s="175"/>
    </row>
    <row r="21" spans="1:18" x14ac:dyDescent="0.25">
      <c r="A21" s="111"/>
      <c r="B21" s="179" t="str">
        <v>Order #132</v>
      </c>
      <c r="C21" s="117">
        <v>1</v>
      </c>
      <c r="D21" s="196" t="str">
        <v>QB</v>
      </c>
      <c r="E21" s="196">
        <v>125</v>
      </c>
      <c r="F21" s="200" t="str">
        <v>Latina Farms</v>
      </c>
      <c r="G21" s="200" t="str">
        <v>Roses 50cm 25 Born Free/25 Proud/25 Fasination/25 Shocking Blue/25 Atomic (M/T)</v>
      </c>
      <c r="H21" s="196">
        <v>125</v>
      </c>
      <c r="I21" s="218">
        <v>0.25710594315245472</v>
      </c>
      <c r="J21" s="116">
        <v>1.29</v>
      </c>
      <c r="K21" s="219">
        <f t="shared" si="0"/>
        <v>161.25</v>
      </c>
      <c r="L21" s="116">
        <f t="shared" si="1"/>
        <v>161.25</v>
      </c>
      <c r="M21" s="201">
        <v>46295</v>
      </c>
      <c r="N21" s="118" t="str">
        <v>PO106339</v>
      </c>
      <c r="O21" s="220"/>
      <c r="P21" s="175"/>
      <c r="Q21" s="175"/>
      <c r="R21" s="175"/>
    </row>
    <row r="22" spans="1:18" x14ac:dyDescent="0.25">
      <c r="A22" s="111"/>
      <c r="B22" s="179" t="str">
        <v>Order #144</v>
      </c>
      <c r="C22" s="117">
        <v>1</v>
      </c>
      <c r="D22" s="196" t="str">
        <v>QB</v>
      </c>
      <c r="E22" s="196">
        <v>60</v>
      </c>
      <c r="F22" s="200" t="str">
        <v>Florisol</v>
      </c>
      <c r="G22" s="200" t="str">
        <v>Oriental Lilies 3-5 blooms White/Pink/Hot Pink (M/T)</v>
      </c>
      <c r="H22" s="196">
        <v>60</v>
      </c>
      <c r="I22" s="218">
        <v>0.27187848383500568</v>
      </c>
      <c r="J22" s="116">
        <v>2.99</v>
      </c>
      <c r="K22" s="219">
        <f t="shared" si="0"/>
        <v>179.4</v>
      </c>
      <c r="L22" s="116">
        <f t="shared" si="1"/>
        <v>179.4</v>
      </c>
      <c r="M22" s="201">
        <v>46295</v>
      </c>
      <c r="N22" s="118" t="str">
        <v>PO106351</v>
      </c>
      <c r="O22" s="220"/>
      <c r="P22" s="175"/>
      <c r="Q22" s="175"/>
      <c r="R22" s="175"/>
    </row>
    <row r="23" spans="1:18" x14ac:dyDescent="0.25">
      <c r="A23" s="111"/>
      <c r="B23" s="180" t="str">
        <v>Order #149</v>
      </c>
      <c r="C23" s="120">
        <v>1</v>
      </c>
      <c r="D23" s="204" t="str">
        <v>EB</v>
      </c>
      <c r="E23" s="204">
        <v>60</v>
      </c>
      <c r="F23" s="205" t="str">
        <v>Tumbabirro</v>
      </c>
      <c r="G23" s="205" t="str">
        <v>Lisianthus 70cm Assorted Colors (M/T)</v>
      </c>
      <c r="H23" s="196">
        <v>60</v>
      </c>
      <c r="I23" s="224">
        <v>0.24004192872117402</v>
      </c>
      <c r="J23" s="121">
        <v>1.59</v>
      </c>
      <c r="K23" s="219">
        <f t="shared" si="0"/>
        <v>95.4</v>
      </c>
      <c r="L23" s="116">
        <f t="shared" si="1"/>
        <v>95.4</v>
      </c>
      <c r="M23" s="206">
        <v>46295</v>
      </c>
      <c r="N23" s="122" t="str">
        <v>PO106356</v>
      </c>
      <c r="O23" s="220"/>
      <c r="P23" s="175"/>
      <c r="Q23" s="175"/>
      <c r="R23" s="175"/>
    </row>
    <row r="24" spans="1:18" x14ac:dyDescent="0.25">
      <c r="A24" s="111"/>
      <c r="B24" s="181" t="str">
        <v>Order #152</v>
      </c>
      <c r="C24" s="123">
        <v>5</v>
      </c>
      <c r="D24" s="192" t="str">
        <v>EB</v>
      </c>
      <c r="E24" s="192">
        <v>40</v>
      </c>
      <c r="F24" s="208" t="str">
        <v>Campos de Aroma</v>
      </c>
      <c r="G24" s="208" t="str">
        <v>Sunflower Select Vincents Choice (M/T)</v>
      </c>
      <c r="H24" s="196">
        <v>200</v>
      </c>
      <c r="I24" s="218">
        <v>0.24186390532544377</v>
      </c>
      <c r="J24" s="116">
        <v>1.69</v>
      </c>
      <c r="K24" s="219">
        <f t="shared" si="0"/>
        <v>67.599999999999994</v>
      </c>
      <c r="L24" s="116">
        <f t="shared" si="1"/>
        <v>338</v>
      </c>
      <c r="M24" s="197">
        <v>46295</v>
      </c>
      <c r="N24" s="93" t="str">
        <v>PO106359</v>
      </c>
      <c r="O24" s="220"/>
      <c r="P24" s="175"/>
      <c r="Q24" s="175"/>
      <c r="R24" s="175"/>
    </row>
    <row r="25" spans="1:18" x14ac:dyDescent="0.25">
      <c r="A25" s="111"/>
      <c r="B25" s="181" t="str">
        <v>Order #158</v>
      </c>
      <c r="C25" s="123">
        <v>1</v>
      </c>
      <c r="D25" s="192" t="str">
        <v>QB</v>
      </c>
      <c r="E25" s="192">
        <v>60</v>
      </c>
      <c r="F25" s="208" t="str">
        <v>Florisol</v>
      </c>
      <c r="G25" s="208" t="str">
        <v>Oriental Lilies 3-5 blooms White/Pink/Hot Pink (M/T)</v>
      </c>
      <c r="H25" s="196">
        <v>60</v>
      </c>
      <c r="I25" s="218">
        <v>0.27187848383500568</v>
      </c>
      <c r="J25" s="116">
        <v>2.99</v>
      </c>
      <c r="K25" s="219">
        <f t="shared" si="0"/>
        <v>179.4</v>
      </c>
      <c r="L25" s="116">
        <f t="shared" si="1"/>
        <v>179.4</v>
      </c>
      <c r="M25" s="197">
        <v>46295</v>
      </c>
      <c r="N25" s="93" t="str">
        <v>PO106365</v>
      </c>
      <c r="O25" s="220"/>
      <c r="P25" s="175"/>
      <c r="Q25" s="175"/>
      <c r="R25" s="175"/>
    </row>
    <row r="26" spans="1:18" x14ac:dyDescent="0.25">
      <c r="A26" s="111"/>
      <c r="B26" s="181" t="str">
        <v>Order #160</v>
      </c>
      <c r="C26" s="123">
        <v>1</v>
      </c>
      <c r="D26" s="192" t="str">
        <v>EB</v>
      </c>
      <c r="E26" s="192">
        <v>60</v>
      </c>
      <c r="F26" s="208" t="str">
        <v>Florisol</v>
      </c>
      <c r="G26" s="208" t="str">
        <v>Solidago 70cm Premium Golden Glory (M/T)</v>
      </c>
      <c r="H26" s="196">
        <v>60</v>
      </c>
      <c r="I26" s="218">
        <v>0.22480620155038755</v>
      </c>
      <c r="J26" s="116">
        <v>1.29</v>
      </c>
      <c r="K26" s="219">
        <f t="shared" si="0"/>
        <v>77.400000000000006</v>
      </c>
      <c r="L26" s="116">
        <f t="shared" si="1"/>
        <v>77.400000000000006</v>
      </c>
      <c r="M26" s="197">
        <v>46295</v>
      </c>
      <c r="N26" s="93" t="str">
        <v>PO106367</v>
      </c>
      <c r="O26" s="220"/>
      <c r="P26" s="175"/>
      <c r="Q26" s="175"/>
      <c r="R26" s="175"/>
    </row>
    <row r="27" spans="1:18" x14ac:dyDescent="0.25">
      <c r="A27" s="111"/>
      <c r="B27" s="181" t="str">
        <v>Order #163</v>
      </c>
      <c r="C27" s="123">
        <v>1</v>
      </c>
      <c r="D27" s="192" t="str">
        <v>QB</v>
      </c>
      <c r="E27" s="192">
        <v>50</v>
      </c>
      <c r="F27" s="208" t="str">
        <v>Florisol</v>
      </c>
      <c r="G27" s="208" t="str">
        <v>Roselilies 3-5 Blooms  30 White/20 Pink (T/W)</v>
      </c>
      <c r="H27" s="196">
        <v>50</v>
      </c>
      <c r="I27" s="218">
        <v>0.25417661097852029</v>
      </c>
      <c r="J27" s="116">
        <v>4.1900000000000004</v>
      </c>
      <c r="K27" s="219">
        <f t="shared" si="0"/>
        <v>209.50000000000003</v>
      </c>
      <c r="L27" s="116">
        <f t="shared" si="1"/>
        <v>209.50000000000003</v>
      </c>
      <c r="M27" s="197">
        <v>46295</v>
      </c>
      <c r="N27" s="93" t="str">
        <v>PO106370</v>
      </c>
      <c r="O27" s="220"/>
      <c r="P27" s="175"/>
      <c r="Q27" s="175"/>
      <c r="R27" s="175"/>
    </row>
    <row r="28" spans="1:18" x14ac:dyDescent="0.25">
      <c r="A28" s="111"/>
      <c r="B28" s="181" t="str">
        <v>Order #165</v>
      </c>
      <c r="C28" s="123">
        <v>1</v>
      </c>
      <c r="D28" s="192" t="str">
        <v>EB</v>
      </c>
      <c r="E28" s="192">
        <v>60</v>
      </c>
      <c r="F28" s="208" t="str">
        <v>Tumbabirro</v>
      </c>
      <c r="G28" s="208" t="str">
        <v>Lisianthus 70cm Assorted Colors (M/T)</v>
      </c>
      <c r="H28" s="196">
        <v>60</v>
      </c>
      <c r="I28" s="218">
        <v>0.24004192872117402</v>
      </c>
      <c r="J28" s="116">
        <v>1.59</v>
      </c>
      <c r="K28" s="219">
        <f t="shared" si="0"/>
        <v>95.4</v>
      </c>
      <c r="L28" s="116">
        <f t="shared" si="1"/>
        <v>95.4</v>
      </c>
      <c r="M28" s="197">
        <v>46295</v>
      </c>
      <c r="N28" s="93" t="str">
        <v>PO106372</v>
      </c>
      <c r="O28" s="220"/>
      <c r="P28" s="175"/>
      <c r="Q28" s="175"/>
      <c r="R28" s="175"/>
    </row>
    <row r="29" spans="1:18" x14ac:dyDescent="0.25">
      <c r="A29" s="111"/>
      <c r="B29" s="181" t="str">
        <v>Order #176</v>
      </c>
      <c r="C29" s="123">
        <v>4</v>
      </c>
      <c r="D29" s="192" t="str">
        <v>EB</v>
      </c>
      <c r="E29" s="192">
        <v>50</v>
      </c>
      <c r="F29" s="208" t="str">
        <v>Hoja Verde</v>
      </c>
      <c r="G29" s="208" t="str">
        <v>Gerberas/Mini Gerberas Mix Assorted Colors (M/T)</v>
      </c>
      <c r="H29" s="196">
        <v>200</v>
      </c>
      <c r="I29" s="218">
        <v>0.24659329140461217</v>
      </c>
      <c r="J29" s="116">
        <v>1.59</v>
      </c>
      <c r="K29" s="219">
        <f t="shared" si="0"/>
        <v>79.5</v>
      </c>
      <c r="L29" s="116">
        <f t="shared" si="1"/>
        <v>318</v>
      </c>
      <c r="M29" s="197">
        <v>46295</v>
      </c>
      <c r="N29" s="93" t="str">
        <v>PO106383</v>
      </c>
      <c r="O29" s="220"/>
      <c r="P29" s="175"/>
      <c r="Q29" s="175"/>
      <c r="R29" s="175"/>
    </row>
    <row r="30" spans="1:18" x14ac:dyDescent="0.25">
      <c r="A30" s="111"/>
      <c r="B30" s="181" t="str">
        <v>Order #2</v>
      </c>
      <c r="C30" s="123">
        <v>2</v>
      </c>
      <c r="D30" s="192" t="str">
        <v>QB</v>
      </c>
      <c r="E30" s="192">
        <v>125</v>
      </c>
      <c r="F30" s="208" t="str">
        <v>Flores Verdes</v>
      </c>
      <c r="G30" s="208" t="str">
        <v>Roses 50cm Fortune (T/W)</v>
      </c>
      <c r="H30" s="196">
        <v>250</v>
      </c>
      <c r="I30" s="218">
        <v>0.2328811369509044</v>
      </c>
      <c r="J30" s="116">
        <v>1.29</v>
      </c>
      <c r="K30" s="219">
        <f t="shared" si="0"/>
        <v>161.25</v>
      </c>
      <c r="L30" s="116">
        <f t="shared" si="1"/>
        <v>322.5</v>
      </c>
      <c r="M30" s="197">
        <v>46296</v>
      </c>
      <c r="N30" s="93" t="str">
        <v>PO106209</v>
      </c>
      <c r="O30" s="220"/>
      <c r="P30" s="175"/>
      <c r="Q30" s="175"/>
      <c r="R30" s="175"/>
    </row>
    <row r="31" spans="1:18" x14ac:dyDescent="0.25">
      <c r="A31" s="111"/>
      <c r="B31" s="181" t="str">
        <v>Order #10</v>
      </c>
      <c r="C31" s="123">
        <v>1</v>
      </c>
      <c r="D31" s="192" t="str">
        <v>QB</v>
      </c>
      <c r="E31" s="192">
        <v>125</v>
      </c>
      <c r="F31" s="208" t="str">
        <v>Star Roses</v>
      </c>
      <c r="G31" s="208" t="str">
        <v>Roses 50/60cm Fortune (T/W)</v>
      </c>
      <c r="H31" s="196">
        <v>125</v>
      </c>
      <c r="I31" s="218">
        <v>0.23561151079136677</v>
      </c>
      <c r="J31" s="116">
        <v>1.39</v>
      </c>
      <c r="K31" s="219">
        <f t="shared" si="0"/>
        <v>173.75</v>
      </c>
      <c r="L31" s="116">
        <f t="shared" si="1"/>
        <v>173.75</v>
      </c>
      <c r="M31" s="197">
        <v>46296</v>
      </c>
      <c r="N31" s="93" t="str">
        <v>PO106217</v>
      </c>
      <c r="O31" s="220"/>
      <c r="P31" s="175"/>
      <c r="Q31" s="175"/>
      <c r="R31" s="175"/>
    </row>
    <row r="32" spans="1:18" x14ac:dyDescent="0.25">
      <c r="A32" s="111"/>
      <c r="B32" s="181" t="str">
        <v>Order #17</v>
      </c>
      <c r="C32" s="123">
        <v>1</v>
      </c>
      <c r="D32" s="192" t="str">
        <v>QB</v>
      </c>
      <c r="E32" s="192">
        <v>125</v>
      </c>
      <c r="F32" s="208" t="str">
        <v>Florisol</v>
      </c>
      <c r="G32" s="208" t="str">
        <v>Roses 60cm Explorer (T/W)</v>
      </c>
      <c r="H32" s="196">
        <v>125</v>
      </c>
      <c r="I32" s="218">
        <v>0.26558752997601909</v>
      </c>
      <c r="J32" s="116">
        <v>1.39</v>
      </c>
      <c r="K32" s="219">
        <f t="shared" si="0"/>
        <v>173.75</v>
      </c>
      <c r="L32" s="116">
        <f t="shared" si="1"/>
        <v>173.75</v>
      </c>
      <c r="M32" s="197">
        <v>46296</v>
      </c>
      <c r="N32" s="93" t="str">
        <v>PO106224</v>
      </c>
      <c r="O32" s="220"/>
      <c r="P32" s="175"/>
      <c r="Q32" s="175"/>
      <c r="R32" s="175"/>
    </row>
    <row r="33" spans="1:18" x14ac:dyDescent="0.25">
      <c r="A33" s="111"/>
      <c r="B33" s="181" t="str">
        <v>Order #18</v>
      </c>
      <c r="C33" s="123">
        <v>2</v>
      </c>
      <c r="D33" s="192" t="str">
        <v>EB</v>
      </c>
      <c r="E33" s="192">
        <v>50</v>
      </c>
      <c r="F33" s="208" t="str">
        <v>Flores Verdes</v>
      </c>
      <c r="G33" s="208" t="str">
        <v>Roses 50cm Red Panther (T/W)</v>
      </c>
      <c r="H33" s="196">
        <v>100</v>
      </c>
      <c r="I33" s="218">
        <v>0.20798141891891886</v>
      </c>
      <c r="J33" s="116">
        <v>1.5913978494623655</v>
      </c>
      <c r="K33" s="219">
        <f t="shared" si="0"/>
        <v>79.569892473118273</v>
      </c>
      <c r="L33" s="116">
        <f t="shared" si="1"/>
        <v>159.13978494623655</v>
      </c>
      <c r="M33" s="197">
        <v>46296</v>
      </c>
      <c r="N33" s="93" t="str">
        <v>PO106225</v>
      </c>
      <c r="O33" s="220"/>
      <c r="P33" s="175"/>
      <c r="Q33" s="175"/>
      <c r="R33" s="175"/>
    </row>
    <row r="34" spans="1:18" x14ac:dyDescent="0.25">
      <c r="A34" s="111"/>
      <c r="B34" s="181" t="str">
        <v>Order #19</v>
      </c>
      <c r="C34" s="123">
        <v>2</v>
      </c>
      <c r="D34" s="192" t="str">
        <v>EB</v>
      </c>
      <c r="E34" s="192">
        <v>50</v>
      </c>
      <c r="F34" s="208" t="str">
        <v>Flores Verdes</v>
      </c>
      <c r="G34" s="208" t="str">
        <v>Roses 50cm  Playa Blanca (T/W)</v>
      </c>
      <c r="H34" s="196">
        <v>100</v>
      </c>
      <c r="I34" s="218">
        <v>0.22602420856610794</v>
      </c>
      <c r="J34" s="116">
        <v>1.79</v>
      </c>
      <c r="K34" s="219">
        <f t="shared" si="0"/>
        <v>89.5</v>
      </c>
      <c r="L34" s="116">
        <f t="shared" si="1"/>
        <v>179</v>
      </c>
      <c r="M34" s="197">
        <v>46296</v>
      </c>
      <c r="N34" s="93" t="str">
        <v>PO106226</v>
      </c>
      <c r="O34" s="220"/>
      <c r="P34" s="175"/>
      <c r="Q34" s="175"/>
      <c r="R34" s="175"/>
    </row>
    <row r="35" spans="1:18" x14ac:dyDescent="0.25">
      <c r="A35" s="111"/>
      <c r="B35" s="181" t="str">
        <v>Order #24</v>
      </c>
      <c r="C35" s="123">
        <v>1</v>
      </c>
      <c r="D35" s="192" t="str">
        <v>QB</v>
      </c>
      <c r="E35" s="192">
        <v>125</v>
      </c>
      <c r="F35" s="208" t="str">
        <v>Flores Verdes</v>
      </c>
      <c r="G35" s="208" t="str">
        <v>Roses 50/60cm Freedom (T/W)</v>
      </c>
      <c r="H35" s="196">
        <v>125</v>
      </c>
      <c r="I35" s="218">
        <v>0.26558752997601909</v>
      </c>
      <c r="J35" s="116">
        <v>1.39</v>
      </c>
      <c r="K35" s="219">
        <f t="shared" si="0"/>
        <v>173.75</v>
      </c>
      <c r="L35" s="116">
        <f t="shared" si="1"/>
        <v>173.75</v>
      </c>
      <c r="M35" s="197">
        <v>46296</v>
      </c>
      <c r="N35" s="93" t="str">
        <v>PO106231</v>
      </c>
      <c r="O35" s="220"/>
      <c r="P35" s="175"/>
      <c r="Q35" s="175"/>
      <c r="R35" s="175"/>
    </row>
    <row r="36" spans="1:18" x14ac:dyDescent="0.25">
      <c r="A36" s="111"/>
      <c r="B36" s="181" t="str">
        <v>Order #29</v>
      </c>
      <c r="C36" s="123">
        <v>1</v>
      </c>
      <c r="D36" s="192" t="str">
        <v>EB</v>
      </c>
      <c r="E36" s="192">
        <v>48</v>
      </c>
      <c r="F36" s="208" t="str">
        <v>Flores Verdes</v>
      </c>
      <c r="G36" s="208" t="str">
        <v>Roses 40/50cm 12 Dragonfly/12 White Ohara/12 Antonia/12 Queenscrown (T/W)</v>
      </c>
      <c r="H36" s="196">
        <v>48</v>
      </c>
      <c r="I36" s="218">
        <v>0.20856610800744879</v>
      </c>
      <c r="J36" s="116">
        <v>1.79</v>
      </c>
      <c r="K36" s="219">
        <f t="shared" si="0"/>
        <v>85.92</v>
      </c>
      <c r="L36" s="116">
        <f t="shared" si="1"/>
        <v>85.92</v>
      </c>
      <c r="M36" s="197">
        <v>46296</v>
      </c>
      <c r="N36" s="93" t="str">
        <v>PO106236</v>
      </c>
      <c r="O36" s="220"/>
      <c r="P36" s="175"/>
      <c r="Q36" s="175"/>
      <c r="R36" s="175"/>
    </row>
    <row r="37" spans="1:18" x14ac:dyDescent="0.25">
      <c r="A37" s="111"/>
      <c r="B37" s="181" t="str">
        <v>Order #30</v>
      </c>
      <c r="C37" s="123">
        <v>1</v>
      </c>
      <c r="D37" s="192" t="str">
        <v>EB</v>
      </c>
      <c r="E37" s="192">
        <v>48</v>
      </c>
      <c r="F37" s="208" t="str">
        <v>Florecal</v>
      </c>
      <c r="G37" s="208" t="str">
        <v>Garden Victorian 40cm  Piano (T/W)</v>
      </c>
      <c r="H37" s="196">
        <v>48</v>
      </c>
      <c r="I37" s="218">
        <v>0.22843383584589616</v>
      </c>
      <c r="J37" s="116">
        <v>1.99</v>
      </c>
      <c r="K37" s="219">
        <f t="shared" si="0"/>
        <v>95.52</v>
      </c>
      <c r="L37" s="116">
        <f t="shared" si="1"/>
        <v>95.52</v>
      </c>
      <c r="M37" s="197">
        <v>46296</v>
      </c>
      <c r="N37" s="93" t="str">
        <v>PO106237</v>
      </c>
      <c r="O37" s="220"/>
      <c r="P37" s="175"/>
      <c r="Q37" s="175"/>
      <c r="R37" s="175"/>
    </row>
    <row r="38" spans="1:18" x14ac:dyDescent="0.25">
      <c r="A38" s="111"/>
      <c r="B38" s="181" t="str">
        <v>Order #31</v>
      </c>
      <c r="C38" s="123">
        <v>1</v>
      </c>
      <c r="D38" s="192" t="str">
        <v>EB</v>
      </c>
      <c r="E38" s="192">
        <v>48</v>
      </c>
      <c r="F38" s="208" t="str">
        <v>Florecal</v>
      </c>
      <c r="G38" s="208" t="str">
        <v>Garden Victorian 40cm Piano (T/W)</v>
      </c>
      <c r="H38" s="196">
        <v>48</v>
      </c>
      <c r="I38" s="218">
        <v>0.22814189189189182</v>
      </c>
      <c r="J38" s="116">
        <v>1.9892473118279568</v>
      </c>
      <c r="K38" s="219">
        <f t="shared" si="0"/>
        <v>95.483870967741922</v>
      </c>
      <c r="L38" s="116">
        <f t="shared" si="1"/>
        <v>95.483870967741922</v>
      </c>
      <c r="M38" s="197">
        <v>46296</v>
      </c>
      <c r="N38" s="93" t="str">
        <v>PO106238</v>
      </c>
      <c r="O38" s="220"/>
      <c r="P38" s="175"/>
      <c r="Q38" s="175"/>
      <c r="R38" s="175"/>
    </row>
    <row r="39" spans="1:18" x14ac:dyDescent="0.25">
      <c r="A39" s="111"/>
      <c r="B39" s="181" t="str">
        <v>Order #32</v>
      </c>
      <c r="C39" s="123">
        <v>2</v>
      </c>
      <c r="D39" s="192" t="str">
        <v>QB</v>
      </c>
      <c r="E39" s="192">
        <v>100</v>
      </c>
      <c r="F39" s="208" t="str">
        <v>Eden</v>
      </c>
      <c r="G39" s="208" t="str">
        <v>Garden Roses 40/50cm 50 Catalina/50 Sweet Catalina (T/W)</v>
      </c>
      <c r="H39" s="196">
        <v>200</v>
      </c>
      <c r="I39" s="218">
        <v>0.25641891891891888</v>
      </c>
      <c r="J39" s="116">
        <v>1.9892473118279568</v>
      </c>
      <c r="K39" s="219">
        <f t="shared" si="0"/>
        <v>198.92473118279568</v>
      </c>
      <c r="L39" s="116">
        <f t="shared" si="1"/>
        <v>397.84946236559136</v>
      </c>
      <c r="M39" s="197">
        <v>46296</v>
      </c>
      <c r="N39" s="93" t="str">
        <v>PO106239</v>
      </c>
      <c r="O39" s="220"/>
      <c r="P39" s="175"/>
      <c r="Q39" s="175"/>
      <c r="R39" s="175"/>
    </row>
    <row r="40" spans="1:18" x14ac:dyDescent="0.25">
      <c r="A40" s="111"/>
      <c r="B40" s="181" t="str">
        <v>Order #33</v>
      </c>
      <c r="C40" s="123">
        <v>1</v>
      </c>
      <c r="D40" s="192" t="str">
        <v>EB</v>
      </c>
      <c r="E40" s="192">
        <v>50</v>
      </c>
      <c r="F40" s="208" t="str">
        <v>Florecal</v>
      </c>
      <c r="G40" s="208" t="str">
        <v>Garden Spray Roses 40cm Jeanine (T/W)</v>
      </c>
      <c r="H40" s="196">
        <v>50</v>
      </c>
      <c r="I40" s="218">
        <v>0.24041193181818188</v>
      </c>
      <c r="J40" s="116">
        <v>1.8924731182795698</v>
      </c>
      <c r="K40" s="219">
        <f t="shared" si="0"/>
        <v>94.623655913978482</v>
      </c>
      <c r="L40" s="116">
        <f t="shared" si="1"/>
        <v>94.623655913978482</v>
      </c>
      <c r="M40" s="197">
        <v>46296</v>
      </c>
      <c r="N40" s="93" t="str">
        <v>PO106240</v>
      </c>
      <c r="O40" s="220"/>
      <c r="P40" s="175"/>
      <c r="Q40" s="175"/>
      <c r="R40" s="175"/>
    </row>
    <row r="41" spans="1:18" x14ac:dyDescent="0.25">
      <c r="A41" s="111"/>
      <c r="B41" s="181" t="str">
        <v>Order #34</v>
      </c>
      <c r="C41" s="123">
        <v>1</v>
      </c>
      <c r="D41" s="192" t="str">
        <v>EB</v>
      </c>
      <c r="E41" s="192">
        <v>50</v>
      </c>
      <c r="F41" s="208" t="str">
        <v>Flores Verdes</v>
      </c>
      <c r="G41" s="208" t="str">
        <v>Garden Spray Roses 40cm Jeanine (T/W)</v>
      </c>
      <c r="H41" s="196">
        <v>50</v>
      </c>
      <c r="I41" s="218">
        <v>0.26793323863636354</v>
      </c>
      <c r="J41" s="116">
        <v>1.8924731182795698</v>
      </c>
      <c r="K41" s="219">
        <f t="shared" si="0"/>
        <v>94.623655913978482</v>
      </c>
      <c r="L41" s="116">
        <f t="shared" si="1"/>
        <v>94.623655913978482</v>
      </c>
      <c r="M41" s="197">
        <v>46296</v>
      </c>
      <c r="N41" s="93" t="str">
        <v>PO106241</v>
      </c>
      <c r="O41" s="220"/>
      <c r="P41" s="175"/>
      <c r="Q41" s="175"/>
      <c r="R41" s="175"/>
    </row>
    <row r="42" spans="1:18" x14ac:dyDescent="0.25">
      <c r="A42" s="111"/>
      <c r="B42" s="181" t="str">
        <v>Order #39</v>
      </c>
      <c r="C42" s="123">
        <v>3</v>
      </c>
      <c r="D42" s="192" t="str">
        <v>EB</v>
      </c>
      <c r="E42" s="192">
        <v>60</v>
      </c>
      <c r="F42" s="208" t="str">
        <v>Flores Verdes</v>
      </c>
      <c r="G42" s="208" t="str">
        <v>Spray Roses 50cm 10 Yellow/10 Orange/10 White/10 Pink/10 Hot Pink/10 Red (T/W)</v>
      </c>
      <c r="H42" s="196">
        <v>180</v>
      </c>
      <c r="I42" s="218">
        <v>0.22650193798449603</v>
      </c>
      <c r="J42" s="116">
        <v>1.3870967741935483</v>
      </c>
      <c r="K42" s="219">
        <f t="shared" si="0"/>
        <v>83.225806451612897</v>
      </c>
      <c r="L42" s="116">
        <f t="shared" si="1"/>
        <v>249.67741935483869</v>
      </c>
      <c r="M42" s="197">
        <v>46296</v>
      </c>
      <c r="N42" s="93" t="str">
        <v>PO106246</v>
      </c>
      <c r="O42" s="220"/>
      <c r="P42" s="175"/>
      <c r="Q42" s="175"/>
      <c r="R42" s="175"/>
    </row>
    <row r="43" spans="1:18" x14ac:dyDescent="0.25">
      <c r="A43" s="111"/>
      <c r="B43" s="181" t="str">
        <v>Order #72</v>
      </c>
      <c r="C43" s="123">
        <v>1</v>
      </c>
      <c r="D43" s="192" t="str">
        <v>QB</v>
      </c>
      <c r="E43" s="192">
        <v>125</v>
      </c>
      <c r="F43" s="208" t="str">
        <v>Florecal</v>
      </c>
      <c r="G43" s="208" t="str">
        <v>Wedding Mix 40/50cm 25 Playa Blanca/25 Quicksand/25 Barista/25 Symbol/25 Cold Brew (T/W)</v>
      </c>
      <c r="H43" s="196">
        <v>125</v>
      </c>
      <c r="I43" s="218">
        <v>0.2755971337579618</v>
      </c>
      <c r="J43" s="116">
        <v>1.6881720430107527</v>
      </c>
      <c r="K43" s="219">
        <f t="shared" si="0"/>
        <v>211.02150537634409</v>
      </c>
      <c r="L43" s="116">
        <f t="shared" si="1"/>
        <v>211.02150537634409</v>
      </c>
      <c r="M43" s="197">
        <v>46296</v>
      </c>
      <c r="N43" s="93" t="str">
        <v>PO106279</v>
      </c>
      <c r="O43" s="220"/>
      <c r="P43" s="175"/>
      <c r="Q43" s="175"/>
      <c r="R43" s="175"/>
    </row>
    <row r="44" spans="1:18" x14ac:dyDescent="0.25">
      <c r="A44" s="111"/>
      <c r="B44" s="181" t="str">
        <v>Order #73</v>
      </c>
      <c r="C44" s="123">
        <v>1</v>
      </c>
      <c r="D44" s="192" t="str">
        <v>QB</v>
      </c>
      <c r="E44" s="192">
        <v>125</v>
      </c>
      <c r="F44" s="208" t="str">
        <v>Florecal</v>
      </c>
      <c r="G44" s="208" t="str">
        <v>Wedding Mix 40/50cm 25 Playa Blanca/25 Quicksand/25 Barista/25 Symbol/25 Cold Brew (T/W)</v>
      </c>
      <c r="H44" s="196">
        <v>125</v>
      </c>
      <c r="I44" s="218">
        <v>0.2755971337579618</v>
      </c>
      <c r="J44" s="116">
        <v>1.6881720430107527</v>
      </c>
      <c r="K44" s="219">
        <f t="shared" si="0"/>
        <v>211.02150537634409</v>
      </c>
      <c r="L44" s="116">
        <f t="shared" si="1"/>
        <v>211.02150537634409</v>
      </c>
      <c r="M44" s="197">
        <v>46296</v>
      </c>
      <c r="N44" s="93" t="str">
        <v>PO106280</v>
      </c>
      <c r="O44" s="220"/>
      <c r="P44" s="175"/>
      <c r="Q44" s="175"/>
      <c r="R44" s="175"/>
    </row>
    <row r="45" spans="1:18" x14ac:dyDescent="0.25">
      <c r="A45" s="111"/>
      <c r="B45" s="181" t="str">
        <v>Order #74</v>
      </c>
      <c r="C45" s="123">
        <v>2</v>
      </c>
      <c r="D45" s="192" t="str">
        <v>EB</v>
      </c>
      <c r="E45" s="192">
        <v>50</v>
      </c>
      <c r="F45" s="208" t="str">
        <v>Florecal</v>
      </c>
      <c r="G45" s="208" t="str">
        <v>Roses 50cm 25 Explorer/25 Red Panther (T/W)</v>
      </c>
      <c r="H45" s="196">
        <v>100</v>
      </c>
      <c r="I45" s="218">
        <v>0.21942640692640691</v>
      </c>
      <c r="J45" s="116">
        <v>1.54</v>
      </c>
      <c r="K45" s="219">
        <f t="shared" si="0"/>
        <v>77</v>
      </c>
      <c r="L45" s="116">
        <f t="shared" si="1"/>
        <v>154</v>
      </c>
      <c r="M45" s="197">
        <v>46296</v>
      </c>
      <c r="N45" s="93" t="str">
        <v>PO106281</v>
      </c>
      <c r="O45" s="220"/>
      <c r="P45" s="175"/>
      <c r="Q45" s="175"/>
      <c r="R45" s="175"/>
    </row>
    <row r="46" spans="1:18" x14ac:dyDescent="0.25">
      <c r="A46" s="111"/>
      <c r="B46" s="181" t="str">
        <v>Order #75</v>
      </c>
      <c r="C46" s="123">
        <v>2</v>
      </c>
      <c r="D46" s="192" t="str">
        <v>QB</v>
      </c>
      <c r="E46" s="192">
        <v>125</v>
      </c>
      <c r="F46" s="208" t="str">
        <v>Florecal</v>
      </c>
      <c r="G46" s="208" t="str">
        <v>Roses 50cm 25 Red Panther/25 Free Spirit/25 Yellow/25 V.I.Pink/25 Lavender (T/W)</v>
      </c>
      <c r="H46" s="196">
        <v>250</v>
      </c>
      <c r="I46" s="218">
        <v>0.26104651162790693</v>
      </c>
      <c r="J46" s="116">
        <v>1.3870967741935483</v>
      </c>
      <c r="K46" s="219">
        <f t="shared" si="0"/>
        <v>173.38709677419354</v>
      </c>
      <c r="L46" s="116">
        <f t="shared" si="1"/>
        <v>346.77419354838707</v>
      </c>
      <c r="M46" s="197">
        <v>46296</v>
      </c>
      <c r="N46" s="93" t="str">
        <v>PO106282</v>
      </c>
      <c r="O46" s="220"/>
      <c r="P46" s="175"/>
      <c r="Q46" s="175"/>
      <c r="R46" s="175"/>
    </row>
    <row r="47" spans="1:18" x14ac:dyDescent="0.25">
      <c r="A47" s="111"/>
      <c r="B47" s="181" t="str">
        <v>Order #78</v>
      </c>
      <c r="C47" s="123">
        <v>1</v>
      </c>
      <c r="D47" s="192" t="str">
        <v>EB</v>
      </c>
      <c r="E47" s="192">
        <v>55</v>
      </c>
      <c r="F47" s="208" t="str">
        <v>Flores Verdes</v>
      </c>
      <c r="G47" s="208" t="str">
        <v>Roses Mix 40/50cm 25 Playa Blanca/30 Jeanine (T/W)</v>
      </c>
      <c r="H47" s="196">
        <v>55</v>
      </c>
      <c r="I47" s="218">
        <v>0.26675977653631278</v>
      </c>
      <c r="J47" s="116">
        <v>1.79</v>
      </c>
      <c r="K47" s="219">
        <f t="shared" si="0"/>
        <v>98.45</v>
      </c>
      <c r="L47" s="116">
        <f t="shared" si="1"/>
        <v>98.45</v>
      </c>
      <c r="M47" s="197">
        <v>46296</v>
      </c>
      <c r="N47" s="93" t="str">
        <v>PO106285</v>
      </c>
      <c r="O47" s="220"/>
      <c r="P47" s="175"/>
      <c r="Q47" s="175"/>
      <c r="R47" s="175"/>
    </row>
    <row r="48" spans="1:18" x14ac:dyDescent="0.25">
      <c r="A48" s="111"/>
      <c r="B48" s="181" t="str">
        <v>Order #79</v>
      </c>
      <c r="C48" s="123">
        <v>1</v>
      </c>
      <c r="D48" s="192" t="str">
        <v>QB</v>
      </c>
      <c r="E48" s="192">
        <v>125</v>
      </c>
      <c r="F48" s="208" t="str">
        <v>Florisol</v>
      </c>
      <c r="G48" s="208" t="str">
        <v>Roses 50cm 25 Madam Red/25 Shocking Blue/25 Madam Cerise/25 Peach Wave/25 Vendela (T/W)</v>
      </c>
      <c r="H48" s="196">
        <v>125</v>
      </c>
      <c r="I48" s="218">
        <v>0.26558752997601909</v>
      </c>
      <c r="J48" s="116">
        <v>1.39</v>
      </c>
      <c r="K48" s="219">
        <f t="shared" si="0"/>
        <v>173.75</v>
      </c>
      <c r="L48" s="116">
        <f t="shared" si="1"/>
        <v>173.75</v>
      </c>
      <c r="M48" s="197">
        <v>46296</v>
      </c>
      <c r="N48" s="93" t="str">
        <v>PO106286</v>
      </c>
      <c r="O48" s="220"/>
      <c r="P48" s="175"/>
      <c r="Q48" s="175"/>
      <c r="R48" s="175"/>
    </row>
    <row r="49" spans="1:18" x14ac:dyDescent="0.25">
      <c r="A49" s="111"/>
      <c r="B49" s="181" t="str">
        <v>Order #80</v>
      </c>
      <c r="C49" s="123">
        <v>2</v>
      </c>
      <c r="D49" s="192" t="str">
        <v>QB</v>
      </c>
      <c r="E49" s="192">
        <v>125</v>
      </c>
      <c r="F49" s="208" t="str">
        <v>Florisol</v>
      </c>
      <c r="G49" s="208" t="str">
        <v>Roses 50/60cm 25 Country Blues/25 Freedom/25 Goldfinch/25 Matchpoint/25 Orange Crush (T/W)</v>
      </c>
      <c r="H49" s="196">
        <v>250</v>
      </c>
      <c r="I49" s="218">
        <v>0.25059952038369293</v>
      </c>
      <c r="J49" s="116">
        <v>1.39</v>
      </c>
      <c r="K49" s="219">
        <f t="shared" si="0"/>
        <v>173.75</v>
      </c>
      <c r="L49" s="116">
        <f t="shared" si="1"/>
        <v>347.5</v>
      </c>
      <c r="M49" s="197">
        <v>46296</v>
      </c>
      <c r="N49" s="93" t="str">
        <v>PO106287</v>
      </c>
      <c r="O49" s="220"/>
      <c r="P49" s="175"/>
      <c r="Q49" s="175"/>
      <c r="R49" s="175"/>
    </row>
    <row r="50" spans="1:18" x14ac:dyDescent="0.25">
      <c r="A50" s="111"/>
      <c r="B50" s="181" t="str">
        <v>Order #81</v>
      </c>
      <c r="C50" s="123">
        <v>2</v>
      </c>
      <c r="D50" s="192" t="str">
        <v>QB</v>
      </c>
      <c r="E50" s="192">
        <v>125</v>
      </c>
      <c r="F50" s="208" t="str">
        <v>Florisol</v>
      </c>
      <c r="G50" s="208" t="str">
        <v>Roses 50cm Orange Crush/Madame Red/Matchpoint/Shocking Blue/Peach Wave (T/W)</v>
      </c>
      <c r="H50" s="196">
        <v>250</v>
      </c>
      <c r="I50" s="218">
        <v>0.26558752997601909</v>
      </c>
      <c r="J50" s="116">
        <v>1.39</v>
      </c>
      <c r="K50" s="219">
        <f t="shared" si="0"/>
        <v>173.75</v>
      </c>
      <c r="L50" s="116">
        <f t="shared" si="1"/>
        <v>347.5</v>
      </c>
      <c r="M50" s="197">
        <v>46296</v>
      </c>
      <c r="N50" s="93" t="str">
        <v>PO106288</v>
      </c>
      <c r="O50" s="220"/>
      <c r="P50" s="175"/>
      <c r="Q50" s="175"/>
      <c r="R50" s="175"/>
    </row>
    <row r="51" spans="1:18" x14ac:dyDescent="0.25">
      <c r="A51" s="111"/>
      <c r="B51" s="181" t="str">
        <v>Order #82</v>
      </c>
      <c r="C51" s="123">
        <v>2</v>
      </c>
      <c r="D51" s="192" t="str">
        <v>QB</v>
      </c>
      <c r="E51" s="192">
        <v>125</v>
      </c>
      <c r="F51" s="208" t="str">
        <v>Florisol</v>
      </c>
      <c r="G51" s="208" t="str">
        <v>Roses 50cm Madame Cerise/Vendela/Goldfinch/Freedom/Country Blues (T/W)</v>
      </c>
      <c r="H51" s="196">
        <v>250</v>
      </c>
      <c r="I51" s="218">
        <v>0.26558752997601909</v>
      </c>
      <c r="J51" s="116">
        <v>1.39</v>
      </c>
      <c r="K51" s="219">
        <f t="shared" si="0"/>
        <v>173.75</v>
      </c>
      <c r="L51" s="116">
        <f t="shared" si="1"/>
        <v>347.5</v>
      </c>
      <c r="M51" s="197">
        <v>46296</v>
      </c>
      <c r="N51" s="93" t="str">
        <v>PO106289</v>
      </c>
      <c r="O51" s="220"/>
      <c r="P51" s="175"/>
      <c r="Q51" s="175"/>
      <c r="R51" s="175"/>
    </row>
    <row r="52" spans="1:18" x14ac:dyDescent="0.25">
      <c r="A52" s="111"/>
      <c r="B52" s="181" t="str">
        <v>Order #83</v>
      </c>
      <c r="C52" s="123">
        <v>1</v>
      </c>
      <c r="D52" s="192" t="str">
        <v>EB</v>
      </c>
      <c r="E52" s="192">
        <v>55</v>
      </c>
      <c r="F52" s="208" t="str">
        <v>Florecal</v>
      </c>
      <c r="G52" s="208" t="str">
        <v>Roses Mix 40/50cm 25 Playa Blanca/30 Jeanine (T/W)</v>
      </c>
      <c r="H52" s="196">
        <v>55</v>
      </c>
      <c r="I52" s="218">
        <v>0.24930167597765363</v>
      </c>
      <c r="J52" s="116">
        <v>1.79</v>
      </c>
      <c r="K52" s="219">
        <f t="shared" si="0"/>
        <v>98.45</v>
      </c>
      <c r="L52" s="116">
        <f t="shared" si="1"/>
        <v>98.45</v>
      </c>
      <c r="M52" s="197">
        <v>46296</v>
      </c>
      <c r="N52" s="93" t="str">
        <v>PO106290</v>
      </c>
      <c r="O52" s="220"/>
      <c r="P52" s="175"/>
      <c r="Q52" s="175"/>
      <c r="R52" s="175"/>
    </row>
    <row r="53" spans="1:18" x14ac:dyDescent="0.25">
      <c r="A53" s="111"/>
      <c r="B53" s="181" t="str">
        <v>Order #90</v>
      </c>
      <c r="C53" s="123">
        <v>3</v>
      </c>
      <c r="D53" s="192" t="str">
        <v>QB</v>
      </c>
      <c r="E53" s="192">
        <v>100</v>
      </c>
      <c r="F53" s="208" t="str">
        <v>Florisol</v>
      </c>
      <c r="G53" s="208" t="str">
        <v>(Florisol Mix) Harmony Box Oriental Lilies/Roselilies/Mums/Spray Mums/Ruscus x 100 (T/W)</v>
      </c>
      <c r="H53" s="196">
        <v>300</v>
      </c>
      <c r="I53" s="218">
        <v>0.26774906890130357</v>
      </c>
      <c r="J53" s="116">
        <v>179</v>
      </c>
      <c r="K53" s="219">
        <f t="shared" si="0"/>
        <v>179</v>
      </c>
      <c r="L53" s="116">
        <f t="shared" si="1"/>
        <v>537</v>
      </c>
      <c r="M53" s="197">
        <v>46296</v>
      </c>
      <c r="N53" s="93" t="str">
        <v>PO106297</v>
      </c>
      <c r="O53" s="220"/>
      <c r="P53" s="175"/>
      <c r="Q53" s="175"/>
      <c r="R53" s="175"/>
    </row>
    <row r="54" spans="1:18" x14ac:dyDescent="0.25">
      <c r="A54" s="111"/>
      <c r="B54" s="181" t="str">
        <v>Order #91</v>
      </c>
      <c r="C54" s="123">
        <v>3</v>
      </c>
      <c r="D54" s="192" t="str">
        <v>QB</v>
      </c>
      <c r="E54" s="192">
        <v>120</v>
      </c>
      <c r="F54" s="208" t="str">
        <v>Florisol</v>
      </c>
      <c r="G54" s="208" t="str">
        <v>(Piaveri Mix) Be Mine Box Alstroemeria/Delphinium/Spray Roses x 120 (T/W)</v>
      </c>
      <c r="H54" s="196">
        <v>360</v>
      </c>
      <c r="I54" s="218">
        <v>0.2460466279142447</v>
      </c>
      <c r="J54" s="116">
        <v>159.99</v>
      </c>
      <c r="K54" s="219">
        <f t="shared" si="0"/>
        <v>159.99</v>
      </c>
      <c r="L54" s="116">
        <f t="shared" si="1"/>
        <v>479.97</v>
      </c>
      <c r="M54" s="197">
        <v>46296</v>
      </c>
      <c r="N54" s="93" t="str">
        <v>PO106298</v>
      </c>
      <c r="O54" s="220"/>
      <c r="P54" s="175"/>
      <c r="Q54" s="175"/>
      <c r="R54" s="175"/>
    </row>
    <row r="55" spans="1:18" x14ac:dyDescent="0.25">
      <c r="A55" s="111"/>
      <c r="B55" s="181" t="str">
        <v>Order #92</v>
      </c>
      <c r="C55" s="123">
        <v>3</v>
      </c>
      <c r="D55" s="192" t="str">
        <v>QB</v>
      </c>
      <c r="E55" s="192">
        <v>140</v>
      </c>
      <c r="F55" s="208" t="str">
        <v>Florisol</v>
      </c>
      <c r="G55" s="208" t="str">
        <v>(Clarivel Mix) Pure Love 30 Gypso/40 Solidago/40 Lpidium/30 Glaminis  x 140 (T/W)</v>
      </c>
      <c r="H55" s="196">
        <v>420</v>
      </c>
      <c r="I55" s="218">
        <v>0.26108663041440094</v>
      </c>
      <c r="J55" s="116">
        <v>159.99</v>
      </c>
      <c r="K55" s="219">
        <f t="shared" si="0"/>
        <v>159.99</v>
      </c>
      <c r="L55" s="116">
        <f t="shared" si="1"/>
        <v>479.97</v>
      </c>
      <c r="M55" s="197">
        <v>46296</v>
      </c>
      <c r="N55" s="93" t="str">
        <v>PO106299</v>
      </c>
      <c r="O55" s="220"/>
      <c r="P55" s="175"/>
      <c r="Q55" s="175"/>
      <c r="R55" s="175"/>
    </row>
    <row r="56" spans="1:18" x14ac:dyDescent="0.25">
      <c r="A56" s="111"/>
      <c r="B56" s="181" t="str">
        <v>Order #93</v>
      </c>
      <c r="C56" s="123">
        <v>2</v>
      </c>
      <c r="D56" s="192" t="str">
        <v>EB</v>
      </c>
      <c r="E56" s="192">
        <v>120</v>
      </c>
      <c r="F56" s="208" t="str">
        <v>Agrogana</v>
      </c>
      <c r="G56" s="208" t="str">
        <v>Hannas Mix Ran. Pompon/Limonium/Statice/Freesia/Delph/Dianthus/Sp. Roses x 120 (T/W)</v>
      </c>
      <c r="H56" s="196">
        <v>240</v>
      </c>
      <c r="I56" s="218">
        <v>0.28343432045661354</v>
      </c>
      <c r="J56" s="116">
        <v>129.98924731182797</v>
      </c>
      <c r="K56" s="219">
        <f>IF(OR(E56="", J56=""), "", IF(COUNTIF(G56, "* x * (*)*"), J56, E56*J56))</f>
        <v>129.98924731182797</v>
      </c>
      <c r="L56" s="116">
        <f t="shared" si="1"/>
        <v>259.97849462365593</v>
      </c>
      <c r="M56" s="197">
        <v>46296</v>
      </c>
      <c r="N56" s="93" t="str">
        <v>PO106300</v>
      </c>
      <c r="O56" s="220"/>
      <c r="P56" s="175"/>
      <c r="Q56" s="175"/>
      <c r="R56" s="175"/>
    </row>
    <row r="57" spans="1:18" x14ac:dyDescent="0.25">
      <c r="A57" s="111"/>
      <c r="B57" s="181" t="str">
        <v>Order #94</v>
      </c>
      <c r="C57" s="123">
        <v>2</v>
      </c>
      <c r="D57" s="192" t="str">
        <v>EB</v>
      </c>
      <c r="E57" s="192">
        <v>120</v>
      </c>
      <c r="F57" s="208" t="str">
        <v>Agrogana</v>
      </c>
      <c r="G57" s="208" t="str">
        <v>Royal Mix Sweet Pea/Gerbs/Satice/Anemones/Ranunc/Delph/Veronicas/Limonium x 120 (T/W)</v>
      </c>
      <c r="H57" s="196">
        <v>240</v>
      </c>
      <c r="I57" s="218">
        <v>0.32023245994177385</v>
      </c>
      <c r="J57" s="116">
        <v>149.99</v>
      </c>
      <c r="K57" s="219">
        <f>IF(OR(E57="", J57=""), "", IF(COUNTIF(G57, "* x * (*)*"), J57, E57*J57))</f>
        <v>149.99</v>
      </c>
      <c r="L57" s="116">
        <f t="shared" si="1"/>
        <v>299.98</v>
      </c>
      <c r="M57" s="197">
        <v>46296</v>
      </c>
      <c r="N57" s="93" t="str">
        <v>PO106301</v>
      </c>
      <c r="O57" s="220"/>
      <c r="P57" s="175"/>
      <c r="Q57" s="175"/>
      <c r="R57" s="175"/>
    </row>
    <row r="58" spans="1:18" x14ac:dyDescent="0.25">
      <c r="A58" s="111"/>
      <c r="B58" s="181" t="str">
        <v>Order #95</v>
      </c>
      <c r="C58" s="123">
        <v>1</v>
      </c>
      <c r="D58" s="192" t="str">
        <v>EB</v>
      </c>
      <c r="E58" s="192">
        <v>120</v>
      </c>
      <c r="F58" s="208" t="str">
        <v>Agrogana</v>
      </c>
      <c r="G58" s="208" t="str">
        <v>Florist Mix 20 Scoop/20 Freesias/20 Rumex/20 Campanullas/20 Veronicas/20 Marigold x 120 (T/W)</v>
      </c>
      <c r="H58" s="196">
        <v>120</v>
      </c>
      <c r="I58" s="218">
        <v>0.28953892951642812</v>
      </c>
      <c r="J58" s="116">
        <v>159.99</v>
      </c>
      <c r="K58" s="219">
        <f>IF(OR(E58="", J58=""), "", IF(COUNTIF(G58, "* x * (*)*"), J58, E58*J58))</f>
        <v>159.99</v>
      </c>
      <c r="L58" s="116">
        <f t="shared" si="1"/>
        <v>159.99</v>
      </c>
      <c r="M58" s="197">
        <v>46296</v>
      </c>
      <c r="N58" s="93" t="str">
        <v>PO106302</v>
      </c>
      <c r="O58" s="220"/>
      <c r="P58" s="175"/>
      <c r="Q58" s="175"/>
      <c r="R58" s="175"/>
    </row>
    <row r="59" spans="1:18" x14ac:dyDescent="0.25">
      <c r="A59" s="111"/>
      <c r="B59" s="181" t="str">
        <v>Order #96</v>
      </c>
      <c r="C59" s="123">
        <v>4</v>
      </c>
      <c r="D59" s="192" t="str">
        <v>EB</v>
      </c>
      <c r="E59" s="192">
        <v>57</v>
      </c>
      <c r="F59" s="208" t="str">
        <v>Valleflor</v>
      </c>
      <c r="G59" s="208" t="str">
        <v>Carnival Mix Aster/Limonium/Solidago/Statice/Aster Petit x 57 (T/W)</v>
      </c>
      <c r="H59" s="196">
        <v>228</v>
      </c>
      <c r="I59" s="218">
        <v>0.25304307116104874</v>
      </c>
      <c r="J59" s="116">
        <v>89</v>
      </c>
      <c r="K59" s="219">
        <f>IF(OR(E59="", J59=""), "", IF(COUNTIF(G59, "* x * (*)*"), J59, E59*J59))</f>
        <v>89</v>
      </c>
      <c r="L59" s="116">
        <f t="shared" si="1"/>
        <v>356</v>
      </c>
      <c r="M59" s="197">
        <v>46296</v>
      </c>
      <c r="N59" s="93" t="str">
        <v>PO106303</v>
      </c>
      <c r="O59" s="220"/>
      <c r="P59" s="175"/>
      <c r="Q59" s="175"/>
      <c r="R59" s="175"/>
    </row>
    <row r="60" spans="1:18" x14ac:dyDescent="0.25">
      <c r="A60" s="111"/>
      <c r="B60" s="181" t="str">
        <v>Order #135</v>
      </c>
      <c r="C60" s="123">
        <v>1</v>
      </c>
      <c r="D60" s="192" t="str">
        <v>QB</v>
      </c>
      <c r="E60" s="192">
        <v>70</v>
      </c>
      <c r="F60" s="208" t="str">
        <v>Neumann</v>
      </c>
      <c r="G60" s="208" t="str">
        <v>Lilies LA 2-3 Blooms  Red/White/Pink/Orange (T/W)</v>
      </c>
      <c r="H60" s="196">
        <v>70</v>
      </c>
      <c r="I60" s="218">
        <v>0.24847792998477924</v>
      </c>
      <c r="J60" s="116">
        <v>2.19</v>
      </c>
      <c r="K60" s="219">
        <f>IF(OR(E60="", J60=""), "", IF(COUNTIF(G60, "* x * (*)*"), J60, E60*J60))</f>
        <v>153.29999999999998</v>
      </c>
      <c r="L60" s="116">
        <f t="shared" si="1"/>
        <v>153.29999999999998</v>
      </c>
      <c r="M60" s="197">
        <v>46296</v>
      </c>
      <c r="N60" s="93" t="str">
        <v>PO106342</v>
      </c>
      <c r="O60" s="220"/>
      <c r="P60" s="175"/>
      <c r="Q60" s="175"/>
      <c r="R60" s="175"/>
    </row>
    <row r="61" spans="1:18" x14ac:dyDescent="0.25">
      <c r="A61" s="111"/>
      <c r="B61" s="181" t="str">
        <v>Order #141</v>
      </c>
      <c r="C61" s="123">
        <v>1</v>
      </c>
      <c r="D61" s="192" t="str">
        <v>EB</v>
      </c>
      <c r="E61" s="192">
        <v>70</v>
      </c>
      <c r="F61" s="208" t="str">
        <v>Florisol</v>
      </c>
      <c r="G61" s="208" t="str">
        <v>Delphinium 70/80cm SeaWaltz (T/W)</v>
      </c>
      <c r="H61" s="196">
        <v>70</v>
      </c>
      <c r="I61" s="218">
        <v>0.23797539149888147</v>
      </c>
      <c r="J61" s="116">
        <v>1.49</v>
      </c>
      <c r="K61" s="219">
        <f t="shared" si="0"/>
        <v>104.3</v>
      </c>
      <c r="L61" s="116">
        <f t="shared" si="1"/>
        <v>104.3</v>
      </c>
      <c r="M61" s="197">
        <v>46296</v>
      </c>
      <c r="N61" s="93" t="str">
        <v>PO106348</v>
      </c>
      <c r="O61" s="220"/>
      <c r="P61" s="175"/>
      <c r="Q61" s="175"/>
      <c r="R61" s="175"/>
    </row>
    <row r="62" spans="1:18" x14ac:dyDescent="0.25">
      <c r="A62" s="111"/>
      <c r="B62" s="181" t="str">
        <v>Order #142</v>
      </c>
      <c r="C62" s="123">
        <v>1</v>
      </c>
      <c r="D62" s="192" t="str">
        <v>QB</v>
      </c>
      <c r="E62" s="192">
        <v>50</v>
      </c>
      <c r="F62" s="208" t="str">
        <v>Florisol</v>
      </c>
      <c r="G62" s="208" t="str">
        <v>Roselilies 3-5 Blooms  30 White/20 Pink (T/W)</v>
      </c>
      <c r="H62" s="196">
        <v>50</v>
      </c>
      <c r="I62" s="218">
        <v>0.25417661097852029</v>
      </c>
      <c r="J62" s="116">
        <v>4.1900000000000004</v>
      </c>
      <c r="K62" s="219">
        <f t="shared" si="0"/>
        <v>209.50000000000003</v>
      </c>
      <c r="L62" s="116">
        <f t="shared" si="1"/>
        <v>209.50000000000003</v>
      </c>
      <c r="M62" s="197">
        <v>46296</v>
      </c>
      <c r="N62" s="93" t="str">
        <v>PO106349</v>
      </c>
      <c r="O62" s="220"/>
      <c r="P62" s="175"/>
      <c r="Q62" s="175"/>
      <c r="R62" s="175"/>
    </row>
    <row r="63" spans="1:18" x14ac:dyDescent="0.25">
      <c r="A63" s="111"/>
      <c r="B63" s="181" t="str">
        <v>Order #143</v>
      </c>
      <c r="C63" s="123">
        <v>1</v>
      </c>
      <c r="D63" s="192" t="str">
        <v>QB</v>
      </c>
      <c r="E63" s="192">
        <v>50</v>
      </c>
      <c r="F63" s="208" t="str">
        <v>Florisol</v>
      </c>
      <c r="G63" s="208" t="str">
        <v>Roselilies 3-5 Blooms  30 White/20 Pink (T/W)</v>
      </c>
      <c r="H63" s="196">
        <v>50</v>
      </c>
      <c r="I63" s="218">
        <v>0.25417661097852029</v>
      </c>
      <c r="J63" s="116">
        <v>4.1900000000000004</v>
      </c>
      <c r="K63" s="219">
        <f t="shared" si="0"/>
        <v>209.50000000000003</v>
      </c>
      <c r="L63" s="116">
        <f t="shared" si="1"/>
        <v>209.50000000000003</v>
      </c>
      <c r="M63" s="197">
        <v>46296</v>
      </c>
      <c r="N63" s="93" t="str">
        <v>PO106350</v>
      </c>
      <c r="O63" s="220"/>
      <c r="P63" s="175"/>
      <c r="Q63" s="175"/>
      <c r="R63" s="175"/>
    </row>
    <row r="64" spans="1:18" x14ac:dyDescent="0.25">
      <c r="A64" s="111"/>
      <c r="B64" s="181" t="str">
        <v>Order #146</v>
      </c>
      <c r="C64" s="123">
        <v>1</v>
      </c>
      <c r="D64" s="192" t="str">
        <v>QB</v>
      </c>
      <c r="E64" s="192">
        <v>60</v>
      </c>
      <c r="F64" s="208" t="str">
        <v>Florisol</v>
      </c>
      <c r="G64" s="208" t="str">
        <v>Oriental Lilies Mix 30 White/20 Pink/10 Yellow (T/W)</v>
      </c>
      <c r="H64" s="196">
        <v>60</v>
      </c>
      <c r="I64" s="218">
        <v>0.24656148867313898</v>
      </c>
      <c r="J64" s="116">
        <v>3.09</v>
      </c>
      <c r="K64" s="219">
        <f t="shared" si="0"/>
        <v>185.39999999999998</v>
      </c>
      <c r="L64" s="116">
        <f t="shared" si="1"/>
        <v>185.39999999999998</v>
      </c>
      <c r="M64" s="197">
        <v>46296</v>
      </c>
      <c r="N64" s="93" t="str">
        <v>PO106353</v>
      </c>
      <c r="O64" s="220"/>
      <c r="P64" s="175"/>
      <c r="Q64" s="175"/>
      <c r="R64" s="175"/>
    </row>
    <row r="65" spans="1:18" x14ac:dyDescent="0.25">
      <c r="A65" s="111"/>
      <c r="B65" s="181" t="str">
        <v>Order #147</v>
      </c>
      <c r="C65" s="123">
        <v>1</v>
      </c>
      <c r="D65" s="192" t="str">
        <v>EB</v>
      </c>
      <c r="E65" s="192">
        <v>120</v>
      </c>
      <c r="F65" s="208" t="str">
        <v>Florequisa</v>
      </c>
      <c r="G65" s="208" t="str">
        <v>Carnations Minami Assorted Colors (T/W)</v>
      </c>
      <c r="H65" s="196">
        <v>120</v>
      </c>
      <c r="I65" s="218">
        <v>0.22578828828828812</v>
      </c>
      <c r="J65" s="116">
        <v>0.74</v>
      </c>
      <c r="K65" s="219">
        <f t="shared" si="0"/>
        <v>88.8</v>
      </c>
      <c r="L65" s="116">
        <f t="shared" si="1"/>
        <v>88.8</v>
      </c>
      <c r="M65" s="197">
        <v>46296</v>
      </c>
      <c r="N65" s="93" t="str">
        <v>PO106354</v>
      </c>
      <c r="O65" s="220"/>
      <c r="P65" s="175"/>
      <c r="Q65" s="175"/>
      <c r="R65" s="175"/>
    </row>
    <row r="66" spans="1:18" x14ac:dyDescent="0.25">
      <c r="A66" s="111"/>
      <c r="B66" s="181" t="str">
        <v>Order #148</v>
      </c>
      <c r="C66" s="123">
        <v>1</v>
      </c>
      <c r="D66" s="192" t="str">
        <v>EB</v>
      </c>
      <c r="E66" s="192">
        <v>70</v>
      </c>
      <c r="F66" s="208" t="str">
        <v>Coop Farms</v>
      </c>
      <c r="G66" s="208" t="str">
        <v>Delphinium Mix  Blue/Light Blue/Lavender/White (T/W)</v>
      </c>
      <c r="H66" s="196">
        <v>70</v>
      </c>
      <c r="I66" s="218">
        <v>0.23098434004474266</v>
      </c>
      <c r="J66" s="116">
        <v>1.49</v>
      </c>
      <c r="K66" s="219">
        <f t="shared" si="0"/>
        <v>104.3</v>
      </c>
      <c r="L66" s="116">
        <f t="shared" si="1"/>
        <v>104.3</v>
      </c>
      <c r="M66" s="197">
        <v>46296</v>
      </c>
      <c r="N66" s="93" t="str">
        <v>PO106355</v>
      </c>
      <c r="O66" s="220"/>
      <c r="P66" s="175"/>
      <c r="Q66" s="175"/>
      <c r="R66" s="175"/>
    </row>
    <row r="67" spans="1:18" x14ac:dyDescent="0.25">
      <c r="A67" s="111"/>
      <c r="B67" s="181" t="str">
        <v>Order #150</v>
      </c>
      <c r="C67" s="123">
        <v>1</v>
      </c>
      <c r="D67" s="192" t="str">
        <v>EB</v>
      </c>
      <c r="E67" s="192">
        <v>60</v>
      </c>
      <c r="F67" s="208" t="str">
        <v>Tumbabirro</v>
      </c>
      <c r="G67" s="208" t="str">
        <v>Lisianthus 70cm 20 Purple/20 Apricot/20 White (T/W)</v>
      </c>
      <c r="H67" s="196">
        <v>60</v>
      </c>
      <c r="I67" s="218">
        <v>0.23836206896551704</v>
      </c>
      <c r="J67" s="116">
        <v>1.5591397849462365</v>
      </c>
      <c r="K67" s="219">
        <f t="shared" si="0"/>
        <v>93.548387096774192</v>
      </c>
      <c r="L67" s="116">
        <f t="shared" si="1"/>
        <v>93.548387096774192</v>
      </c>
      <c r="M67" s="197">
        <v>46296</v>
      </c>
      <c r="N67" s="93" t="str">
        <v>PO106357</v>
      </c>
      <c r="O67" s="220"/>
      <c r="P67" s="175"/>
      <c r="Q67" s="175"/>
      <c r="R67" s="175"/>
    </row>
    <row r="68" spans="1:18" x14ac:dyDescent="0.25">
      <c r="A68" s="111"/>
      <c r="B68" s="181" t="str">
        <v>Order #151</v>
      </c>
      <c r="C68" s="123">
        <v>3</v>
      </c>
      <c r="D68" s="192" t="str">
        <v>EB</v>
      </c>
      <c r="E68" s="192">
        <v>120</v>
      </c>
      <c r="F68" s="208" t="str">
        <v>Agrirose</v>
      </c>
      <c r="G68" s="208" t="str">
        <v>Ranunculus/Anemones Assorted Colors (T/W)</v>
      </c>
      <c r="H68" s="196">
        <v>360</v>
      </c>
      <c r="I68" s="218">
        <v>0.30350098619329391</v>
      </c>
      <c r="J68" s="116">
        <v>1.69</v>
      </c>
      <c r="K68" s="219">
        <f t="shared" si="0"/>
        <v>202.79999999999998</v>
      </c>
      <c r="L68" s="116">
        <f t="shared" si="1"/>
        <v>608.4</v>
      </c>
      <c r="M68" s="197">
        <v>46296</v>
      </c>
      <c r="N68" s="93" t="str">
        <v>PO106358</v>
      </c>
      <c r="O68" s="220"/>
      <c r="P68" s="175"/>
      <c r="Q68" s="175"/>
      <c r="R68" s="175"/>
    </row>
    <row r="69" spans="1:18" x14ac:dyDescent="0.25">
      <c r="A69" s="111"/>
      <c r="B69" s="181" t="str">
        <v>Order #157</v>
      </c>
      <c r="C69" s="123">
        <v>4</v>
      </c>
      <c r="D69" s="192" t="str">
        <v>QB</v>
      </c>
      <c r="E69" s="192">
        <v>60</v>
      </c>
      <c r="F69" s="208" t="str">
        <v>Florisol</v>
      </c>
      <c r="G69" s="208" t="str">
        <v>Cremons Magnum White (T/W)</v>
      </c>
      <c r="H69" s="196">
        <v>240</v>
      </c>
      <c r="I69" s="218">
        <v>0.30092592592592593</v>
      </c>
      <c r="J69" s="116">
        <v>2.25</v>
      </c>
      <c r="K69" s="219">
        <f t="shared" si="0"/>
        <v>135</v>
      </c>
      <c r="L69" s="116">
        <f t="shared" si="1"/>
        <v>540</v>
      </c>
      <c r="M69" s="197">
        <v>46296</v>
      </c>
      <c r="N69" s="93" t="str">
        <v>PO106364</v>
      </c>
      <c r="O69" s="220"/>
      <c r="P69" s="175"/>
      <c r="Q69" s="175"/>
      <c r="R69" s="175"/>
    </row>
    <row r="70" spans="1:18" x14ac:dyDescent="0.25">
      <c r="A70" s="111"/>
      <c r="B70" s="181" t="str">
        <v>Order #159</v>
      </c>
      <c r="C70" s="123">
        <v>5</v>
      </c>
      <c r="D70" s="192" t="str">
        <v>EB</v>
      </c>
      <c r="E70" s="192">
        <v>6</v>
      </c>
      <c r="F70" s="208" t="str">
        <v>Florisol</v>
      </c>
      <c r="G70" s="208" t="str">
        <v>Gypsophilia Xlence 250rg. (T/W)</v>
      </c>
      <c r="H70" s="196">
        <v>30</v>
      </c>
      <c r="I70" s="218">
        <v>0.25545593550180712</v>
      </c>
      <c r="J70" s="116">
        <v>11.99</v>
      </c>
      <c r="K70" s="219">
        <f t="shared" ref="K70:K130" si="2">IF(OR(E70="", J70=""), "", IF(COUNTIF(G70, "* x * (*)*"), J70, E70*J70))</f>
        <v>71.94</v>
      </c>
      <c r="L70" s="116">
        <f t="shared" ref="L70:L130" si="3">IF(OR(K70="", C70=""), "", K70*C70)</f>
        <v>359.7</v>
      </c>
      <c r="M70" s="197">
        <v>46296</v>
      </c>
      <c r="N70" s="93" t="str">
        <v>PO106366</v>
      </c>
      <c r="O70" s="220"/>
      <c r="P70" s="175"/>
      <c r="Q70" s="175"/>
      <c r="R70" s="175"/>
    </row>
    <row r="71" spans="1:18" x14ac:dyDescent="0.25">
      <c r="A71" s="111"/>
      <c r="B71" s="181" t="str">
        <v>Order #162</v>
      </c>
      <c r="C71" s="123">
        <v>3</v>
      </c>
      <c r="D71" s="192" t="str">
        <v>EB</v>
      </c>
      <c r="E71" s="192">
        <v>70</v>
      </c>
      <c r="F71" s="208" t="str">
        <v>Florisol</v>
      </c>
      <c r="G71" s="208" t="str">
        <v>Alstroemeria Select 70/80cm Red/Yellow/Orange/White/Lavender/Ligth Pink/Hot Pink (T/W)</v>
      </c>
      <c r="H71" s="196">
        <v>210</v>
      </c>
      <c r="I71" s="218">
        <v>0.26414373088685017</v>
      </c>
      <c r="J71" s="116">
        <v>1.0900000000000001</v>
      </c>
      <c r="K71" s="219">
        <f t="shared" si="2"/>
        <v>76.300000000000011</v>
      </c>
      <c r="L71" s="116">
        <f t="shared" si="3"/>
        <v>228.90000000000003</v>
      </c>
      <c r="M71" s="197">
        <v>46296</v>
      </c>
      <c r="N71" s="93" t="str">
        <v>PO106369</v>
      </c>
      <c r="O71" s="220"/>
      <c r="P71" s="175"/>
      <c r="Q71" s="175"/>
      <c r="R71" s="175"/>
    </row>
    <row r="72" spans="1:18" x14ac:dyDescent="0.25">
      <c r="A72" s="111"/>
      <c r="B72" s="181" t="str">
        <v>Order #164</v>
      </c>
      <c r="C72" s="123">
        <v>2</v>
      </c>
      <c r="D72" s="192" t="str">
        <v>QB</v>
      </c>
      <c r="E72" s="192">
        <v>120</v>
      </c>
      <c r="F72" s="208" t="str">
        <v>Agrocoex</v>
      </c>
      <c r="G72" s="208" t="str">
        <v>Larkspur Assorted Colors (T/W)</v>
      </c>
      <c r="H72" s="196">
        <v>240</v>
      </c>
      <c r="I72" s="218">
        <v>0.26805555555555549</v>
      </c>
      <c r="J72" s="116">
        <v>1.4516129032258065</v>
      </c>
      <c r="K72" s="219">
        <f t="shared" si="2"/>
        <v>174.19354838709677</v>
      </c>
      <c r="L72" s="116">
        <f t="shared" si="3"/>
        <v>348.38709677419354</v>
      </c>
      <c r="M72" s="197">
        <v>46296</v>
      </c>
      <c r="N72" s="93" t="str">
        <v>PO106371</v>
      </c>
      <c r="O72" s="220"/>
      <c r="P72" s="175"/>
      <c r="Q72" s="175"/>
      <c r="R72" s="175"/>
    </row>
    <row r="73" spans="1:18" x14ac:dyDescent="0.25">
      <c r="A73" s="111"/>
      <c r="B73" s="181" t="str">
        <v>Order #166</v>
      </c>
      <c r="C73" s="123">
        <v>5</v>
      </c>
      <c r="D73" s="192" t="str">
        <v>EB</v>
      </c>
      <c r="E73" s="192">
        <v>60</v>
      </c>
      <c r="F73" s="208" t="str">
        <v>Tumbabirro</v>
      </c>
      <c r="G73" s="208" t="str">
        <v>Lisianthus 70cm Assorted Colors (T/W)</v>
      </c>
      <c r="H73" s="196">
        <v>300</v>
      </c>
      <c r="I73" s="218">
        <v>0.24004192872117402</v>
      </c>
      <c r="J73" s="116">
        <v>1.59</v>
      </c>
      <c r="K73" s="219">
        <f t="shared" si="2"/>
        <v>95.4</v>
      </c>
      <c r="L73" s="116">
        <f t="shared" si="3"/>
        <v>477</v>
      </c>
      <c r="M73" s="197">
        <v>46296</v>
      </c>
      <c r="N73" s="93" t="str">
        <v>PO106373</v>
      </c>
      <c r="O73" s="220"/>
      <c r="P73" s="175"/>
      <c r="Q73" s="175"/>
      <c r="R73" s="175"/>
    </row>
    <row r="74" spans="1:18" x14ac:dyDescent="0.25">
      <c r="A74" s="111"/>
      <c r="B74" s="181" t="str">
        <v>Order #167</v>
      </c>
      <c r="C74" s="123">
        <v>1</v>
      </c>
      <c r="D74" s="192" t="str">
        <v>EB</v>
      </c>
      <c r="E74" s="192">
        <v>60</v>
      </c>
      <c r="F74" s="208" t="str">
        <v>Florsani</v>
      </c>
      <c r="G74" s="208" t="str">
        <v>Eucalyptus Mix 30 Baby Blue/30 Silver Dollar (T/W)</v>
      </c>
      <c r="H74" s="196">
        <v>60</v>
      </c>
      <c r="I74" s="218">
        <v>0.25</v>
      </c>
      <c r="J74" s="116">
        <v>1.25</v>
      </c>
      <c r="K74" s="219">
        <f t="shared" si="2"/>
        <v>75</v>
      </c>
      <c r="L74" s="116">
        <f t="shared" si="3"/>
        <v>75</v>
      </c>
      <c r="M74" s="197">
        <v>46296</v>
      </c>
      <c r="N74" s="93" t="str">
        <v>PO106374</v>
      </c>
      <c r="O74" s="220"/>
      <c r="P74" s="175"/>
      <c r="Q74" s="175"/>
      <c r="R74" s="175"/>
    </row>
    <row r="75" spans="1:18" x14ac:dyDescent="0.25">
      <c r="A75" s="111"/>
      <c r="B75" s="181" t="str">
        <v>Order #168</v>
      </c>
      <c r="C75" s="123">
        <v>3</v>
      </c>
      <c r="D75" s="192" t="str">
        <v>EB</v>
      </c>
      <c r="E75" s="192">
        <v>70</v>
      </c>
      <c r="F75" s="208" t="str">
        <v>Coop Farms</v>
      </c>
      <c r="G75" s="208" t="str">
        <v>Delphinium Mix Blue/Light Blue/Lavender/White (T/W)</v>
      </c>
      <c r="H75" s="196">
        <v>210</v>
      </c>
      <c r="I75" s="218">
        <v>0.23098434004474266</v>
      </c>
      <c r="J75" s="116">
        <v>1.49</v>
      </c>
      <c r="K75" s="219">
        <f t="shared" si="2"/>
        <v>104.3</v>
      </c>
      <c r="L75" s="116">
        <f t="shared" si="3"/>
        <v>312.89999999999998</v>
      </c>
      <c r="M75" s="197">
        <v>46296</v>
      </c>
      <c r="N75" s="93" t="str">
        <v>PO106375</v>
      </c>
      <c r="O75" s="220"/>
      <c r="P75" s="175"/>
      <c r="Q75" s="175"/>
      <c r="R75" s="175"/>
    </row>
    <row r="76" spans="1:18" x14ac:dyDescent="0.25">
      <c r="A76" s="111"/>
      <c r="B76" s="181" t="str">
        <v>Order #170</v>
      </c>
      <c r="C76" s="123">
        <v>1</v>
      </c>
      <c r="D76" s="192" t="str">
        <v>EB</v>
      </c>
      <c r="E76" s="192">
        <v>120</v>
      </c>
      <c r="F76" s="208" t="str">
        <v>Florequisa</v>
      </c>
      <c r="G76" s="208" t="str">
        <v>Mini Carnations Assorted Colors (T/W)</v>
      </c>
      <c r="H76" s="196">
        <v>120</v>
      </c>
      <c r="I76" s="218">
        <v>0.22578828828828812</v>
      </c>
      <c r="J76" s="116">
        <v>0.74</v>
      </c>
      <c r="K76" s="219"/>
      <c r="L76" s="116"/>
      <c r="M76" s="197">
        <v>46296</v>
      </c>
      <c r="N76" s="93" t="str">
        <v>PO106377</v>
      </c>
      <c r="O76" s="220"/>
      <c r="P76" s="175"/>
      <c r="Q76" s="175"/>
      <c r="R76" s="175"/>
    </row>
    <row r="77" spans="1:18" x14ac:dyDescent="0.25">
      <c r="A77" s="111"/>
      <c r="B77" s="181" t="str">
        <v>Order #171</v>
      </c>
      <c r="C77" s="123">
        <v>2</v>
      </c>
      <c r="D77" s="192" t="str">
        <v>EB</v>
      </c>
      <c r="E77" s="192">
        <v>120</v>
      </c>
      <c r="F77" s="208" t="str">
        <v>Florequisa</v>
      </c>
      <c r="G77" s="208" t="str">
        <v>Carnations Mix Minami Select/Mini - Assorted Colors (T/W)</v>
      </c>
      <c r="H77" s="196">
        <v>240</v>
      </c>
      <c r="I77" s="218">
        <v>0.22578828828828812</v>
      </c>
      <c r="J77" s="116">
        <v>0.74</v>
      </c>
      <c r="K77" s="219"/>
      <c r="L77" s="116"/>
      <c r="M77" s="197">
        <v>46296</v>
      </c>
      <c r="N77" s="93" t="str">
        <v>PO106378</v>
      </c>
      <c r="O77" s="220"/>
      <c r="P77" s="175"/>
      <c r="Q77" s="175"/>
      <c r="R77" s="175"/>
    </row>
    <row r="78" spans="1:18" x14ac:dyDescent="0.25">
      <c r="A78" s="111"/>
      <c r="B78" s="181" t="str">
        <v>Order #172</v>
      </c>
      <c r="C78" s="123">
        <v>4</v>
      </c>
      <c r="D78" s="192" t="str">
        <v>EB</v>
      </c>
      <c r="E78" s="192">
        <v>70</v>
      </c>
      <c r="F78" s="208" t="str">
        <v>Florecot</v>
      </c>
      <c r="G78" s="208" t="str">
        <v>Hypericum 10 Red/10 Green/10 Burgundy/10 Coral/20 Pinks/10 White-Cream (T/W)</v>
      </c>
      <c r="H78" s="196">
        <v>280</v>
      </c>
      <c r="I78" s="218">
        <v>0.25595238095238082</v>
      </c>
      <c r="J78" s="116">
        <v>1.19</v>
      </c>
      <c r="K78" s="219"/>
      <c r="L78" s="116"/>
      <c r="M78" s="197">
        <v>46296</v>
      </c>
      <c r="N78" s="93" t="str">
        <v>PO106379</v>
      </c>
      <c r="O78" s="220"/>
      <c r="P78" s="175"/>
      <c r="Q78" s="175"/>
      <c r="R78" s="175"/>
    </row>
    <row r="79" spans="1:18" x14ac:dyDescent="0.25">
      <c r="A79" s="111"/>
      <c r="B79" s="181" t="str">
        <v>Order #177</v>
      </c>
      <c r="C79" s="123">
        <v>5</v>
      </c>
      <c r="D79" s="192" t="str">
        <v>EB</v>
      </c>
      <c r="E79" s="192">
        <v>50</v>
      </c>
      <c r="F79" s="208" t="str">
        <v>Hoja Verde</v>
      </c>
      <c r="G79" s="208" t="str">
        <v>Gerberas/Mini Gerberas Mix Assorted Colors (T/W)</v>
      </c>
      <c r="H79" s="196">
        <v>250</v>
      </c>
      <c r="I79" s="218">
        <v>0.24659329140461217</v>
      </c>
      <c r="J79" s="116">
        <v>1.59</v>
      </c>
      <c r="K79" s="219"/>
      <c r="L79" s="116"/>
      <c r="M79" s="197">
        <v>46296</v>
      </c>
      <c r="N79" s="93" t="str">
        <v>PO106384</v>
      </c>
      <c r="O79" s="220"/>
      <c r="P79" s="175"/>
      <c r="Q79" s="175"/>
      <c r="R79" s="175"/>
    </row>
    <row r="80" spans="1:18" x14ac:dyDescent="0.25">
      <c r="A80" s="111"/>
      <c r="B80" s="181" t="str">
        <v>Order #25</v>
      </c>
      <c r="C80" s="123">
        <v>2</v>
      </c>
      <c r="D80" s="192" t="str">
        <v>QB</v>
      </c>
      <c r="E80" s="192">
        <v>125</v>
      </c>
      <c r="F80" s="208" t="str">
        <v>Flores Verdes</v>
      </c>
      <c r="G80" s="208" t="str">
        <v>Roses 50/60cm Freedom (W/T)</v>
      </c>
      <c r="H80" s="196">
        <v>250</v>
      </c>
      <c r="I80" s="218">
        <v>0.26558752997601909</v>
      </c>
      <c r="J80" s="116">
        <v>1.39</v>
      </c>
      <c r="K80" s="219"/>
      <c r="L80" s="116"/>
      <c r="M80" s="197">
        <v>46297</v>
      </c>
      <c r="N80" s="93" t="str">
        <v>PO106232</v>
      </c>
      <c r="O80" s="220"/>
      <c r="P80" s="175"/>
      <c r="Q80" s="175"/>
      <c r="R80" s="175"/>
    </row>
    <row r="81" spans="1:18" x14ac:dyDescent="0.25">
      <c r="A81" s="111"/>
      <c r="B81" s="181" t="str">
        <v>Order #154</v>
      </c>
      <c r="C81" s="123">
        <v>5</v>
      </c>
      <c r="D81" s="192" t="str">
        <v>EB</v>
      </c>
      <c r="E81" s="192">
        <v>45</v>
      </c>
      <c r="F81" s="208" t="str">
        <v>Campos de Aroma</v>
      </c>
      <c r="G81" s="208" t="str">
        <v>Sunflower Mix Select/Medium/Petit (W/T)</v>
      </c>
      <c r="H81" s="196">
        <v>225</v>
      </c>
      <c r="I81" s="218">
        <v>0.27935010482180289</v>
      </c>
      <c r="J81" s="116">
        <v>1.59</v>
      </c>
      <c r="K81" s="219">
        <f t="shared" si="2"/>
        <v>71.55</v>
      </c>
      <c r="L81" s="116">
        <f t="shared" si="3"/>
        <v>357.75</v>
      </c>
      <c r="M81" s="197">
        <v>46297</v>
      </c>
      <c r="N81" s="93" t="str">
        <v>PO106361</v>
      </c>
      <c r="O81" s="220"/>
      <c r="P81" s="175"/>
      <c r="Q81" s="175"/>
      <c r="R81" s="175"/>
    </row>
    <row r="82" spans="1:18" x14ac:dyDescent="0.25">
      <c r="A82" s="111"/>
      <c r="B82" s="181" t="str">
        <v>Order #155</v>
      </c>
      <c r="C82" s="123">
        <v>7</v>
      </c>
      <c r="D82" s="192" t="str">
        <v>QB</v>
      </c>
      <c r="E82" s="192">
        <v>110</v>
      </c>
      <c r="F82" s="208" t="str">
        <v>Florisol</v>
      </c>
      <c r="G82" s="208" t="str">
        <v>Mums Cremons Assorted Colors (W/T)</v>
      </c>
      <c r="H82" s="196">
        <v>770</v>
      </c>
      <c r="I82" s="218">
        <v>0.25195749440715876</v>
      </c>
      <c r="J82" s="116">
        <v>1.49</v>
      </c>
      <c r="K82" s="219">
        <f t="shared" si="2"/>
        <v>163.9</v>
      </c>
      <c r="L82" s="116">
        <f t="shared" si="3"/>
        <v>1147.3</v>
      </c>
      <c r="M82" s="197">
        <v>46297</v>
      </c>
      <c r="N82" s="93" t="str">
        <v>PO106362</v>
      </c>
      <c r="O82" s="220"/>
      <c r="P82" s="175"/>
      <c r="Q82" s="175"/>
      <c r="R82" s="175"/>
    </row>
    <row r="83" spans="1:18" x14ac:dyDescent="0.25">
      <c r="A83" s="111"/>
      <c r="B83" s="181" t="str">
        <v>Order #156</v>
      </c>
      <c r="C83" s="123">
        <v>25</v>
      </c>
      <c r="D83" s="192" t="str">
        <v>QB</v>
      </c>
      <c r="E83" s="192">
        <v>100</v>
      </c>
      <c r="F83" s="208" t="str">
        <v>Florisol</v>
      </c>
      <c r="G83" s="208" t="str">
        <v>Mums Cremons Fall Colors (W/T)</v>
      </c>
      <c r="H83" s="196">
        <v>2500</v>
      </c>
      <c r="I83" s="218">
        <v>0.24004192872117391</v>
      </c>
      <c r="J83" s="116">
        <v>1.59</v>
      </c>
      <c r="K83" s="219">
        <f t="shared" si="2"/>
        <v>159</v>
      </c>
      <c r="L83" s="116">
        <f t="shared" si="3"/>
        <v>3975</v>
      </c>
      <c r="M83" s="197">
        <v>46297</v>
      </c>
      <c r="N83" s="93" t="str">
        <v>PO106363</v>
      </c>
      <c r="O83" s="220"/>
      <c r="P83" s="175"/>
      <c r="Q83" s="175"/>
      <c r="R83" s="175"/>
    </row>
    <row r="84" spans="1:18" x14ac:dyDescent="0.25">
      <c r="A84" s="111"/>
      <c r="B84" s="181" t="str">
        <v>Order #161</v>
      </c>
      <c r="C84" s="123">
        <v>5</v>
      </c>
      <c r="D84" s="192" t="str">
        <v>EB</v>
      </c>
      <c r="E84" s="192">
        <v>60</v>
      </c>
      <c r="F84" s="208" t="str">
        <v>Florisol</v>
      </c>
      <c r="G84" s="208" t="str">
        <v>Solidago 70cm Golden Glory (W/T)</v>
      </c>
      <c r="H84" s="196">
        <v>300</v>
      </c>
      <c r="I84" s="218">
        <v>0.23844537815126043</v>
      </c>
      <c r="J84" s="116">
        <v>1.19</v>
      </c>
      <c r="K84" s="219">
        <f t="shared" si="2"/>
        <v>71.399999999999991</v>
      </c>
      <c r="L84" s="116">
        <f t="shared" si="3"/>
        <v>356.99999999999994</v>
      </c>
      <c r="M84" s="197">
        <v>46297</v>
      </c>
      <c r="N84" s="93" t="str">
        <v>PO106368</v>
      </c>
      <c r="O84" s="220"/>
      <c r="P84" s="175"/>
      <c r="Q84" s="175"/>
      <c r="R84" s="175"/>
    </row>
    <row r="85" spans="1:18" x14ac:dyDescent="0.25">
      <c r="A85" s="111"/>
      <c r="B85" s="181" t="str">
        <v>Order #169</v>
      </c>
      <c r="C85" s="123">
        <v>1</v>
      </c>
      <c r="D85" s="192" t="str">
        <v>EB</v>
      </c>
      <c r="E85" s="192">
        <v>18</v>
      </c>
      <c r="F85" s="208" t="str">
        <v>Flower Village</v>
      </c>
      <c r="G85" s="208" t="str">
        <v>Hydrangeas Pocket Mix 6 Tender Love/6 Charm/6 Trophy x 18 (W/T)</v>
      </c>
      <c r="H85" s="196">
        <v>18</v>
      </c>
      <c r="I85" s="218">
        <v>0.21970496721857979</v>
      </c>
      <c r="J85" s="116">
        <v>89.99</v>
      </c>
      <c r="K85" s="219">
        <f t="shared" si="2"/>
        <v>89.99</v>
      </c>
      <c r="L85" s="116">
        <f t="shared" si="3"/>
        <v>89.99</v>
      </c>
      <c r="M85" s="197">
        <v>46297</v>
      </c>
      <c r="N85" s="93" t="str">
        <v>PO106376</v>
      </c>
      <c r="O85" s="220"/>
      <c r="P85" s="175"/>
      <c r="Q85" s="175"/>
      <c r="R85" s="175"/>
    </row>
    <row r="86" spans="1:18" x14ac:dyDescent="0.25">
      <c r="A86" s="111"/>
      <c r="B86" s="181" t="str">
        <v>Order #173</v>
      </c>
      <c r="C86" s="123">
        <v>1</v>
      </c>
      <c r="D86" s="192" t="str">
        <v>EB</v>
      </c>
      <c r="E86" s="192">
        <v>50</v>
      </c>
      <c r="F86" s="208" t="str">
        <v>Betel Flowers</v>
      </c>
      <c r="G86" s="208" t="str">
        <v>Pin Cushion 30/35cm Assorted Colors (W/T)</v>
      </c>
      <c r="H86" s="196">
        <v>50</v>
      </c>
      <c r="I86" s="218">
        <v>0.25955414012738842</v>
      </c>
      <c r="J86" s="116">
        <v>1.6881720430107525</v>
      </c>
      <c r="K86" s="219">
        <f t="shared" si="2"/>
        <v>84.408602150537632</v>
      </c>
      <c r="L86" s="116">
        <f t="shared" si="3"/>
        <v>84.408602150537632</v>
      </c>
      <c r="M86" s="197">
        <v>46297</v>
      </c>
      <c r="N86" s="93" t="str">
        <v>PO106380</v>
      </c>
      <c r="O86" s="220"/>
      <c r="P86" s="175"/>
      <c r="Q86" s="175"/>
      <c r="R86" s="175"/>
    </row>
    <row r="87" spans="1:18" x14ac:dyDescent="0.25">
      <c r="A87" s="111"/>
      <c r="B87" s="181" t="str">
        <v>Order #174</v>
      </c>
      <c r="C87" s="123">
        <v>4</v>
      </c>
      <c r="D87" s="192" t="str">
        <v>EB2</v>
      </c>
      <c r="E87" s="192">
        <v>80</v>
      </c>
      <c r="F87" s="208" t="str">
        <v>Plazoleta</v>
      </c>
      <c r="G87" s="208" t="str">
        <v>Alstroemeria Perfection Assorted Colors (W/T)</v>
      </c>
      <c r="H87" s="196">
        <v>320</v>
      </c>
      <c r="I87" s="218">
        <v>0.21874999999999989</v>
      </c>
      <c r="J87" s="116">
        <v>1.24</v>
      </c>
      <c r="K87" s="219"/>
      <c r="L87" s="116"/>
      <c r="M87" s="197">
        <v>46297</v>
      </c>
      <c r="N87" s="93" t="str">
        <v>PO106381</v>
      </c>
      <c r="O87" s="220"/>
      <c r="P87" s="175"/>
      <c r="Q87" s="175"/>
      <c r="R87" s="175"/>
    </row>
    <row r="88" spans="1:18" x14ac:dyDescent="0.25">
      <c r="A88" s="111"/>
      <c r="B88" s="181" t="str">
        <v>Order #175</v>
      </c>
      <c r="C88" s="123">
        <v>5</v>
      </c>
      <c r="D88" s="192" t="str">
        <v>QB2</v>
      </c>
      <c r="E88" s="192">
        <v>140</v>
      </c>
      <c r="F88" s="208" t="str">
        <v>Cultivos del Norte</v>
      </c>
      <c r="G88" s="208" t="str">
        <v>CDN 70cm Assorted Colors (W/T)</v>
      </c>
      <c r="H88" s="196">
        <v>700</v>
      </c>
      <c r="I88" s="218">
        <v>0.25595238095238093</v>
      </c>
      <c r="J88" s="116">
        <v>1.19</v>
      </c>
      <c r="K88" s="219"/>
      <c r="L88" s="116"/>
      <c r="M88" s="197">
        <v>46297</v>
      </c>
      <c r="N88" s="93" t="str">
        <v>PO106382</v>
      </c>
      <c r="O88" s="220"/>
      <c r="P88" s="175"/>
      <c r="Q88" s="175"/>
      <c r="R88" s="175"/>
    </row>
    <row r="89" spans="1:18" x14ac:dyDescent="0.25">
      <c r="A89" s="111"/>
      <c r="B89" s="181" t="str">
        <v>Order #67</v>
      </c>
      <c r="C89" s="123">
        <v>1</v>
      </c>
      <c r="D89" s="192" t="str">
        <v>QB</v>
      </c>
      <c r="E89" s="192">
        <v>100</v>
      </c>
      <c r="F89" s="208" t="str">
        <v>Star Roses</v>
      </c>
      <c r="G89" s="208" t="str">
        <v>Roses 50cm Fortune (T/F)</v>
      </c>
      <c r="H89" s="196">
        <v>100</v>
      </c>
      <c r="I89" s="218">
        <v>0.11983204134366909</v>
      </c>
      <c r="J89" s="116">
        <v>1.29</v>
      </c>
      <c r="K89" s="219"/>
      <c r="L89" s="116"/>
      <c r="M89" s="197">
        <v>46298</v>
      </c>
      <c r="N89" s="93" t="str">
        <v>PO106274</v>
      </c>
      <c r="O89" s="220"/>
      <c r="P89" s="175"/>
      <c r="Q89" s="175"/>
      <c r="R89" s="175"/>
    </row>
    <row r="90" spans="1:18" x14ac:dyDescent="0.25">
      <c r="A90" s="111"/>
      <c r="B90" s="181" t="str">
        <v>Order #68</v>
      </c>
      <c r="C90" s="123">
        <v>1</v>
      </c>
      <c r="D90" s="192" t="str">
        <v>QB</v>
      </c>
      <c r="E90" s="192">
        <v>100</v>
      </c>
      <c r="F90" s="208" t="str">
        <v>Star Roses</v>
      </c>
      <c r="G90" s="208" t="str">
        <v>Roses 50cm 75 Rhoslyn/25 Fortune (T/F)</v>
      </c>
      <c r="H90" s="196">
        <v>100</v>
      </c>
      <c r="I90" s="218">
        <v>0.11983204134366909</v>
      </c>
      <c r="J90" s="116">
        <v>1.29</v>
      </c>
      <c r="K90" s="219"/>
      <c r="L90" s="116"/>
      <c r="M90" s="197">
        <v>46298</v>
      </c>
      <c r="N90" s="93" t="str">
        <v>PO106275</v>
      </c>
      <c r="O90" s="220"/>
      <c r="P90" s="175"/>
      <c r="Q90" s="175"/>
      <c r="R90" s="175"/>
    </row>
    <row r="91" spans="1:18" x14ac:dyDescent="0.25">
      <c r="A91" s="111"/>
      <c r="B91" s="181" t="str">
        <v>Order #69</v>
      </c>
      <c r="C91" s="123">
        <v>1</v>
      </c>
      <c r="D91" s="192" t="str">
        <v>QB</v>
      </c>
      <c r="E91" s="192">
        <v>100</v>
      </c>
      <c r="F91" s="208" t="str">
        <v>Star Roses</v>
      </c>
      <c r="G91" s="208" t="str">
        <v>Roses 50cm 75 Mondial/25 Fortune (T/F)</v>
      </c>
      <c r="H91" s="196">
        <v>100</v>
      </c>
      <c r="I91" s="218">
        <v>0.11983204134366909</v>
      </c>
      <c r="J91" s="116">
        <v>1.29</v>
      </c>
      <c r="K91" s="219"/>
      <c r="L91" s="116"/>
      <c r="M91" s="197">
        <v>46298</v>
      </c>
      <c r="N91" s="93" t="str">
        <v>PO106276</v>
      </c>
      <c r="O91" s="220"/>
      <c r="P91" s="175"/>
      <c r="Q91" s="175"/>
      <c r="R91" s="175"/>
    </row>
    <row r="92" spans="1:18" x14ac:dyDescent="0.25">
      <c r="A92" s="111"/>
      <c r="B92" s="181" t="str">
        <v>Order #70</v>
      </c>
      <c r="C92" s="123">
        <v>1</v>
      </c>
      <c r="D92" s="192" t="str">
        <v>QB</v>
      </c>
      <c r="E92" s="192">
        <v>125</v>
      </c>
      <c r="F92" s="208" t="str">
        <v>Star Roses</v>
      </c>
      <c r="G92" s="208" t="str">
        <v>Roses 50cm 25 Tibet/25 Jessika/25 Mohana/25 Phoenix/25 Bromo (W/T)</v>
      </c>
      <c r="H92" s="196">
        <v>125</v>
      </c>
      <c r="I92" s="218">
        <v>0.28057553956834524</v>
      </c>
      <c r="J92" s="116">
        <v>1.39</v>
      </c>
      <c r="K92" s="219"/>
      <c r="L92" s="116"/>
      <c r="M92" s="197">
        <v>46298</v>
      </c>
      <c r="N92" s="93" t="str">
        <v>PO106277</v>
      </c>
      <c r="O92" s="220"/>
      <c r="P92" s="175"/>
      <c r="Q92" s="175"/>
      <c r="R92" s="175"/>
    </row>
    <row r="93" spans="1:18" x14ac:dyDescent="0.25">
      <c r="A93" s="111"/>
      <c r="B93" s="181" t="str">
        <v>Order #153</v>
      </c>
      <c r="C93" s="123">
        <v>5</v>
      </c>
      <c r="D93" s="192" t="str">
        <v>EB</v>
      </c>
      <c r="E93" s="192">
        <v>40</v>
      </c>
      <c r="F93" s="208" t="str">
        <v>Campos de Aroma</v>
      </c>
      <c r="G93" s="208" t="str">
        <v>Sunflower Select Vincents Choice (W/T)</v>
      </c>
      <c r="H93" s="196">
        <v>200</v>
      </c>
      <c r="I93" s="218">
        <v>0.24186390532544377</v>
      </c>
      <c r="J93" s="116">
        <v>1.69</v>
      </c>
      <c r="K93" s="219"/>
      <c r="L93" s="116"/>
      <c r="M93" s="197">
        <v>46298</v>
      </c>
      <c r="N93" s="93" t="str">
        <v>PO106360</v>
      </c>
      <c r="O93" s="220"/>
      <c r="P93" s="175"/>
      <c r="Q93" s="175"/>
      <c r="R93" s="175"/>
    </row>
    <row r="94" spans="1:18" x14ac:dyDescent="0.25">
      <c r="A94" s="111"/>
      <c r="B94" s="181" t="str">
        <v>Order #179</v>
      </c>
      <c r="C94" s="123">
        <v>1</v>
      </c>
      <c r="D94" s="192" t="str">
        <v>QB</v>
      </c>
      <c r="E94" s="192">
        <v>125</v>
      </c>
      <c r="F94" s="208" t="str">
        <v>Flores Verdes</v>
      </c>
      <c r="G94" s="208" t="str">
        <v>Roses 50cm Explorer (T/F)</v>
      </c>
      <c r="H94" s="196">
        <v>125</v>
      </c>
      <c r="I94" s="218">
        <v>0.2328811369509044</v>
      </c>
      <c r="J94" s="116">
        <v>1.29</v>
      </c>
      <c r="K94" s="219"/>
      <c r="L94" s="116"/>
      <c r="M94" s="197">
        <v>46298</v>
      </c>
      <c r="N94" s="93" t="str">
        <v>PO106386</v>
      </c>
      <c r="O94" s="220"/>
      <c r="P94" s="175"/>
      <c r="Q94" s="175"/>
      <c r="R94" s="175"/>
    </row>
    <row r="95" spans="1:18" x14ac:dyDescent="0.25">
      <c r="A95" s="111"/>
      <c r="B95" s="181" t="str">
        <v>Order #180</v>
      </c>
      <c r="C95" s="123">
        <v>1</v>
      </c>
      <c r="D95" s="192" t="str">
        <v>QB</v>
      </c>
      <c r="E95" s="192">
        <v>125</v>
      </c>
      <c r="F95" s="208" t="str">
        <v>Star Roses</v>
      </c>
      <c r="G95" s="208" t="str">
        <v>Roses 50cm Fortune (T/F)</v>
      </c>
      <c r="H95" s="196">
        <v>125</v>
      </c>
      <c r="I95" s="218">
        <v>0.23818407960199006</v>
      </c>
      <c r="J95" s="116">
        <v>1.34</v>
      </c>
      <c r="K95" s="219"/>
      <c r="L95" s="116"/>
      <c r="M95" s="197">
        <v>46298</v>
      </c>
      <c r="N95" s="93" t="str">
        <v>PO106387</v>
      </c>
      <c r="O95" s="220"/>
      <c r="P95" s="175"/>
      <c r="Q95" s="175"/>
      <c r="R95" s="175"/>
    </row>
    <row r="96" spans="1:18" x14ac:dyDescent="0.25">
      <c r="A96" s="111"/>
      <c r="B96" s="181" t="str">
        <v>Order #181</v>
      </c>
      <c r="C96" s="123">
        <v>1</v>
      </c>
      <c r="D96" s="192" t="str">
        <v>QB</v>
      </c>
      <c r="E96" s="192">
        <v>125</v>
      </c>
      <c r="F96" s="208" t="str">
        <v>Star Roses</v>
      </c>
      <c r="G96" s="208" t="str">
        <v>Roses 50/60cm Fortune (T/F)</v>
      </c>
      <c r="H96" s="196">
        <v>125</v>
      </c>
      <c r="I96" s="218">
        <v>0.23818407960199006</v>
      </c>
      <c r="J96" s="116">
        <v>1.34</v>
      </c>
      <c r="K96" s="219"/>
      <c r="L96" s="116"/>
      <c r="M96" s="197">
        <v>46298</v>
      </c>
      <c r="N96" s="93" t="str">
        <v>PO106388</v>
      </c>
      <c r="O96" s="220"/>
      <c r="P96" s="175"/>
      <c r="Q96" s="175"/>
      <c r="R96" s="175"/>
    </row>
    <row r="97" spans="1:18" x14ac:dyDescent="0.25">
      <c r="A97" s="111"/>
      <c r="B97" s="181" t="str">
        <v>Order #182</v>
      </c>
      <c r="C97" s="123">
        <v>1</v>
      </c>
      <c r="D97" s="192" t="str">
        <v>QB</v>
      </c>
      <c r="E97" s="192">
        <v>125</v>
      </c>
      <c r="F97" s="208" t="str">
        <v>Florecal</v>
      </c>
      <c r="G97" s="208" t="str">
        <v>Roses 50/60cm Fortune (T/F)</v>
      </c>
      <c r="H97" s="196">
        <v>125</v>
      </c>
      <c r="I97" s="218">
        <v>0.25839552238805974</v>
      </c>
      <c r="J97" s="116">
        <v>1.34</v>
      </c>
      <c r="K97" s="219"/>
      <c r="L97" s="116"/>
      <c r="M97" s="197">
        <v>46298</v>
      </c>
      <c r="N97" s="93" t="str">
        <v>PO106389</v>
      </c>
      <c r="O97" s="220"/>
      <c r="P97" s="175"/>
      <c r="Q97" s="175"/>
      <c r="R97" s="175"/>
    </row>
    <row r="98" spans="1:18" x14ac:dyDescent="0.25">
      <c r="A98" s="111"/>
      <c r="B98" s="181" t="str">
        <v>Order #183</v>
      </c>
      <c r="C98" s="123">
        <v>1</v>
      </c>
      <c r="D98" s="192" t="str">
        <v>QB</v>
      </c>
      <c r="E98" s="192">
        <v>125</v>
      </c>
      <c r="F98" s="208" t="str">
        <v>Florecal</v>
      </c>
      <c r="G98" s="208" t="str">
        <v>Roses 50cm Freedom (T/F)</v>
      </c>
      <c r="H98" s="196">
        <v>125</v>
      </c>
      <c r="I98" s="218">
        <v>0.22965116279069764</v>
      </c>
      <c r="J98" s="116">
        <v>1.29</v>
      </c>
      <c r="K98" s="219"/>
      <c r="L98" s="116"/>
      <c r="M98" s="197">
        <v>46298</v>
      </c>
      <c r="N98" s="93" t="str">
        <v>PO106390</v>
      </c>
      <c r="O98" s="220"/>
      <c r="P98" s="175"/>
      <c r="Q98" s="175"/>
      <c r="R98" s="175"/>
    </row>
    <row r="99" spans="1:18" x14ac:dyDescent="0.25">
      <c r="A99" s="111"/>
      <c r="B99" s="181" t="str">
        <v>Order #184</v>
      </c>
      <c r="C99" s="123">
        <v>1</v>
      </c>
      <c r="D99" s="192" t="str">
        <v>QB</v>
      </c>
      <c r="E99" s="192">
        <v>125</v>
      </c>
      <c r="F99" s="208" t="str">
        <v>Florecal</v>
      </c>
      <c r="G99" s="208" t="str">
        <v>Roses 50cm Redvolution (T/F)</v>
      </c>
      <c r="H99" s="196">
        <v>125</v>
      </c>
      <c r="I99" s="218">
        <v>0.22965116279069764</v>
      </c>
      <c r="J99" s="116">
        <v>1.29</v>
      </c>
      <c r="K99" s="219"/>
      <c r="L99" s="116"/>
      <c r="M99" s="197">
        <v>46298</v>
      </c>
      <c r="N99" s="93" t="str">
        <v>PO106391</v>
      </c>
      <c r="O99" s="220"/>
      <c r="P99" s="175"/>
      <c r="Q99" s="175"/>
      <c r="R99" s="175"/>
    </row>
    <row r="100" spans="1:18" x14ac:dyDescent="0.25">
      <c r="A100" s="111"/>
      <c r="B100" s="181" t="str">
        <v>Order #185</v>
      </c>
      <c r="C100" s="123">
        <v>1</v>
      </c>
      <c r="D100" s="192" t="str">
        <v>QB</v>
      </c>
      <c r="E100" s="192">
        <v>125</v>
      </c>
      <c r="F100" s="208" t="str">
        <v>Flores Verdes</v>
      </c>
      <c r="G100" s="208" t="str">
        <v>Roses 50/60cm Freedom (T/F)</v>
      </c>
      <c r="H100" s="196">
        <v>125</v>
      </c>
      <c r="I100" s="218">
        <v>0.23818407960199006</v>
      </c>
      <c r="J100" s="116">
        <v>1.34</v>
      </c>
      <c r="K100" s="219"/>
      <c r="L100" s="116"/>
      <c r="M100" s="197">
        <v>46298</v>
      </c>
      <c r="N100" s="93" t="str">
        <v>PO106392</v>
      </c>
      <c r="O100" s="220"/>
      <c r="P100" s="175"/>
      <c r="Q100" s="175"/>
      <c r="R100" s="175"/>
    </row>
    <row r="101" spans="1:18" x14ac:dyDescent="0.25">
      <c r="A101" s="111"/>
      <c r="B101" s="181" t="str">
        <v>Order #187</v>
      </c>
      <c r="C101" s="123">
        <v>4</v>
      </c>
      <c r="D101" s="192" t="str">
        <v>EB</v>
      </c>
      <c r="E101" s="192">
        <v>48</v>
      </c>
      <c r="F101" s="208" t="str">
        <v>Flores Verdes</v>
      </c>
      <c r="G101" s="208" t="str">
        <v>Garden Roses 40/50cm 12 Ashley/12 White Ashley/12 Ohara/12 White Ohara (T/F)</v>
      </c>
      <c r="H101" s="196">
        <v>192</v>
      </c>
      <c r="I101" s="218">
        <v>0.20856610800744879</v>
      </c>
      <c r="J101" s="116">
        <v>1.79</v>
      </c>
      <c r="K101" s="219"/>
      <c r="L101" s="116"/>
      <c r="M101" s="197">
        <v>46298</v>
      </c>
      <c r="N101" s="93" t="str">
        <v>PO106394</v>
      </c>
      <c r="O101" s="220"/>
      <c r="P101" s="175"/>
      <c r="Q101" s="175"/>
      <c r="R101" s="175"/>
    </row>
    <row r="102" spans="1:18" x14ac:dyDescent="0.25">
      <c r="A102" s="111"/>
      <c r="B102" s="181" t="str">
        <v>Order #188</v>
      </c>
      <c r="C102" s="123">
        <v>2</v>
      </c>
      <c r="D102" s="192" t="str">
        <v>EB</v>
      </c>
      <c r="E102" s="192">
        <v>48</v>
      </c>
      <c r="F102" s="208" t="str">
        <v>Florecal</v>
      </c>
      <c r="G102" s="208" t="str">
        <v>Garden Victorian 40cm Piano (T/F)</v>
      </c>
      <c r="H102" s="196">
        <v>96</v>
      </c>
      <c r="I102" s="218">
        <v>0.22067901234567899</v>
      </c>
      <c r="J102" s="116">
        <v>1.89</v>
      </c>
      <c r="K102" s="219"/>
      <c r="L102" s="116"/>
      <c r="M102" s="197">
        <v>46298</v>
      </c>
      <c r="N102" s="93" t="str">
        <v>PO106395</v>
      </c>
      <c r="O102" s="220"/>
      <c r="P102" s="175"/>
      <c r="Q102" s="175"/>
      <c r="R102" s="175"/>
    </row>
    <row r="103" spans="1:18" x14ac:dyDescent="0.25">
      <c r="A103" s="111"/>
      <c r="B103" s="181" t="str">
        <v>Order #189</v>
      </c>
      <c r="C103" s="123">
        <v>1</v>
      </c>
      <c r="D103" s="192" t="str">
        <v>QB</v>
      </c>
      <c r="E103" s="192">
        <v>125</v>
      </c>
      <c r="F103" s="208" t="str">
        <v>Star Roses</v>
      </c>
      <c r="G103" s="208" t="str">
        <v>Roses 50cm 75 Jessika/25 Explore/25 Tibet (T/F)</v>
      </c>
      <c r="H103" s="196">
        <v>125</v>
      </c>
      <c r="I103" s="218">
        <v>0.22480620155038755</v>
      </c>
      <c r="J103" s="116">
        <v>1.29</v>
      </c>
      <c r="K103" s="219"/>
      <c r="L103" s="116"/>
      <c r="M103" s="197">
        <v>46298</v>
      </c>
      <c r="N103" s="93" t="str">
        <v>PO106396</v>
      </c>
      <c r="O103" s="220"/>
      <c r="P103" s="175"/>
      <c r="Q103" s="175"/>
      <c r="R103" s="175"/>
    </row>
    <row r="104" spans="1:18" x14ac:dyDescent="0.25">
      <c r="A104" s="111"/>
      <c r="B104" s="181" t="str">
        <v>Order #190</v>
      </c>
      <c r="C104" s="123">
        <v>1</v>
      </c>
      <c r="D104" s="192" t="str">
        <v>QB</v>
      </c>
      <c r="E104" s="192">
        <v>125</v>
      </c>
      <c r="F104" s="208" t="str">
        <v>Florecal</v>
      </c>
      <c r="G104" s="208" t="str">
        <v>Roses 50cm 50 Explorer/25 Mondial/25 Pink Love/25 Orange Crush (T/F)</v>
      </c>
      <c r="H104" s="196">
        <v>125</v>
      </c>
      <c r="I104" s="218">
        <v>0.33305369127516782</v>
      </c>
      <c r="J104" s="116">
        <v>1.49</v>
      </c>
      <c r="K104" s="219"/>
      <c r="L104" s="116"/>
      <c r="M104" s="197">
        <v>46298</v>
      </c>
      <c r="N104" s="93" t="str">
        <v>PO106397</v>
      </c>
      <c r="O104" s="220"/>
      <c r="P104" s="175"/>
      <c r="Q104" s="175"/>
      <c r="R104" s="175"/>
    </row>
    <row r="105" spans="1:18" x14ac:dyDescent="0.25">
      <c r="A105" s="111"/>
      <c r="B105" s="181" t="str">
        <v>Order #191</v>
      </c>
      <c r="C105" s="123">
        <v>1</v>
      </c>
      <c r="D105" s="192" t="str">
        <v>QB</v>
      </c>
      <c r="E105" s="192">
        <v>125</v>
      </c>
      <c r="F105" s="208" t="str">
        <v>Star Roses</v>
      </c>
      <c r="G105" s="208" t="str">
        <v>Roses 50cm 50 Freedom/25 Mondial/25 Jessica/25 Brighton (T/F)</v>
      </c>
      <c r="H105" s="196">
        <v>125</v>
      </c>
      <c r="I105" s="218">
        <v>0.28057553956834524</v>
      </c>
      <c r="J105" s="116">
        <v>1.39</v>
      </c>
      <c r="K105" s="219"/>
      <c r="L105" s="116"/>
      <c r="M105" s="197">
        <v>46298</v>
      </c>
      <c r="N105" s="93" t="str">
        <v>PO106398</v>
      </c>
      <c r="O105" s="220"/>
      <c r="P105" s="175"/>
      <c r="Q105" s="175"/>
      <c r="R105" s="175"/>
    </row>
    <row r="106" spans="1:18" x14ac:dyDescent="0.25">
      <c r="A106" s="111"/>
      <c r="B106" s="181" t="str">
        <v>Order #192</v>
      </c>
      <c r="C106" s="123">
        <v>1</v>
      </c>
      <c r="D106" s="192" t="str">
        <v>QB</v>
      </c>
      <c r="E106" s="192">
        <v>125</v>
      </c>
      <c r="F106" s="208" t="str">
        <v>Florecal</v>
      </c>
      <c r="G106" s="208" t="str">
        <v>Wedding Mix 40/50cm 25 Playa Blanca/25 Quicksand/25 Barista/25 Symbol/25 Cold Brew (T/F)</v>
      </c>
      <c r="H106" s="196">
        <v>125</v>
      </c>
      <c r="I106" s="218">
        <v>0.27638067061143978</v>
      </c>
      <c r="J106" s="116">
        <v>1.69</v>
      </c>
      <c r="K106" s="219"/>
      <c r="L106" s="116"/>
      <c r="M106" s="197">
        <v>46298</v>
      </c>
      <c r="N106" s="93" t="str">
        <v>PO106399</v>
      </c>
      <c r="O106" s="220"/>
      <c r="P106" s="175"/>
      <c r="Q106" s="175"/>
      <c r="R106" s="175"/>
    </row>
    <row r="107" spans="1:18" x14ac:dyDescent="0.25">
      <c r="A107" s="111"/>
      <c r="B107" s="181" t="str">
        <v>Order #193</v>
      </c>
      <c r="C107" s="123">
        <v>1</v>
      </c>
      <c r="D107" s="192" t="str">
        <v>QB</v>
      </c>
      <c r="E107" s="192">
        <v>125</v>
      </c>
      <c r="F107" s="208" t="str">
        <v>Florecal</v>
      </c>
      <c r="G107" s="208" t="str">
        <v>Wedding Mix 40/50cm 25 Playa Blanca/25 Quicksand/25 Barista/25 Symbol/25 Cold Brew (T/F)</v>
      </c>
      <c r="H107" s="196">
        <v>125</v>
      </c>
      <c r="I107" s="218">
        <v>0.27638067061143978</v>
      </c>
      <c r="J107" s="116">
        <v>1.69</v>
      </c>
      <c r="K107" s="219"/>
      <c r="L107" s="116"/>
      <c r="M107" s="197">
        <v>46298</v>
      </c>
      <c r="N107" s="93" t="str">
        <v>PO106400</v>
      </c>
      <c r="O107" s="220"/>
      <c r="P107" s="175"/>
      <c r="Q107" s="175"/>
      <c r="R107" s="175"/>
    </row>
    <row r="108" spans="1:18" x14ac:dyDescent="0.25">
      <c r="A108" s="111"/>
      <c r="B108" s="181" t="str">
        <v>Order #203</v>
      </c>
      <c r="C108" s="123">
        <v>5</v>
      </c>
      <c r="D108" s="192" t="str">
        <v>EB</v>
      </c>
      <c r="E108" s="192">
        <v>50</v>
      </c>
      <c r="F108" s="208" t="str">
        <v>Hoja Verde</v>
      </c>
      <c r="G108" s="208" t="str">
        <v>Gerberas/Mini Gerberas Mix Assorted Colors (T/F)</v>
      </c>
      <c r="H108" s="196">
        <v>250</v>
      </c>
      <c r="I108" s="218">
        <v>0.24659329140461217</v>
      </c>
      <c r="J108" s="116">
        <v>1.59</v>
      </c>
      <c r="K108" s="219"/>
      <c r="L108" s="116"/>
      <c r="M108" s="197">
        <v>46298</v>
      </c>
      <c r="N108" s="93" t="str">
        <v>PO106410</v>
      </c>
      <c r="O108" s="220"/>
      <c r="P108" s="175"/>
      <c r="Q108" s="175"/>
      <c r="R108" s="175"/>
    </row>
    <row r="109" spans="1:18" x14ac:dyDescent="0.25">
      <c r="A109" s="111"/>
      <c r="B109" s="181" t="str">
        <v>Order #194</v>
      </c>
      <c r="C109" s="123">
        <v>1</v>
      </c>
      <c r="D109" s="192" t="str">
        <v>EB</v>
      </c>
      <c r="E109" s="192">
        <v>70</v>
      </c>
      <c r="F109" s="208" t="str">
        <v>High Garden</v>
      </c>
      <c r="G109" s="208" t="str">
        <v>Delphinium 70cm 20 Seawaltz/50 Skywaltz (T/F)</v>
      </c>
      <c r="H109" s="196">
        <v>70</v>
      </c>
      <c r="I109" s="218">
        <v>0.23098434004474266</v>
      </c>
      <c r="J109" s="116">
        <v>1.49</v>
      </c>
      <c r="K109" s="219"/>
      <c r="L109" s="116"/>
      <c r="M109" s="197">
        <v>46300</v>
      </c>
      <c r="N109" s="93" t="str">
        <v>PO106401</v>
      </c>
      <c r="O109" s="220"/>
      <c r="P109" s="175"/>
      <c r="Q109" s="175"/>
      <c r="R109" s="175"/>
    </row>
    <row r="110" spans="1:18" x14ac:dyDescent="0.25">
      <c r="A110" s="111"/>
      <c r="B110" s="181" t="str">
        <v>Order #196</v>
      </c>
      <c r="C110" s="123">
        <v>2</v>
      </c>
      <c r="D110" s="192" t="str">
        <v>EB</v>
      </c>
      <c r="E110" s="192">
        <v>8</v>
      </c>
      <c r="F110" s="208" t="str">
        <v>Flodecol</v>
      </c>
      <c r="G110" s="208" t="str">
        <v>Gypsophilia Xlence 250g. (T/F)</v>
      </c>
      <c r="H110" s="196">
        <v>16</v>
      </c>
      <c r="I110" s="218">
        <v>0.2023872914447995</v>
      </c>
      <c r="J110" s="116">
        <v>9.39</v>
      </c>
      <c r="K110" s="219"/>
      <c r="L110" s="116"/>
      <c r="M110" s="197">
        <v>46300</v>
      </c>
      <c r="N110" s="93" t="str">
        <v>PO106403</v>
      </c>
      <c r="O110" s="220"/>
      <c r="P110" s="175"/>
      <c r="Q110" s="175"/>
      <c r="R110" s="175"/>
    </row>
    <row r="111" spans="1:18" x14ac:dyDescent="0.25">
      <c r="A111" s="111"/>
      <c r="B111" s="181" t="str">
        <v>Order #197</v>
      </c>
      <c r="C111" s="123">
        <v>3</v>
      </c>
      <c r="D111" s="192" t="str">
        <v>EB</v>
      </c>
      <c r="E111" s="192">
        <v>8</v>
      </c>
      <c r="F111" s="208" t="str">
        <v>Flodecol</v>
      </c>
      <c r="G111" s="208" t="str">
        <v>Gypsophilia Xlence 250g. (T/F)</v>
      </c>
      <c r="H111" s="196">
        <v>24</v>
      </c>
      <c r="I111" s="218">
        <v>0.2023872914447995</v>
      </c>
      <c r="J111" s="116">
        <v>9.39</v>
      </c>
      <c r="K111" s="219"/>
      <c r="L111" s="116"/>
      <c r="M111" s="197">
        <v>46300</v>
      </c>
      <c r="N111" s="93" t="str">
        <v>PO106404</v>
      </c>
      <c r="O111" s="220"/>
      <c r="P111" s="175"/>
      <c r="Q111" s="175"/>
      <c r="R111" s="175"/>
    </row>
    <row r="112" spans="1:18" x14ac:dyDescent="0.25">
      <c r="A112" s="111"/>
      <c r="B112" s="181" t="str">
        <v>Order #201</v>
      </c>
      <c r="C112" s="123">
        <v>5</v>
      </c>
      <c r="D112" s="192" t="str">
        <v>EB</v>
      </c>
      <c r="E112" s="192">
        <v>40</v>
      </c>
      <c r="F112" s="208" t="str">
        <v>Campos de Aroma</v>
      </c>
      <c r="G112" s="208" t="str">
        <v>Sunflower Select Vincents Choice (T/F)</v>
      </c>
      <c r="H112" s="196">
        <v>200</v>
      </c>
      <c r="I112" s="218">
        <v>0.24186390532544377</v>
      </c>
      <c r="J112" s="116">
        <v>1.69</v>
      </c>
      <c r="K112" s="219"/>
      <c r="L112" s="116"/>
      <c r="M112" s="197">
        <v>46300</v>
      </c>
      <c r="N112" s="93" t="str">
        <v>PO106408</v>
      </c>
      <c r="O112" s="220"/>
      <c r="P112" s="175"/>
      <c r="Q112" s="175"/>
      <c r="R112" s="175"/>
    </row>
    <row r="113" spans="1:18" x14ac:dyDescent="0.25">
      <c r="A113" s="111"/>
      <c r="B113" s="181" t="str">
        <v>Order #202</v>
      </c>
      <c r="C113" s="123">
        <v>4</v>
      </c>
      <c r="D113" s="192" t="str">
        <v>EB</v>
      </c>
      <c r="E113" s="192">
        <v>18</v>
      </c>
      <c r="F113" s="208" t="str">
        <v>Flower Village</v>
      </c>
      <c r="G113" s="208" t="str">
        <v>Hydrangeas Pocket Mix 6 Tender Love/6 Charm/6 Trophy x 18 (T/F)</v>
      </c>
      <c r="H113" s="196">
        <v>72</v>
      </c>
      <c r="I113" s="218">
        <v>0.21970496721857979</v>
      </c>
      <c r="J113" s="116">
        <v>89.99</v>
      </c>
      <c r="K113" s="219"/>
      <c r="L113" s="116"/>
      <c r="M113" s="197">
        <v>46300</v>
      </c>
      <c r="N113" s="93" t="str">
        <v>PO106409</v>
      </c>
      <c r="O113" s="220"/>
      <c r="P113" s="175"/>
      <c r="Q113" s="175"/>
      <c r="R113" s="175"/>
    </row>
    <row r="114" spans="1:18" x14ac:dyDescent="0.25">
      <c r="A114" s="111"/>
      <c r="B114" s="181"/>
      <c r="C114" s="123"/>
      <c r="D114" s="192"/>
      <c r="E114" s="192"/>
      <c r="F114" s="208"/>
      <c r="G114" s="208"/>
      <c r="H114" s="196"/>
      <c r="I114" s="218"/>
      <c r="J114" s="116"/>
      <c r="K114" s="219"/>
      <c r="L114" s="116"/>
      <c r="M114" s="197"/>
      <c r="N114" s="93"/>
      <c r="O114" s="220"/>
      <c r="P114" s="175"/>
      <c r="Q114" s="175"/>
      <c r="R114" s="175"/>
    </row>
    <row r="115" spans="1:18" x14ac:dyDescent="0.25">
      <c r="A115" s="111"/>
      <c r="B115" s="181"/>
      <c r="C115" s="123"/>
      <c r="D115" s="192"/>
      <c r="E115" s="192"/>
      <c r="F115" s="208"/>
      <c r="G115" s="208"/>
      <c r="H115" s="196"/>
      <c r="I115" s="218"/>
      <c r="J115" s="116"/>
      <c r="K115" s="219"/>
      <c r="L115" s="116"/>
      <c r="M115" s="197"/>
      <c r="N115" s="93"/>
      <c r="O115" s="220"/>
      <c r="P115" s="175"/>
      <c r="Q115" s="175"/>
      <c r="R115" s="175"/>
    </row>
    <row r="116" spans="1:18" x14ac:dyDescent="0.25">
      <c r="A116" s="111"/>
      <c r="B116" s="181"/>
      <c r="C116" s="123"/>
      <c r="D116" s="192"/>
      <c r="E116" s="192"/>
      <c r="F116" s="208"/>
      <c r="G116" s="208"/>
      <c r="H116" s="196"/>
      <c r="I116" s="218"/>
      <c r="J116" s="116"/>
      <c r="K116" s="219"/>
      <c r="L116" s="116"/>
      <c r="M116" s="197"/>
      <c r="N116" s="93"/>
      <c r="O116" s="220"/>
      <c r="P116" s="175"/>
      <c r="Q116" s="175"/>
      <c r="R116" s="175"/>
    </row>
    <row r="117" spans="1:18" x14ac:dyDescent="0.25">
      <c r="A117" s="111"/>
      <c r="B117" s="181"/>
      <c r="C117" s="123"/>
      <c r="D117" s="192"/>
      <c r="E117" s="192"/>
      <c r="F117" s="208"/>
      <c r="G117" s="208"/>
      <c r="H117" s="196"/>
      <c r="I117" s="218"/>
      <c r="J117" s="116"/>
      <c r="K117" s="219"/>
      <c r="L117" s="116"/>
      <c r="M117" s="197"/>
      <c r="N117" s="93"/>
      <c r="O117" s="220"/>
      <c r="P117" s="175"/>
      <c r="Q117" s="175"/>
      <c r="R117" s="175"/>
    </row>
    <row r="118" spans="1:18" x14ac:dyDescent="0.25">
      <c r="A118" s="111"/>
      <c r="B118" s="181"/>
      <c r="C118" s="123"/>
      <c r="D118" s="192"/>
      <c r="E118" s="192"/>
      <c r="F118" s="208"/>
      <c r="G118" s="208"/>
      <c r="H118" s="196"/>
      <c r="I118" s="218"/>
      <c r="J118" s="116"/>
      <c r="K118" s="219"/>
      <c r="L118" s="116"/>
      <c r="M118" s="197"/>
      <c r="N118" s="93"/>
      <c r="O118" s="220"/>
      <c r="P118" s="175"/>
      <c r="Q118" s="175"/>
      <c r="R118" s="175"/>
    </row>
    <row r="119" spans="1:18" x14ac:dyDescent="0.25">
      <c r="A119" s="111"/>
      <c r="B119" s="181"/>
      <c r="C119" s="123"/>
      <c r="D119" s="192"/>
      <c r="E119" s="192"/>
      <c r="F119" s="208"/>
      <c r="G119" s="208"/>
      <c r="H119" s="196"/>
      <c r="I119" s="218"/>
      <c r="J119" s="116"/>
      <c r="K119" s="219"/>
      <c r="L119" s="116"/>
      <c r="M119" s="197"/>
      <c r="N119" s="93"/>
      <c r="O119" s="220"/>
      <c r="P119" s="175"/>
      <c r="Q119" s="175"/>
      <c r="R119" s="175"/>
    </row>
    <row r="120" spans="1:18" x14ac:dyDescent="0.25">
      <c r="A120" s="111"/>
      <c r="B120" s="181"/>
      <c r="C120" s="123"/>
      <c r="D120" s="192"/>
      <c r="E120" s="192"/>
      <c r="F120" s="208"/>
      <c r="G120" s="208"/>
      <c r="H120" s="196"/>
      <c r="I120" s="218"/>
      <c r="J120" s="116"/>
      <c r="K120" s="219"/>
      <c r="L120" s="116"/>
      <c r="M120" s="197"/>
      <c r="N120" s="93"/>
      <c r="O120" s="220"/>
      <c r="P120" s="175"/>
      <c r="Q120" s="175"/>
      <c r="R120" s="175"/>
    </row>
    <row r="121" spans="1:18" x14ac:dyDescent="0.25">
      <c r="A121" s="111"/>
      <c r="B121" s="181"/>
      <c r="C121" s="123"/>
      <c r="D121" s="192"/>
      <c r="E121" s="192"/>
      <c r="F121" s="208"/>
      <c r="G121" s="208"/>
      <c r="H121" s="196"/>
      <c r="I121" s="218"/>
      <c r="J121" s="116"/>
      <c r="K121" s="219"/>
      <c r="L121" s="116"/>
      <c r="M121" s="197"/>
      <c r="N121" s="93"/>
      <c r="O121" s="220"/>
      <c r="P121" s="175"/>
      <c r="Q121" s="175"/>
      <c r="R121" s="175"/>
    </row>
    <row r="122" spans="1:18" x14ac:dyDescent="0.25">
      <c r="A122" s="111"/>
      <c r="B122" s="181"/>
      <c r="C122" s="123"/>
      <c r="D122" s="192"/>
      <c r="E122" s="192"/>
      <c r="F122" s="208"/>
      <c r="G122" s="208"/>
      <c r="H122" s="196"/>
      <c r="I122" s="218"/>
      <c r="J122" s="116"/>
      <c r="K122" s="219"/>
      <c r="L122" s="116"/>
      <c r="M122" s="197"/>
      <c r="N122" s="93"/>
      <c r="O122" s="220"/>
      <c r="P122" s="175"/>
      <c r="Q122" s="175"/>
      <c r="R122" s="175"/>
    </row>
    <row r="123" spans="1:18" x14ac:dyDescent="0.25">
      <c r="A123" s="111"/>
      <c r="B123" s="181"/>
      <c r="C123" s="123"/>
      <c r="D123" s="192"/>
      <c r="E123" s="192"/>
      <c r="F123" s="208"/>
      <c r="G123" s="208"/>
      <c r="H123" s="196"/>
      <c r="I123" s="218"/>
      <c r="J123" s="116"/>
      <c r="K123" s="219"/>
      <c r="L123" s="116"/>
      <c r="M123" s="197"/>
      <c r="N123" s="93"/>
      <c r="O123" s="220"/>
      <c r="P123" s="175"/>
      <c r="Q123" s="175"/>
      <c r="R123" s="175"/>
    </row>
    <row r="124" spans="1:18" x14ac:dyDescent="0.25">
      <c r="A124" s="111"/>
      <c r="B124" s="181"/>
      <c r="C124" s="123"/>
      <c r="D124" s="192"/>
      <c r="E124" s="192"/>
      <c r="F124" s="208"/>
      <c r="G124" s="208"/>
      <c r="H124" s="196"/>
      <c r="I124" s="218"/>
      <c r="J124" s="116"/>
      <c r="K124" s="219"/>
      <c r="L124" s="116"/>
      <c r="M124" s="197"/>
      <c r="N124" s="93"/>
      <c r="O124" s="220"/>
      <c r="P124" s="175"/>
      <c r="Q124" s="175"/>
      <c r="R124" s="175"/>
    </row>
    <row r="125" spans="1:18" x14ac:dyDescent="0.25">
      <c r="A125" s="111"/>
      <c r="B125" s="181"/>
      <c r="C125" s="123"/>
      <c r="D125" s="192"/>
      <c r="E125" s="192"/>
      <c r="F125" s="208"/>
      <c r="G125" s="208"/>
      <c r="H125" s="196"/>
      <c r="I125" s="218"/>
      <c r="J125" s="116"/>
      <c r="K125" s="219"/>
      <c r="L125" s="116"/>
      <c r="M125" s="197"/>
      <c r="N125" s="93"/>
      <c r="O125" s="220"/>
      <c r="P125" s="175"/>
      <c r="Q125" s="175"/>
      <c r="R125" s="175"/>
    </row>
    <row r="126" spans="1:18" x14ac:dyDescent="0.25">
      <c r="A126" s="111"/>
      <c r="B126" s="181"/>
      <c r="C126" s="123"/>
      <c r="D126" s="192"/>
      <c r="E126" s="192"/>
      <c r="F126" s="208"/>
      <c r="G126" s="208"/>
      <c r="H126" s="196"/>
      <c r="I126" s="218"/>
      <c r="J126" s="116"/>
      <c r="K126" s="219"/>
      <c r="L126" s="116"/>
      <c r="M126" s="197"/>
      <c r="N126" s="93"/>
      <c r="O126" s="220"/>
      <c r="P126" s="175"/>
      <c r="Q126" s="175"/>
      <c r="R126" s="175"/>
    </row>
    <row r="127" spans="1:18" x14ac:dyDescent="0.25">
      <c r="A127" s="111"/>
      <c r="B127" s="181"/>
      <c r="C127" s="123"/>
      <c r="D127" s="192"/>
      <c r="E127" s="192"/>
      <c r="F127" s="208"/>
      <c r="G127" s="208"/>
      <c r="H127" s="196"/>
      <c r="I127" s="218"/>
      <c r="J127" s="116"/>
      <c r="K127" s="219"/>
      <c r="L127" s="116"/>
      <c r="M127" s="197"/>
      <c r="N127" s="93"/>
      <c r="O127" s="220"/>
      <c r="P127" s="175"/>
      <c r="Q127" s="175"/>
      <c r="R127" s="175"/>
    </row>
    <row r="128" spans="1:18" x14ac:dyDescent="0.25">
      <c r="A128" s="111"/>
      <c r="B128" s="181"/>
      <c r="C128" s="123"/>
      <c r="D128" s="192"/>
      <c r="E128" s="192"/>
      <c r="F128" s="208"/>
      <c r="G128" s="208"/>
      <c r="H128" s="196"/>
      <c r="I128" s="218"/>
      <c r="J128" s="116"/>
      <c r="K128" s="219"/>
      <c r="L128" s="116"/>
      <c r="M128" s="197"/>
      <c r="N128" s="93"/>
      <c r="O128" s="220"/>
      <c r="P128" s="175"/>
      <c r="Q128" s="175"/>
      <c r="R128" s="175"/>
    </row>
    <row r="129" spans="1:18" x14ac:dyDescent="0.25">
      <c r="A129" s="111"/>
      <c r="B129" s="181"/>
      <c r="C129" s="123"/>
      <c r="D129" s="192"/>
      <c r="E129" s="192"/>
      <c r="F129" s="208"/>
      <c r="G129" s="208"/>
      <c r="H129" s="196"/>
      <c r="I129" s="218"/>
      <c r="J129" s="116"/>
      <c r="K129" s="219"/>
      <c r="L129" s="116"/>
      <c r="M129" s="197"/>
      <c r="N129" s="93"/>
      <c r="O129" s="220"/>
      <c r="P129" s="175"/>
      <c r="Q129" s="175"/>
      <c r="R129" s="175"/>
    </row>
    <row r="130" spans="1:18" x14ac:dyDescent="0.25">
      <c r="A130" s="111"/>
      <c r="B130" s="181"/>
      <c r="C130" s="123"/>
      <c r="D130" s="192"/>
      <c r="E130" s="192"/>
      <c r="F130" s="208"/>
      <c r="G130" s="208"/>
      <c r="H130" s="196" t="str">
        <f t="shared" ref="H130" si="4">IF(AND(C130&lt;&gt;"",E130&lt;&gt;""),C130*E130,"")</f>
        <v/>
      </c>
      <c r="I130" s="218"/>
      <c r="J130" s="116"/>
      <c r="K130" s="219" t="str">
        <f t="shared" si="2"/>
        <v/>
      </c>
      <c r="L130" s="116" t="str">
        <f t="shared" si="3"/>
        <v/>
      </c>
      <c r="M130" s="197"/>
      <c r="N130" s="93"/>
      <c r="O130" s="220"/>
      <c r="P130" s="175"/>
      <c r="Q130" s="175"/>
      <c r="R130" s="175"/>
    </row>
    <row r="131" spans="1:18" x14ac:dyDescent="0.25">
      <c r="A131" s="124"/>
      <c r="B131" s="176"/>
      <c r="C131" s="125">
        <f>SUM(C4:C130)</f>
        <v>234</v>
      </c>
      <c r="D131" s="126"/>
      <c r="E131" s="126"/>
      <c r="F131" s="127"/>
      <c r="G131" s="128" t="s">
        <v>604</v>
      </c>
      <c r="H131" s="129">
        <f>SUM(H4:H130)</f>
        <v>18955</v>
      </c>
      <c r="I131" s="130"/>
      <c r="J131" s="131"/>
      <c r="K131" s="131"/>
      <c r="L131" s="131">
        <f>SUM(L4:L130)</f>
        <v>21612.8076344086</v>
      </c>
      <c r="M131" s="132"/>
      <c r="N131" s="133"/>
      <c r="O131" s="134"/>
      <c r="P131" s="175"/>
      <c r="Q131" s="175"/>
      <c r="R131" s="175"/>
    </row>
    <row r="132" spans="1:18" x14ac:dyDescent="0.25">
      <c r="A132" s="175"/>
      <c r="B132" s="175"/>
      <c r="C132" s="175"/>
      <c r="D132" s="175"/>
      <c r="E132" s="175"/>
      <c r="F132" s="225"/>
      <c r="G132" s="175"/>
      <c r="H132" s="175"/>
      <c r="I132" s="226"/>
      <c r="J132" s="141"/>
      <c r="K132" s="141"/>
      <c r="L132" s="141"/>
      <c r="M132" s="175"/>
      <c r="N132" s="175"/>
      <c r="O132" s="175"/>
      <c r="P132" s="175"/>
      <c r="Q132" s="175"/>
      <c r="R132" s="175"/>
    </row>
    <row r="133" spans="1:18" x14ac:dyDescent="0.25">
      <c r="A133" s="175"/>
      <c r="B133" s="175"/>
      <c r="C133" s="175"/>
      <c r="D133" s="175"/>
      <c r="E133" s="175"/>
      <c r="F133" s="225"/>
      <c r="G133" s="175"/>
      <c r="H133" s="175"/>
      <c r="I133" s="226"/>
      <c r="J133" s="141"/>
      <c r="K133" s="141"/>
      <c r="L133" s="141"/>
      <c r="M133" s="175"/>
      <c r="N133" s="175"/>
      <c r="O133" s="175"/>
      <c r="P133" s="175"/>
      <c r="Q133" s="175"/>
      <c r="R133" s="175"/>
    </row>
    <row r="134" spans="1:18" x14ac:dyDescent="0.25">
      <c r="A134" s="175"/>
      <c r="B134" s="175"/>
      <c r="C134" s="175"/>
      <c r="D134" s="175"/>
      <c r="E134" s="175"/>
      <c r="F134" s="225"/>
      <c r="G134" s="175"/>
      <c r="H134" s="175"/>
      <c r="I134" s="226"/>
      <c r="J134" s="141"/>
      <c r="K134" s="141"/>
      <c r="L134" s="141"/>
      <c r="M134" s="175"/>
      <c r="N134" s="175"/>
      <c r="O134" s="175"/>
      <c r="P134" s="175"/>
      <c r="Q134" s="175"/>
      <c r="R134" s="175"/>
    </row>
    <row r="135" spans="1:18" x14ac:dyDescent="0.25">
      <c r="A135" s="175"/>
      <c r="B135" s="175"/>
      <c r="C135" s="175"/>
      <c r="D135" s="175"/>
      <c r="E135" s="175"/>
      <c r="F135" s="225"/>
      <c r="G135" s="175"/>
      <c r="H135" s="175"/>
      <c r="I135" s="226"/>
      <c r="J135" s="141"/>
      <c r="K135" s="141"/>
      <c r="L135" s="141"/>
      <c r="M135" s="175"/>
      <c r="N135" s="175"/>
      <c r="O135" s="175"/>
      <c r="P135" s="175"/>
      <c r="Q135" s="175"/>
      <c r="R135" s="175"/>
    </row>
  </sheetData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3668511-50DA-47EE-BD3A-B53C09B95D9C}">
          <x14:formula1>
            <xm:f>Guias!$O$2:$O$5</xm:f>
          </x14:formula1>
          <xm:sqref>M2</xm:sqref>
        </x14:dataValidation>
        <x14:dataValidation type="list" allowBlank="1" showInputMessage="1" showErrorMessage="1" xr:uid="{868FA747-05C7-42F3-8790-1485F5B7F24E}">
          <x14:formula1>
            <xm:f>Fincas!$B$2:$B$105</xm:f>
          </x14:formula1>
          <xm:sqref>K2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Sheet1</vt:lpstr>
      <vt:lpstr>Guias</vt:lpstr>
      <vt:lpstr>Fincas</vt:lpstr>
      <vt:lpstr>Catalogo</vt:lpstr>
      <vt:lpstr>Ordenes Fijas</vt:lpstr>
      <vt:lpstr>Reporte Fincas</vt:lpstr>
      <vt:lpstr>Open Market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AndresB</dc:creator>
  <cp:keywords/>
  <dc:description/>
  <cp:lastModifiedBy>Cesar Aguilar</cp:lastModifiedBy>
  <cp:revision/>
  <dcterms:created xsi:type="dcterms:W3CDTF">2017-11-30T19:59:58Z</dcterms:created>
  <dcterms:modified xsi:type="dcterms:W3CDTF">2026-10-02T15:12:43Z</dcterms:modified>
  <cp:category/>
  <cp:contentStatus/>
</cp:coreProperties>
</file>