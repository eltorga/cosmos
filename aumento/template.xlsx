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flowers-my.sharepoint.com/personal/cesar_ecflowers_us/Documents/Documentos/COMERCIO EC FLOWERS/Listas de Precio/10. OCTUBRE 2026/Semana 42/"/>
    </mc:Choice>
  </mc:AlternateContent>
  <xr:revisionPtr revIDLastSave="2" documentId="13_ncr:1_{CE0F5200-D322-4A7E-AB7A-0DA3FFC121E3}" xr6:coauthVersionLast="47" xr6:coauthVersionMax="47" xr10:uidLastSave="{2A7067FB-D753-456C-A0A8-1FF9B40C0BAE}"/>
  <bookViews>
    <workbookView xWindow="28680" yWindow="-120" windowWidth="29040" windowHeight="15720" xr2:uid="{00000000-000D-0000-FFFF-FFFF00000000}"/>
  </bookViews>
  <sheets>
    <sheet name="test" sheetId="1" r:id="rId1"/>
    <sheet name="Sheet1" sheetId="2" r:id="rId2"/>
    <sheet name="Sheet2" sheetId="16" r:id="rId3"/>
    <sheet name="Guias" sheetId="7" r:id="rId4"/>
    <sheet name="Fincas" sheetId="3" r:id="rId5"/>
    <sheet name="Catalogo" sheetId="15" r:id="rId6"/>
    <sheet name="Ordenes Fijas" sheetId="12" r:id="rId7"/>
    <sheet name="Reporte Fincas" sheetId="11" r:id="rId8"/>
    <sheet name="Open Market" sheetId="13" r:id="rId9"/>
  </sheets>
  <definedNames>
    <definedName name="_xlnm._FilterDatabase" localSheetId="4" hidden="1">Fincas!$B$1:$C$84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D209" i="1"/>
  <c r="N206" i="1"/>
  <c r="S206" i="1"/>
  <c r="T206" i="1"/>
  <c r="U206" i="1"/>
  <c r="V206" i="1"/>
  <c r="W206" i="1" s="1"/>
  <c r="R206" i="1" s="1"/>
  <c r="Y206" i="1"/>
  <c r="Z206" i="1"/>
  <c r="AA206" i="1" a="1"/>
  <c r="N207" i="1"/>
  <c r="S207" i="1"/>
  <c r="T207" i="1"/>
  <c r="U207" i="1"/>
  <c r="V207" i="1"/>
  <c r="W207" i="1" s="1"/>
  <c r="R207" i="1" s="1"/>
  <c r="Y207" i="1"/>
  <c r="Z207" i="1"/>
  <c r="AA207" i="1" a="1"/>
  <c r="N208" i="1"/>
  <c r="S208" i="1"/>
  <c r="T208" i="1"/>
  <c r="U208" i="1"/>
  <c r="V208" i="1"/>
  <c r="W208" i="1" s="1"/>
  <c r="R208" i="1" s="1"/>
  <c r="Y208" i="1"/>
  <c r="Z208" i="1"/>
  <c r="AA208" i="1" a="1"/>
  <c r="N209" i="1"/>
  <c r="S209" i="1"/>
  <c r="T209" i="1"/>
  <c r="U209" i="1"/>
  <c r="V209" i="1"/>
  <c r="W209" i="1" s="1"/>
  <c r="R209" i="1" s="1"/>
  <c r="Y209" i="1"/>
  <c r="Z209" i="1"/>
  <c r="AA209" i="1" a="1"/>
  <c r="N51" i="1"/>
  <c r="S51" i="1"/>
  <c r="T51" i="1"/>
  <c r="U51" i="1"/>
  <c r="Y51" i="1"/>
  <c r="Z51" i="1"/>
  <c r="AA51" i="1" a="1"/>
  <c r="N52" i="1"/>
  <c r="S52" i="1"/>
  <c r="T52" i="1"/>
  <c r="U52" i="1"/>
  <c r="V52" i="1"/>
  <c r="W52" i="1" s="1"/>
  <c r="R52" i="1" s="1"/>
  <c r="Y52" i="1"/>
  <c r="Z52" i="1"/>
  <c r="AA52" i="1" a="1"/>
  <c r="N53" i="1"/>
  <c r="S53" i="1"/>
  <c r="T53" i="1"/>
  <c r="U53" i="1"/>
  <c r="V53" i="1"/>
  <c r="W53" i="1" s="1"/>
  <c r="R53" i="1" s="1"/>
  <c r="Y53" i="1"/>
  <c r="Z53" i="1"/>
  <c r="AA53" i="1" a="1"/>
  <c r="N54" i="1"/>
  <c r="S54" i="1"/>
  <c r="T54" i="1"/>
  <c r="U54" i="1"/>
  <c r="Y54" i="1"/>
  <c r="Z54" i="1"/>
  <c r="AA54" i="1" a="1"/>
  <c r="B3" i="16"/>
  <c r="L3" i="16"/>
  <c r="I5" i="16"/>
  <c r="L5" i="16"/>
  <c r="F6" i="7"/>
  <c r="E6" i="7"/>
  <c r="B5" i="7"/>
  <c r="U922" i="15"/>
  <c r="S922" i="15"/>
  <c r="P922" i="15"/>
  <c r="L922" i="15"/>
  <c r="B922" i="15"/>
  <c r="U921" i="15"/>
  <c r="S921" i="15"/>
  <c r="P921" i="15"/>
  <c r="L921" i="15"/>
  <c r="B921" i="15"/>
  <c r="U920" i="15"/>
  <c r="S920" i="15"/>
  <c r="P920" i="15"/>
  <c r="L920" i="15"/>
  <c r="B920" i="15"/>
  <c r="U919" i="15"/>
  <c r="S919" i="15"/>
  <c r="P919" i="15"/>
  <c r="L919" i="15"/>
  <c r="B919" i="15"/>
  <c r="U918" i="15"/>
  <c r="S918" i="15"/>
  <c r="P918" i="15"/>
  <c r="L918" i="15"/>
  <c r="B918" i="15"/>
  <c r="U917" i="15"/>
  <c r="S917" i="15"/>
  <c r="P917" i="15"/>
  <c r="L917" i="15"/>
  <c r="B917" i="15"/>
  <c r="U916" i="15"/>
  <c r="S916" i="15"/>
  <c r="P916" i="15"/>
  <c r="L916" i="15"/>
  <c r="B916" i="15"/>
  <c r="U915" i="15"/>
  <c r="S915" i="15"/>
  <c r="P915" i="15"/>
  <c r="L915" i="15"/>
  <c r="B915" i="15"/>
  <c r="U914" i="15"/>
  <c r="S914" i="15"/>
  <c r="P914" i="15"/>
  <c r="L914" i="15"/>
  <c r="B914" i="15"/>
  <c r="U913" i="15"/>
  <c r="S913" i="15"/>
  <c r="P913" i="15"/>
  <c r="L913" i="15"/>
  <c r="B913" i="15"/>
  <c r="U912" i="15"/>
  <c r="S912" i="15"/>
  <c r="P912" i="15"/>
  <c r="L912" i="15"/>
  <c r="B912" i="15"/>
  <c r="U911" i="15"/>
  <c r="S911" i="15"/>
  <c r="P911" i="15"/>
  <c r="L911" i="15"/>
  <c r="B911" i="15"/>
  <c r="U910" i="15"/>
  <c r="S910" i="15"/>
  <c r="P910" i="15"/>
  <c r="L910" i="15"/>
  <c r="B910" i="15"/>
  <c r="U909" i="15"/>
  <c r="S909" i="15"/>
  <c r="P909" i="15"/>
  <c r="L909" i="15"/>
  <c r="B909" i="15"/>
  <c r="U908" i="15"/>
  <c r="S908" i="15"/>
  <c r="P908" i="15"/>
  <c r="L908" i="15"/>
  <c r="B908" i="15"/>
  <c r="U907" i="15"/>
  <c r="S907" i="15"/>
  <c r="P907" i="15"/>
  <c r="L907" i="15"/>
  <c r="B907" i="15"/>
  <c r="U906" i="15"/>
  <c r="S906" i="15"/>
  <c r="P906" i="15"/>
  <c r="L906" i="15"/>
  <c r="B906" i="15"/>
  <c r="U905" i="15"/>
  <c r="S905" i="15"/>
  <c r="P905" i="15"/>
  <c r="L905" i="15"/>
  <c r="B905" i="15"/>
  <c r="U904" i="15"/>
  <c r="S904" i="15"/>
  <c r="P904" i="15"/>
  <c r="L904" i="15"/>
  <c r="B904" i="15"/>
  <c r="U903" i="15"/>
  <c r="S903" i="15"/>
  <c r="P903" i="15"/>
  <c r="L903" i="15"/>
  <c r="B903" i="15"/>
  <c r="U902" i="15"/>
  <c r="S902" i="15"/>
  <c r="P902" i="15"/>
  <c r="L902" i="15"/>
  <c r="B902" i="15"/>
  <c r="U901" i="15"/>
  <c r="S901" i="15"/>
  <c r="P901" i="15"/>
  <c r="L901" i="15"/>
  <c r="B901" i="15"/>
  <c r="U900" i="15"/>
  <c r="S900" i="15"/>
  <c r="P900" i="15"/>
  <c r="L900" i="15"/>
  <c r="B900" i="15"/>
  <c r="U899" i="15"/>
  <c r="S899" i="15"/>
  <c r="P899" i="15"/>
  <c r="L899" i="15"/>
  <c r="B899" i="15"/>
  <c r="U898" i="15"/>
  <c r="S898" i="15"/>
  <c r="P898" i="15"/>
  <c r="L898" i="15"/>
  <c r="B898" i="15"/>
  <c r="U897" i="15"/>
  <c r="S897" i="15"/>
  <c r="P897" i="15"/>
  <c r="L897" i="15"/>
  <c r="B897" i="15"/>
  <c r="U896" i="15"/>
  <c r="S896" i="15"/>
  <c r="P896" i="15"/>
  <c r="L896" i="15"/>
  <c r="B896" i="15"/>
  <c r="B923" i="15"/>
  <c r="B924" i="15"/>
  <c r="B925" i="15"/>
  <c r="B926" i="15"/>
  <c r="B927" i="15"/>
  <c r="B928" i="15"/>
  <c r="B929" i="15"/>
  <c r="B930" i="15"/>
  <c r="B931" i="15"/>
  <c r="B932" i="15"/>
  <c r="B933" i="15"/>
  <c r="B934" i="15"/>
  <c r="B935" i="15"/>
  <c r="B936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P923" i="15"/>
  <c r="P924" i="15"/>
  <c r="P925" i="15"/>
  <c r="P926" i="15"/>
  <c r="P927" i="15"/>
  <c r="P928" i="15"/>
  <c r="P929" i="15"/>
  <c r="P930" i="15"/>
  <c r="P931" i="15"/>
  <c r="P932" i="15"/>
  <c r="P933" i="15"/>
  <c r="P934" i="15"/>
  <c r="P935" i="15"/>
  <c r="P936" i="15"/>
  <c r="S923" i="15"/>
  <c r="S924" i="15"/>
  <c r="S925" i="15"/>
  <c r="S926" i="15"/>
  <c r="S927" i="15"/>
  <c r="S928" i="15"/>
  <c r="S929" i="15"/>
  <c r="S930" i="15"/>
  <c r="S931" i="15"/>
  <c r="S932" i="15"/>
  <c r="S933" i="15"/>
  <c r="S934" i="15"/>
  <c r="S935" i="15"/>
  <c r="S936" i="15"/>
  <c r="U895" i="15"/>
  <c r="S895" i="15"/>
  <c r="P895" i="15"/>
  <c r="L895" i="15"/>
  <c r="B895" i="15"/>
  <c r="U894" i="15"/>
  <c r="S894" i="15"/>
  <c r="P894" i="15"/>
  <c r="L894" i="15"/>
  <c r="B894" i="15"/>
  <c r="U893" i="15"/>
  <c r="S893" i="15"/>
  <c r="P893" i="15"/>
  <c r="L893" i="15"/>
  <c r="B893" i="15"/>
  <c r="U892" i="15"/>
  <c r="S892" i="15"/>
  <c r="P892" i="15"/>
  <c r="L892" i="15"/>
  <c r="B892" i="15"/>
  <c r="U891" i="15"/>
  <c r="S891" i="15"/>
  <c r="P891" i="15"/>
  <c r="L891" i="15"/>
  <c r="B891" i="15"/>
  <c r="U890" i="15"/>
  <c r="S890" i="15"/>
  <c r="P890" i="15"/>
  <c r="L890" i="15"/>
  <c r="B890" i="15"/>
  <c r="U889" i="15"/>
  <c r="S889" i="15"/>
  <c r="P889" i="15"/>
  <c r="L889" i="15"/>
  <c r="B889" i="15"/>
  <c r="U888" i="15"/>
  <c r="S888" i="15"/>
  <c r="P888" i="15"/>
  <c r="L888" i="15"/>
  <c r="B888" i="15"/>
  <c r="U887" i="15"/>
  <c r="S887" i="15"/>
  <c r="P887" i="15"/>
  <c r="L887" i="15"/>
  <c r="B887" i="15"/>
  <c r="U886" i="15"/>
  <c r="S886" i="15"/>
  <c r="P886" i="15"/>
  <c r="L886" i="15"/>
  <c r="B886" i="15"/>
  <c r="U885" i="15"/>
  <c r="S885" i="15"/>
  <c r="P885" i="15"/>
  <c r="L885" i="15"/>
  <c r="B885" i="15"/>
  <c r="U884" i="15"/>
  <c r="S884" i="15"/>
  <c r="P884" i="15"/>
  <c r="L884" i="15"/>
  <c r="B884" i="15"/>
  <c r="U883" i="15"/>
  <c r="S883" i="15"/>
  <c r="P883" i="15"/>
  <c r="L883" i="15"/>
  <c r="B883" i="15"/>
  <c r="U882" i="15"/>
  <c r="S882" i="15"/>
  <c r="P882" i="15"/>
  <c r="L882" i="15"/>
  <c r="B882" i="15"/>
  <c r="U881" i="15"/>
  <c r="S881" i="15"/>
  <c r="P881" i="15"/>
  <c r="L881" i="15"/>
  <c r="B881" i="15"/>
  <c r="U880" i="15"/>
  <c r="S880" i="15"/>
  <c r="P880" i="15"/>
  <c r="L880" i="15"/>
  <c r="B880" i="15"/>
  <c r="U879" i="15"/>
  <c r="S879" i="15"/>
  <c r="P879" i="15"/>
  <c r="L879" i="15"/>
  <c r="B879" i="15"/>
  <c r="U878" i="15"/>
  <c r="S878" i="15"/>
  <c r="P878" i="15"/>
  <c r="L878" i="15"/>
  <c r="B878" i="15"/>
  <c r="U877" i="15"/>
  <c r="S877" i="15"/>
  <c r="P877" i="15"/>
  <c r="L877" i="15"/>
  <c r="B877" i="15"/>
  <c r="U876" i="15"/>
  <c r="S876" i="15"/>
  <c r="P876" i="15"/>
  <c r="L876" i="15"/>
  <c r="B876" i="15"/>
  <c r="U875" i="15"/>
  <c r="S875" i="15"/>
  <c r="P875" i="15"/>
  <c r="L875" i="15"/>
  <c r="B875" i="15"/>
  <c r="U874" i="15"/>
  <c r="S874" i="15"/>
  <c r="P874" i="15"/>
  <c r="L874" i="15"/>
  <c r="B874" i="15"/>
  <c r="U873" i="15"/>
  <c r="S873" i="15"/>
  <c r="P873" i="15"/>
  <c r="L873" i="15"/>
  <c r="B873" i="15"/>
  <c r="U872" i="15"/>
  <c r="S872" i="15"/>
  <c r="P872" i="15"/>
  <c r="L872" i="15"/>
  <c r="B872" i="15"/>
  <c r="U871" i="15"/>
  <c r="S871" i="15"/>
  <c r="P871" i="15"/>
  <c r="L871" i="15"/>
  <c r="B871" i="15"/>
  <c r="U870" i="15"/>
  <c r="S870" i="15"/>
  <c r="P870" i="15"/>
  <c r="L870" i="15"/>
  <c r="B870" i="15"/>
  <c r="U869" i="15"/>
  <c r="S869" i="15"/>
  <c r="P869" i="15"/>
  <c r="L869" i="15"/>
  <c r="B869" i="15"/>
  <c r="U868" i="15"/>
  <c r="S868" i="15"/>
  <c r="P868" i="15"/>
  <c r="L868" i="15"/>
  <c r="B868" i="15"/>
  <c r="U867" i="15"/>
  <c r="S867" i="15"/>
  <c r="P867" i="15"/>
  <c r="L867" i="15"/>
  <c r="B867" i="15"/>
  <c r="U866" i="15"/>
  <c r="S866" i="15"/>
  <c r="P866" i="15"/>
  <c r="L866" i="15"/>
  <c r="B866" i="15"/>
  <c r="U865" i="15"/>
  <c r="S865" i="15"/>
  <c r="P865" i="15"/>
  <c r="L865" i="15"/>
  <c r="B865" i="15"/>
  <c r="U864" i="15"/>
  <c r="S864" i="15"/>
  <c r="P864" i="15"/>
  <c r="L864" i="15"/>
  <c r="B864" i="15"/>
  <c r="U863" i="15"/>
  <c r="S863" i="15"/>
  <c r="P863" i="15"/>
  <c r="L863" i="15"/>
  <c r="B863" i="15"/>
  <c r="U862" i="15"/>
  <c r="S862" i="15"/>
  <c r="P862" i="15"/>
  <c r="L862" i="15"/>
  <c r="B862" i="15"/>
  <c r="U861" i="15"/>
  <c r="S861" i="15"/>
  <c r="P861" i="15"/>
  <c r="L861" i="15"/>
  <c r="B861" i="15"/>
  <c r="U860" i="15"/>
  <c r="S860" i="15"/>
  <c r="P860" i="15"/>
  <c r="L860" i="15"/>
  <c r="B860" i="15"/>
  <c r="U859" i="15"/>
  <c r="S859" i="15"/>
  <c r="P859" i="15"/>
  <c r="L859" i="15"/>
  <c r="B859" i="15"/>
  <c r="U858" i="15"/>
  <c r="S858" i="15"/>
  <c r="P858" i="15"/>
  <c r="L858" i="15"/>
  <c r="B858" i="15"/>
  <c r="U857" i="15"/>
  <c r="S857" i="15"/>
  <c r="P857" i="15"/>
  <c r="L857" i="15"/>
  <c r="B857" i="15"/>
  <c r="U856" i="15"/>
  <c r="S856" i="15"/>
  <c r="P856" i="15"/>
  <c r="L856" i="15"/>
  <c r="B856" i="15"/>
  <c r="U855" i="15"/>
  <c r="S855" i="15"/>
  <c r="P855" i="15"/>
  <c r="L855" i="15"/>
  <c r="B855" i="15"/>
  <c r="U854" i="15"/>
  <c r="S854" i="15"/>
  <c r="P854" i="15"/>
  <c r="L854" i="15"/>
  <c r="B854" i="15"/>
  <c r="U853" i="15"/>
  <c r="S853" i="15"/>
  <c r="P853" i="15"/>
  <c r="L853" i="15"/>
  <c r="B853" i="15"/>
  <c r="U852" i="15"/>
  <c r="S852" i="15"/>
  <c r="P852" i="15"/>
  <c r="L852" i="15"/>
  <c r="B852" i="15"/>
  <c r="U851" i="15"/>
  <c r="S851" i="15"/>
  <c r="P851" i="15"/>
  <c r="L851" i="15"/>
  <c r="B851" i="15"/>
  <c r="U850" i="15"/>
  <c r="S850" i="15"/>
  <c r="P850" i="15"/>
  <c r="L850" i="15"/>
  <c r="B850" i="15"/>
  <c r="U849" i="15"/>
  <c r="S849" i="15"/>
  <c r="P849" i="15"/>
  <c r="L849" i="15"/>
  <c r="B849" i="15"/>
  <c r="U848" i="15"/>
  <c r="S848" i="15"/>
  <c r="P848" i="15"/>
  <c r="L848" i="15"/>
  <c r="B848" i="15"/>
  <c r="U847" i="15"/>
  <c r="S847" i="15"/>
  <c r="P847" i="15"/>
  <c r="L847" i="15"/>
  <c r="B847" i="15"/>
  <c r="U846" i="15"/>
  <c r="S846" i="15"/>
  <c r="P846" i="15"/>
  <c r="L846" i="15"/>
  <c r="B846" i="15"/>
  <c r="U845" i="15"/>
  <c r="S845" i="15"/>
  <c r="P845" i="15"/>
  <c r="L845" i="15"/>
  <c r="B845" i="15"/>
  <c r="U844" i="15"/>
  <c r="S844" i="15"/>
  <c r="P844" i="15"/>
  <c r="L844" i="15"/>
  <c r="B844" i="15"/>
  <c r="U843" i="15"/>
  <c r="S843" i="15"/>
  <c r="P843" i="15"/>
  <c r="L843" i="15"/>
  <c r="B843" i="15"/>
  <c r="U842" i="15"/>
  <c r="S842" i="15"/>
  <c r="P842" i="15"/>
  <c r="L842" i="15"/>
  <c r="B842" i="15"/>
  <c r="U841" i="15"/>
  <c r="S841" i="15"/>
  <c r="P841" i="15"/>
  <c r="L841" i="15"/>
  <c r="B841" i="15"/>
  <c r="U840" i="15"/>
  <c r="S840" i="15"/>
  <c r="P840" i="15"/>
  <c r="L840" i="15"/>
  <c r="B840" i="15"/>
  <c r="U839" i="15"/>
  <c r="S839" i="15"/>
  <c r="P839" i="15"/>
  <c r="L839" i="15"/>
  <c r="B839" i="15"/>
  <c r="U838" i="15"/>
  <c r="S838" i="15"/>
  <c r="P838" i="15"/>
  <c r="L838" i="15"/>
  <c r="B838" i="15"/>
  <c r="U837" i="15"/>
  <c r="S837" i="15"/>
  <c r="P837" i="15"/>
  <c r="L837" i="15"/>
  <c r="B837" i="15"/>
  <c r="U836" i="15"/>
  <c r="S836" i="15"/>
  <c r="P836" i="15"/>
  <c r="L836" i="15"/>
  <c r="B836" i="15"/>
  <c r="U835" i="15"/>
  <c r="S835" i="15"/>
  <c r="P835" i="15"/>
  <c r="L835" i="15"/>
  <c r="B835" i="15"/>
  <c r="U834" i="15"/>
  <c r="S834" i="15"/>
  <c r="P834" i="15"/>
  <c r="L834" i="15"/>
  <c r="B834" i="15"/>
  <c r="U833" i="15"/>
  <c r="S833" i="15"/>
  <c r="P833" i="15"/>
  <c r="L833" i="15"/>
  <c r="B833" i="15"/>
  <c r="U832" i="15"/>
  <c r="S832" i="15"/>
  <c r="P832" i="15"/>
  <c r="L832" i="15"/>
  <c r="B832" i="15"/>
  <c r="U831" i="15"/>
  <c r="S831" i="15"/>
  <c r="P831" i="15"/>
  <c r="L831" i="15"/>
  <c r="B831" i="15"/>
  <c r="U830" i="15"/>
  <c r="S830" i="15"/>
  <c r="P830" i="15"/>
  <c r="L830" i="15"/>
  <c r="B830" i="15"/>
  <c r="U829" i="15"/>
  <c r="S829" i="15"/>
  <c r="P829" i="15"/>
  <c r="L829" i="15"/>
  <c r="B829" i="15"/>
  <c r="U828" i="15"/>
  <c r="S828" i="15"/>
  <c r="P828" i="15"/>
  <c r="L828" i="15"/>
  <c r="B828" i="15"/>
  <c r="U827" i="15"/>
  <c r="S827" i="15"/>
  <c r="P827" i="15"/>
  <c r="L827" i="15"/>
  <c r="B827" i="15"/>
  <c r="U826" i="15"/>
  <c r="S826" i="15"/>
  <c r="P826" i="15"/>
  <c r="L826" i="15"/>
  <c r="B826" i="15"/>
  <c r="U825" i="15"/>
  <c r="S825" i="15"/>
  <c r="P825" i="15"/>
  <c r="L825" i="15"/>
  <c r="B825" i="15"/>
  <c r="U824" i="15"/>
  <c r="S824" i="15"/>
  <c r="P824" i="15"/>
  <c r="L824" i="15"/>
  <c r="B824" i="15"/>
  <c r="U823" i="15"/>
  <c r="S823" i="15"/>
  <c r="P823" i="15"/>
  <c r="L823" i="15"/>
  <c r="B823" i="15"/>
  <c r="U822" i="15"/>
  <c r="S822" i="15"/>
  <c r="P822" i="15"/>
  <c r="L822" i="15"/>
  <c r="B822" i="15"/>
  <c r="U821" i="15"/>
  <c r="S821" i="15"/>
  <c r="P821" i="15"/>
  <c r="L821" i="15"/>
  <c r="B821" i="15"/>
  <c r="U820" i="15"/>
  <c r="S820" i="15"/>
  <c r="P820" i="15"/>
  <c r="L820" i="15"/>
  <c r="B820" i="15"/>
  <c r="U819" i="15"/>
  <c r="S819" i="15"/>
  <c r="P819" i="15"/>
  <c r="L819" i="15"/>
  <c r="B819" i="15"/>
  <c r="U818" i="15"/>
  <c r="S818" i="15"/>
  <c r="P818" i="15"/>
  <c r="L818" i="15"/>
  <c r="B818" i="15"/>
  <c r="U817" i="15"/>
  <c r="S817" i="15"/>
  <c r="P817" i="15"/>
  <c r="L817" i="15"/>
  <c r="B817" i="15"/>
  <c r="U816" i="15"/>
  <c r="S816" i="15"/>
  <c r="P816" i="15"/>
  <c r="L816" i="15"/>
  <c r="B816" i="15"/>
  <c r="U815" i="15"/>
  <c r="S815" i="15"/>
  <c r="P815" i="15"/>
  <c r="L815" i="15"/>
  <c r="B815" i="15"/>
  <c r="U814" i="15"/>
  <c r="S814" i="15"/>
  <c r="P814" i="15"/>
  <c r="L814" i="15"/>
  <c r="B814" i="15"/>
  <c r="U813" i="15"/>
  <c r="S813" i="15"/>
  <c r="P813" i="15"/>
  <c r="L813" i="15"/>
  <c r="B813" i="15"/>
  <c r="U812" i="15"/>
  <c r="S812" i="15"/>
  <c r="P812" i="15"/>
  <c r="L812" i="15"/>
  <c r="B812" i="15"/>
  <c r="U811" i="15"/>
  <c r="S811" i="15"/>
  <c r="P811" i="15"/>
  <c r="L811" i="15"/>
  <c r="B811" i="15"/>
  <c r="U810" i="15"/>
  <c r="S810" i="15"/>
  <c r="P810" i="15"/>
  <c r="L810" i="15"/>
  <c r="B810" i="15"/>
  <c r="U809" i="15"/>
  <c r="S809" i="15"/>
  <c r="P809" i="15"/>
  <c r="L809" i="15"/>
  <c r="B809" i="15"/>
  <c r="U808" i="15"/>
  <c r="S808" i="15"/>
  <c r="P808" i="15"/>
  <c r="L808" i="15"/>
  <c r="B808" i="15"/>
  <c r="U807" i="15"/>
  <c r="S807" i="15"/>
  <c r="P807" i="15"/>
  <c r="L807" i="15"/>
  <c r="B807" i="15"/>
  <c r="U806" i="15"/>
  <c r="S806" i="15"/>
  <c r="P806" i="15"/>
  <c r="L806" i="15"/>
  <c r="B806" i="15"/>
  <c r="U805" i="15"/>
  <c r="S805" i="15"/>
  <c r="P805" i="15"/>
  <c r="L805" i="15"/>
  <c r="B805" i="15"/>
  <c r="U804" i="15"/>
  <c r="S804" i="15"/>
  <c r="P804" i="15"/>
  <c r="L804" i="15"/>
  <c r="B804" i="15"/>
  <c r="U803" i="15"/>
  <c r="S803" i="15"/>
  <c r="P803" i="15"/>
  <c r="L803" i="15"/>
  <c r="B803" i="15"/>
  <c r="U802" i="15"/>
  <c r="S802" i="15"/>
  <c r="P802" i="15"/>
  <c r="L802" i="15"/>
  <c r="B802" i="15"/>
  <c r="U801" i="15"/>
  <c r="S801" i="15"/>
  <c r="P801" i="15"/>
  <c r="L801" i="15"/>
  <c r="B801" i="15"/>
  <c r="U800" i="15"/>
  <c r="S800" i="15"/>
  <c r="P800" i="15"/>
  <c r="L800" i="15"/>
  <c r="B800" i="15"/>
  <c r="U799" i="15"/>
  <c r="S799" i="15"/>
  <c r="P799" i="15"/>
  <c r="L799" i="15"/>
  <c r="B799" i="15"/>
  <c r="U798" i="15"/>
  <c r="S798" i="15"/>
  <c r="P798" i="15"/>
  <c r="L798" i="15"/>
  <c r="B798" i="15"/>
  <c r="U797" i="15"/>
  <c r="S797" i="15"/>
  <c r="P797" i="15"/>
  <c r="L797" i="15"/>
  <c r="B797" i="15"/>
  <c r="U796" i="15"/>
  <c r="S796" i="15"/>
  <c r="P796" i="15"/>
  <c r="L796" i="15"/>
  <c r="B796" i="15"/>
  <c r="U795" i="15"/>
  <c r="S795" i="15"/>
  <c r="P795" i="15"/>
  <c r="L795" i="15"/>
  <c r="B795" i="15"/>
  <c r="U794" i="15"/>
  <c r="S794" i="15"/>
  <c r="P794" i="15"/>
  <c r="L794" i="15"/>
  <c r="B794" i="15"/>
  <c r="U793" i="15"/>
  <c r="S793" i="15"/>
  <c r="P793" i="15"/>
  <c r="L793" i="15"/>
  <c r="B793" i="15"/>
  <c r="U792" i="15"/>
  <c r="S792" i="15"/>
  <c r="P792" i="15"/>
  <c r="L792" i="15"/>
  <c r="B792" i="15"/>
  <c r="U791" i="15"/>
  <c r="S791" i="15"/>
  <c r="P791" i="15"/>
  <c r="L791" i="15"/>
  <c r="B791" i="15"/>
  <c r="U790" i="15"/>
  <c r="S790" i="15"/>
  <c r="P790" i="15"/>
  <c r="L790" i="15"/>
  <c r="B790" i="15"/>
  <c r="U789" i="15"/>
  <c r="S789" i="15"/>
  <c r="P789" i="15"/>
  <c r="L789" i="15"/>
  <c r="B789" i="15"/>
  <c r="U788" i="15"/>
  <c r="S788" i="15"/>
  <c r="P788" i="15"/>
  <c r="L788" i="15"/>
  <c r="B788" i="15"/>
  <c r="U787" i="15"/>
  <c r="S787" i="15"/>
  <c r="P787" i="15"/>
  <c r="L787" i="15"/>
  <c r="B787" i="15"/>
  <c r="U786" i="15"/>
  <c r="S786" i="15"/>
  <c r="P786" i="15"/>
  <c r="L786" i="15"/>
  <c r="B786" i="15"/>
  <c r="U785" i="15"/>
  <c r="S785" i="15"/>
  <c r="P785" i="15"/>
  <c r="L785" i="15"/>
  <c r="B785" i="15"/>
  <c r="U784" i="15"/>
  <c r="S784" i="15"/>
  <c r="P784" i="15"/>
  <c r="L784" i="15"/>
  <c r="B784" i="15"/>
  <c r="U783" i="15"/>
  <c r="S783" i="15"/>
  <c r="P783" i="15"/>
  <c r="L783" i="15"/>
  <c r="B783" i="15"/>
  <c r="U782" i="15"/>
  <c r="S782" i="15"/>
  <c r="P782" i="15"/>
  <c r="L782" i="15"/>
  <c r="B782" i="15"/>
  <c r="U781" i="15"/>
  <c r="S781" i="15"/>
  <c r="P781" i="15"/>
  <c r="L781" i="15"/>
  <c r="B781" i="15"/>
  <c r="U780" i="15"/>
  <c r="S780" i="15"/>
  <c r="P780" i="15"/>
  <c r="L780" i="15"/>
  <c r="B780" i="15"/>
  <c r="U779" i="15"/>
  <c r="S779" i="15"/>
  <c r="P779" i="15"/>
  <c r="L779" i="15"/>
  <c r="B779" i="15"/>
  <c r="U778" i="15"/>
  <c r="S778" i="15"/>
  <c r="P778" i="15"/>
  <c r="L778" i="15"/>
  <c r="B778" i="15"/>
  <c r="U777" i="15"/>
  <c r="S777" i="15"/>
  <c r="P777" i="15"/>
  <c r="L777" i="15"/>
  <c r="B777" i="15"/>
  <c r="U776" i="15"/>
  <c r="S776" i="15"/>
  <c r="P776" i="15"/>
  <c r="L776" i="15"/>
  <c r="B776" i="15"/>
  <c r="U775" i="15"/>
  <c r="S775" i="15"/>
  <c r="P775" i="15"/>
  <c r="L775" i="15"/>
  <c r="B775" i="15"/>
  <c r="U774" i="15"/>
  <c r="S774" i="15"/>
  <c r="P774" i="15"/>
  <c r="L774" i="15"/>
  <c r="B774" i="15"/>
  <c r="U773" i="15"/>
  <c r="S773" i="15"/>
  <c r="P773" i="15"/>
  <c r="L773" i="15"/>
  <c r="B773" i="15"/>
  <c r="U772" i="15"/>
  <c r="S772" i="15"/>
  <c r="P772" i="15"/>
  <c r="L772" i="15"/>
  <c r="B772" i="15"/>
  <c r="U771" i="15"/>
  <c r="S771" i="15"/>
  <c r="P771" i="15"/>
  <c r="L771" i="15"/>
  <c r="B771" i="15"/>
  <c r="U770" i="15"/>
  <c r="S770" i="15"/>
  <c r="P770" i="15"/>
  <c r="L770" i="15"/>
  <c r="B770" i="15"/>
  <c r="U769" i="15"/>
  <c r="S769" i="15"/>
  <c r="P769" i="15"/>
  <c r="L769" i="15"/>
  <c r="B769" i="15"/>
  <c r="U768" i="15"/>
  <c r="S768" i="15"/>
  <c r="P768" i="15"/>
  <c r="L768" i="15"/>
  <c r="B768" i="15"/>
  <c r="U767" i="15"/>
  <c r="S767" i="15"/>
  <c r="P767" i="15"/>
  <c r="L767" i="15"/>
  <c r="B767" i="15"/>
  <c r="U766" i="15"/>
  <c r="S766" i="15"/>
  <c r="P766" i="15"/>
  <c r="L766" i="15"/>
  <c r="B766" i="15"/>
  <c r="U765" i="15"/>
  <c r="S765" i="15"/>
  <c r="P765" i="15"/>
  <c r="L765" i="15"/>
  <c r="B765" i="15"/>
  <c r="U764" i="15"/>
  <c r="S764" i="15"/>
  <c r="P764" i="15"/>
  <c r="L764" i="15"/>
  <c r="B764" i="15"/>
  <c r="U763" i="15"/>
  <c r="S763" i="15"/>
  <c r="P763" i="15"/>
  <c r="L763" i="15"/>
  <c r="B763" i="15"/>
  <c r="U762" i="15"/>
  <c r="S762" i="15"/>
  <c r="P762" i="15"/>
  <c r="L762" i="15"/>
  <c r="B762" i="15"/>
  <c r="U761" i="15"/>
  <c r="S761" i="15"/>
  <c r="P761" i="15"/>
  <c r="L761" i="15"/>
  <c r="B761" i="15"/>
  <c r="U760" i="15"/>
  <c r="S760" i="15"/>
  <c r="P760" i="15"/>
  <c r="L760" i="15"/>
  <c r="B760" i="15"/>
  <c r="U759" i="15"/>
  <c r="S759" i="15"/>
  <c r="P759" i="15"/>
  <c r="L759" i="15"/>
  <c r="B759" i="15"/>
  <c r="U758" i="15"/>
  <c r="S758" i="15"/>
  <c r="P758" i="15"/>
  <c r="L758" i="15"/>
  <c r="B758" i="15"/>
  <c r="U757" i="15"/>
  <c r="S757" i="15"/>
  <c r="P757" i="15"/>
  <c r="L757" i="15"/>
  <c r="B757" i="15"/>
  <c r="U756" i="15"/>
  <c r="S756" i="15"/>
  <c r="P756" i="15"/>
  <c r="L756" i="15"/>
  <c r="B756" i="15"/>
  <c r="U755" i="15"/>
  <c r="S755" i="15"/>
  <c r="P755" i="15"/>
  <c r="L755" i="15"/>
  <c r="B755" i="15"/>
  <c r="U754" i="15"/>
  <c r="S754" i="15"/>
  <c r="P754" i="15"/>
  <c r="L754" i="15"/>
  <c r="B754" i="15"/>
  <c r="U753" i="15"/>
  <c r="S753" i="15"/>
  <c r="P753" i="15"/>
  <c r="L753" i="15"/>
  <c r="B753" i="15"/>
  <c r="U752" i="15"/>
  <c r="S752" i="15"/>
  <c r="P752" i="15"/>
  <c r="L752" i="15"/>
  <c r="B752" i="15"/>
  <c r="U751" i="15"/>
  <c r="S751" i="15"/>
  <c r="P751" i="15"/>
  <c r="L751" i="15"/>
  <c r="B751" i="15"/>
  <c r="U750" i="15"/>
  <c r="S750" i="15"/>
  <c r="P750" i="15"/>
  <c r="L750" i="15"/>
  <c r="B750" i="15"/>
  <c r="U749" i="15"/>
  <c r="S749" i="15"/>
  <c r="P749" i="15"/>
  <c r="L749" i="15"/>
  <c r="B749" i="15"/>
  <c r="U748" i="15"/>
  <c r="S748" i="15"/>
  <c r="P748" i="15"/>
  <c r="L748" i="15"/>
  <c r="B748" i="15"/>
  <c r="U747" i="15"/>
  <c r="S747" i="15"/>
  <c r="P747" i="15"/>
  <c r="L747" i="15"/>
  <c r="B747" i="15"/>
  <c r="U746" i="15"/>
  <c r="S746" i="15"/>
  <c r="P746" i="15"/>
  <c r="L746" i="15"/>
  <c r="B746" i="15"/>
  <c r="U745" i="15"/>
  <c r="S745" i="15"/>
  <c r="P745" i="15"/>
  <c r="L745" i="15"/>
  <c r="B745" i="15"/>
  <c r="U744" i="15"/>
  <c r="S744" i="15"/>
  <c r="P744" i="15"/>
  <c r="L744" i="15"/>
  <c r="B744" i="15"/>
  <c r="U743" i="15"/>
  <c r="S743" i="15"/>
  <c r="P743" i="15"/>
  <c r="L743" i="15"/>
  <c r="B743" i="15"/>
  <c r="U742" i="15"/>
  <c r="S742" i="15"/>
  <c r="P742" i="15"/>
  <c r="L742" i="15"/>
  <c r="B742" i="15"/>
  <c r="U741" i="15"/>
  <c r="S741" i="15"/>
  <c r="P741" i="15"/>
  <c r="L741" i="15"/>
  <c r="B741" i="15"/>
  <c r="U740" i="15"/>
  <c r="S740" i="15"/>
  <c r="P740" i="15"/>
  <c r="L740" i="15"/>
  <c r="B740" i="15"/>
  <c r="U739" i="15"/>
  <c r="S739" i="15"/>
  <c r="P739" i="15"/>
  <c r="L739" i="15"/>
  <c r="B739" i="15"/>
  <c r="U738" i="15"/>
  <c r="S738" i="15"/>
  <c r="P738" i="15"/>
  <c r="L738" i="15"/>
  <c r="B738" i="15"/>
  <c r="U737" i="15"/>
  <c r="S737" i="15"/>
  <c r="P737" i="15"/>
  <c r="L737" i="15"/>
  <c r="B737" i="15"/>
  <c r="U736" i="15"/>
  <c r="S736" i="15"/>
  <c r="P736" i="15"/>
  <c r="L736" i="15"/>
  <c r="B736" i="15"/>
  <c r="U735" i="15"/>
  <c r="S735" i="15"/>
  <c r="P735" i="15"/>
  <c r="L735" i="15"/>
  <c r="B735" i="15"/>
  <c r="U734" i="15"/>
  <c r="S734" i="15"/>
  <c r="P734" i="15"/>
  <c r="L734" i="15"/>
  <c r="B734" i="15"/>
  <c r="U733" i="15"/>
  <c r="S733" i="15"/>
  <c r="P733" i="15"/>
  <c r="L733" i="15"/>
  <c r="B733" i="15"/>
  <c r="U732" i="15"/>
  <c r="S732" i="15"/>
  <c r="P732" i="15"/>
  <c r="L732" i="15"/>
  <c r="B732" i="15"/>
  <c r="U731" i="15"/>
  <c r="S731" i="15"/>
  <c r="P731" i="15"/>
  <c r="L731" i="15"/>
  <c r="B731" i="15"/>
  <c r="U730" i="15"/>
  <c r="S730" i="15"/>
  <c r="P730" i="15"/>
  <c r="L730" i="15"/>
  <c r="B730" i="15"/>
  <c r="U729" i="15"/>
  <c r="S729" i="15"/>
  <c r="P729" i="15"/>
  <c r="L729" i="15"/>
  <c r="B729" i="15"/>
  <c r="U728" i="15"/>
  <c r="S728" i="15"/>
  <c r="P728" i="15"/>
  <c r="L728" i="15"/>
  <c r="B728" i="15"/>
  <c r="U727" i="15"/>
  <c r="S727" i="15"/>
  <c r="P727" i="15"/>
  <c r="L727" i="15"/>
  <c r="B727" i="15"/>
  <c r="U726" i="15"/>
  <c r="S726" i="15"/>
  <c r="P726" i="15"/>
  <c r="L726" i="15"/>
  <c r="B726" i="15"/>
  <c r="U725" i="15"/>
  <c r="S725" i="15"/>
  <c r="P725" i="15"/>
  <c r="L725" i="15"/>
  <c r="B725" i="15"/>
  <c r="U724" i="15"/>
  <c r="S724" i="15"/>
  <c r="P724" i="15"/>
  <c r="L724" i="15"/>
  <c r="B724" i="15"/>
  <c r="U723" i="15"/>
  <c r="S723" i="15"/>
  <c r="P723" i="15"/>
  <c r="L723" i="15"/>
  <c r="B723" i="15"/>
  <c r="U722" i="15"/>
  <c r="S722" i="15"/>
  <c r="P722" i="15"/>
  <c r="L722" i="15"/>
  <c r="B722" i="15"/>
  <c r="U721" i="15"/>
  <c r="S721" i="15"/>
  <c r="P721" i="15"/>
  <c r="L721" i="15"/>
  <c r="B721" i="15"/>
  <c r="U720" i="15"/>
  <c r="S720" i="15"/>
  <c r="P720" i="15"/>
  <c r="L720" i="15"/>
  <c r="B720" i="15"/>
  <c r="U719" i="15"/>
  <c r="S719" i="15"/>
  <c r="P719" i="15"/>
  <c r="L719" i="15"/>
  <c r="B719" i="15"/>
  <c r="U718" i="15"/>
  <c r="S718" i="15"/>
  <c r="P718" i="15"/>
  <c r="L718" i="15"/>
  <c r="B718" i="15"/>
  <c r="U717" i="15"/>
  <c r="S717" i="15"/>
  <c r="P717" i="15"/>
  <c r="L717" i="15"/>
  <c r="B717" i="15"/>
  <c r="U716" i="15"/>
  <c r="S716" i="15"/>
  <c r="P716" i="15"/>
  <c r="L716" i="15"/>
  <c r="B716" i="15"/>
  <c r="U715" i="15"/>
  <c r="S715" i="15"/>
  <c r="P715" i="15"/>
  <c r="L715" i="15"/>
  <c r="B715" i="15"/>
  <c r="U714" i="15"/>
  <c r="S714" i="15"/>
  <c r="P714" i="15"/>
  <c r="L714" i="15"/>
  <c r="B714" i="15"/>
  <c r="U713" i="15"/>
  <c r="S713" i="15"/>
  <c r="P713" i="15"/>
  <c r="L713" i="15"/>
  <c r="B713" i="15"/>
  <c r="U712" i="15"/>
  <c r="S712" i="15"/>
  <c r="P712" i="15"/>
  <c r="L712" i="15"/>
  <c r="B712" i="15"/>
  <c r="U711" i="15"/>
  <c r="S711" i="15"/>
  <c r="P711" i="15"/>
  <c r="L711" i="15"/>
  <c r="B711" i="15"/>
  <c r="U710" i="15"/>
  <c r="S710" i="15"/>
  <c r="P710" i="15"/>
  <c r="L710" i="15"/>
  <c r="B710" i="15"/>
  <c r="U709" i="15"/>
  <c r="S709" i="15"/>
  <c r="P709" i="15"/>
  <c r="L709" i="15"/>
  <c r="B709" i="15"/>
  <c r="U708" i="15"/>
  <c r="S708" i="15"/>
  <c r="P708" i="15"/>
  <c r="L708" i="15"/>
  <c r="B708" i="15"/>
  <c r="U707" i="15"/>
  <c r="S707" i="15"/>
  <c r="P707" i="15"/>
  <c r="L707" i="15"/>
  <c r="B707" i="15"/>
  <c r="B937" i="15"/>
  <c r="L937" i="15"/>
  <c r="P937" i="15"/>
  <c r="S937" i="15"/>
  <c r="B938" i="15"/>
  <c r="L938" i="15"/>
  <c r="P938" i="15"/>
  <c r="S938" i="15"/>
  <c r="B939" i="15"/>
  <c r="L939" i="15"/>
  <c r="P939" i="15"/>
  <c r="S939" i="15"/>
  <c r="U939" i="15"/>
  <c r="U706" i="15"/>
  <c r="S706" i="15"/>
  <c r="P706" i="15"/>
  <c r="L706" i="15"/>
  <c r="B706" i="15"/>
  <c r="U705" i="15"/>
  <c r="S705" i="15"/>
  <c r="P705" i="15"/>
  <c r="L705" i="15"/>
  <c r="B705" i="15"/>
  <c r="U704" i="15"/>
  <c r="S704" i="15"/>
  <c r="P704" i="15"/>
  <c r="L704" i="15"/>
  <c r="B704" i="15"/>
  <c r="U703" i="15"/>
  <c r="S703" i="15"/>
  <c r="P703" i="15"/>
  <c r="L703" i="15"/>
  <c r="B703" i="15"/>
  <c r="U702" i="15"/>
  <c r="S702" i="15"/>
  <c r="P702" i="15"/>
  <c r="L702" i="15"/>
  <c r="B702" i="15"/>
  <c r="U701" i="15"/>
  <c r="S701" i="15"/>
  <c r="P701" i="15"/>
  <c r="L701" i="15"/>
  <c r="B701" i="15"/>
  <c r="U700" i="15"/>
  <c r="S700" i="15"/>
  <c r="P700" i="15"/>
  <c r="L700" i="15"/>
  <c r="B700" i="15"/>
  <c r="U699" i="15"/>
  <c r="S699" i="15"/>
  <c r="P699" i="15"/>
  <c r="L699" i="15"/>
  <c r="B699" i="15"/>
  <c r="U698" i="15"/>
  <c r="S698" i="15"/>
  <c r="P698" i="15"/>
  <c r="L698" i="15"/>
  <c r="B698" i="15"/>
  <c r="U697" i="15"/>
  <c r="S697" i="15"/>
  <c r="P697" i="15"/>
  <c r="L697" i="15"/>
  <c r="B697" i="15"/>
  <c r="U696" i="15"/>
  <c r="S696" i="15"/>
  <c r="P696" i="15"/>
  <c r="L696" i="15"/>
  <c r="B696" i="15"/>
  <c r="U695" i="15"/>
  <c r="S695" i="15"/>
  <c r="P695" i="15"/>
  <c r="L695" i="15"/>
  <c r="B695" i="15"/>
  <c r="U694" i="15"/>
  <c r="S694" i="15"/>
  <c r="P694" i="15"/>
  <c r="L694" i="15"/>
  <c r="B694" i="15"/>
  <c r="U693" i="15"/>
  <c r="S693" i="15"/>
  <c r="P693" i="15"/>
  <c r="L693" i="15"/>
  <c r="B693" i="15"/>
  <c r="U692" i="15"/>
  <c r="S692" i="15"/>
  <c r="P692" i="15"/>
  <c r="L692" i="15"/>
  <c r="B692" i="15"/>
  <c r="U691" i="15"/>
  <c r="S691" i="15"/>
  <c r="P691" i="15"/>
  <c r="L691" i="15"/>
  <c r="B691" i="15"/>
  <c r="U690" i="15"/>
  <c r="S690" i="15"/>
  <c r="P690" i="15"/>
  <c r="L690" i="15"/>
  <c r="B690" i="15"/>
  <c r="U689" i="15"/>
  <c r="S689" i="15"/>
  <c r="P689" i="15"/>
  <c r="L689" i="15"/>
  <c r="B689" i="15"/>
  <c r="U688" i="15"/>
  <c r="S688" i="15"/>
  <c r="P688" i="15"/>
  <c r="L688" i="15"/>
  <c r="B688" i="15"/>
  <c r="U687" i="15"/>
  <c r="S687" i="15"/>
  <c r="P687" i="15"/>
  <c r="L687" i="15"/>
  <c r="B687" i="15"/>
  <c r="U686" i="15"/>
  <c r="S686" i="15"/>
  <c r="P686" i="15"/>
  <c r="L686" i="15"/>
  <c r="B686" i="15"/>
  <c r="U685" i="15"/>
  <c r="S685" i="15"/>
  <c r="P685" i="15"/>
  <c r="L685" i="15"/>
  <c r="B685" i="15"/>
  <c r="U684" i="15"/>
  <c r="S684" i="15"/>
  <c r="P684" i="15"/>
  <c r="L684" i="15"/>
  <c r="B684" i="15"/>
  <c r="U683" i="15"/>
  <c r="S683" i="15"/>
  <c r="P683" i="15"/>
  <c r="L683" i="15"/>
  <c r="B683" i="15"/>
  <c r="U682" i="15"/>
  <c r="S682" i="15"/>
  <c r="P682" i="15"/>
  <c r="L682" i="15"/>
  <c r="B682" i="15"/>
  <c r="U681" i="15"/>
  <c r="S681" i="15"/>
  <c r="P681" i="15"/>
  <c r="L681" i="15"/>
  <c r="B681" i="15"/>
  <c r="U680" i="15"/>
  <c r="S680" i="15"/>
  <c r="P680" i="15"/>
  <c r="L680" i="15"/>
  <c r="B680" i="15"/>
  <c r="U679" i="15"/>
  <c r="S679" i="15"/>
  <c r="P679" i="15"/>
  <c r="L679" i="15"/>
  <c r="B679" i="15"/>
  <c r="U678" i="15"/>
  <c r="S678" i="15"/>
  <c r="P678" i="15"/>
  <c r="L678" i="15"/>
  <c r="B678" i="15"/>
  <c r="U677" i="15"/>
  <c r="S677" i="15"/>
  <c r="P677" i="15"/>
  <c r="L677" i="15"/>
  <c r="B677" i="15"/>
  <c r="U676" i="15"/>
  <c r="S676" i="15"/>
  <c r="P676" i="15"/>
  <c r="L676" i="15"/>
  <c r="B676" i="15"/>
  <c r="U675" i="15"/>
  <c r="S675" i="15"/>
  <c r="P675" i="15"/>
  <c r="L675" i="15"/>
  <c r="B675" i="15"/>
  <c r="U674" i="15"/>
  <c r="S674" i="15"/>
  <c r="P674" i="15"/>
  <c r="L674" i="15"/>
  <c r="B674" i="15"/>
  <c r="U673" i="15"/>
  <c r="S673" i="15"/>
  <c r="P673" i="15"/>
  <c r="L673" i="15"/>
  <c r="B673" i="15"/>
  <c r="U672" i="15"/>
  <c r="S672" i="15"/>
  <c r="P672" i="15"/>
  <c r="L672" i="15"/>
  <c r="B672" i="15"/>
  <c r="U671" i="15"/>
  <c r="S671" i="15"/>
  <c r="P671" i="15"/>
  <c r="L671" i="15"/>
  <c r="B671" i="15"/>
  <c r="U670" i="15"/>
  <c r="S670" i="15"/>
  <c r="P670" i="15"/>
  <c r="L670" i="15"/>
  <c r="B670" i="15"/>
  <c r="U669" i="15"/>
  <c r="S669" i="15"/>
  <c r="P669" i="15"/>
  <c r="L669" i="15"/>
  <c r="B669" i="15"/>
  <c r="U668" i="15"/>
  <c r="S668" i="15"/>
  <c r="P668" i="15"/>
  <c r="L668" i="15"/>
  <c r="B668" i="15"/>
  <c r="U667" i="15"/>
  <c r="S667" i="15"/>
  <c r="P667" i="15"/>
  <c r="L667" i="15"/>
  <c r="B667" i="15"/>
  <c r="U666" i="15"/>
  <c r="S666" i="15"/>
  <c r="P666" i="15"/>
  <c r="L666" i="15"/>
  <c r="B666" i="15"/>
  <c r="U665" i="15"/>
  <c r="S665" i="15"/>
  <c r="P665" i="15"/>
  <c r="L665" i="15"/>
  <c r="B665" i="15"/>
  <c r="U664" i="15"/>
  <c r="S664" i="15"/>
  <c r="P664" i="15"/>
  <c r="L664" i="15"/>
  <c r="B664" i="15"/>
  <c r="U663" i="15"/>
  <c r="S663" i="15"/>
  <c r="P663" i="15"/>
  <c r="L663" i="15"/>
  <c r="B663" i="15"/>
  <c r="U662" i="15"/>
  <c r="S662" i="15"/>
  <c r="P662" i="15"/>
  <c r="L662" i="15"/>
  <c r="B662" i="15"/>
  <c r="U661" i="15"/>
  <c r="P661" i="15"/>
  <c r="B661" i="15"/>
  <c r="U660" i="15"/>
  <c r="P660" i="15"/>
  <c r="B660" i="15"/>
  <c r="U659" i="15"/>
  <c r="P659" i="15"/>
  <c r="B659" i="15"/>
  <c r="U658" i="15"/>
  <c r="P658" i="15"/>
  <c r="B658" i="15"/>
  <c r="U657" i="15"/>
  <c r="P657" i="15"/>
  <c r="B657" i="15"/>
  <c r="U656" i="15"/>
  <c r="P656" i="15"/>
  <c r="B656" i="15"/>
  <c r="U655" i="15"/>
  <c r="P655" i="15"/>
  <c r="B655" i="15"/>
  <c r="U654" i="15"/>
  <c r="P654" i="15"/>
  <c r="B654" i="15"/>
  <c r="U653" i="15"/>
  <c r="P653" i="15"/>
  <c r="B653" i="15"/>
  <c r="U652" i="15"/>
  <c r="P652" i="15"/>
  <c r="B652" i="15"/>
  <c r="U651" i="15"/>
  <c r="P651" i="15"/>
  <c r="B651" i="15"/>
  <c r="U650" i="15"/>
  <c r="P650" i="15"/>
  <c r="B650" i="15"/>
  <c r="U649" i="15"/>
  <c r="P649" i="15"/>
  <c r="B649" i="15"/>
  <c r="U648" i="15"/>
  <c r="P648" i="15"/>
  <c r="B648" i="15"/>
  <c r="U647" i="15"/>
  <c r="P647" i="15"/>
  <c r="B647" i="15"/>
  <c r="U646" i="15"/>
  <c r="P646" i="15"/>
  <c r="B646" i="15"/>
  <c r="U645" i="15"/>
  <c r="P645" i="15"/>
  <c r="B645" i="15"/>
  <c r="U644" i="15"/>
  <c r="P644" i="15"/>
  <c r="B644" i="15"/>
  <c r="N198" i="1"/>
  <c r="S198" i="1"/>
  <c r="T198" i="1"/>
  <c r="U198" i="1"/>
  <c r="Y198" i="1"/>
  <c r="Z198" i="1"/>
  <c r="AA198" i="1" a="1"/>
  <c r="M201" i="1"/>
  <c r="N201" i="1"/>
  <c r="S201" i="1"/>
  <c r="T201" i="1"/>
  <c r="U201" i="1"/>
  <c r="Z201" i="1"/>
  <c r="AA201" i="1" a="1"/>
  <c r="AB201" i="1"/>
  <c r="B201" i="1" s="1"/>
  <c r="Y201" i="1" s="1"/>
  <c r="M159" i="1"/>
  <c r="G159" i="1" s="1"/>
  <c r="N159" i="1"/>
  <c r="S159" i="1"/>
  <c r="T159" i="1"/>
  <c r="U159" i="1"/>
  <c r="Y159" i="1"/>
  <c r="Z159" i="1"/>
  <c r="AA159" i="1" a="1"/>
  <c r="M158" i="1"/>
  <c r="G158" i="1" s="1"/>
  <c r="N158" i="1"/>
  <c r="S158" i="1"/>
  <c r="T158" i="1"/>
  <c r="U158" i="1"/>
  <c r="Y158" i="1"/>
  <c r="Z158" i="1"/>
  <c r="AA158" i="1" a="1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B79" i="15"/>
  <c r="B80" i="15"/>
  <c r="B81" i="15"/>
  <c r="B82" i="15"/>
  <c r="B83" i="15"/>
  <c r="B84" i="15"/>
  <c r="B54" i="15"/>
  <c r="P54" i="15"/>
  <c r="B55" i="15"/>
  <c r="P55" i="15"/>
  <c r="B56" i="15"/>
  <c r="P56" i="15"/>
  <c r="B57" i="15"/>
  <c r="P57" i="15"/>
  <c r="B58" i="15"/>
  <c r="P58" i="15"/>
  <c r="B59" i="15"/>
  <c r="P59" i="15"/>
  <c r="P53" i="15"/>
  <c r="B51" i="15"/>
  <c r="B52" i="15"/>
  <c r="B53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L51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P51" i="15"/>
  <c r="P52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P105" i="15"/>
  <c r="S51" i="15"/>
  <c r="S52" i="15"/>
  <c r="S53" i="15"/>
  <c r="S54" i="15"/>
  <c r="S55" i="15"/>
  <c r="S56" i="15"/>
  <c r="S57" i="15"/>
  <c r="S58" i="15"/>
  <c r="S59" i="15"/>
  <c r="S60" i="15"/>
  <c r="S61" i="15"/>
  <c r="S62" i="15"/>
  <c r="S63" i="15"/>
  <c r="S64" i="15"/>
  <c r="S65" i="15"/>
  <c r="S66" i="15"/>
  <c r="S67" i="15"/>
  <c r="S68" i="15"/>
  <c r="S69" i="15"/>
  <c r="S70" i="15"/>
  <c r="S71" i="15"/>
  <c r="S72" i="15"/>
  <c r="S73" i="15"/>
  <c r="S74" i="15"/>
  <c r="S75" i="15"/>
  <c r="S76" i="15"/>
  <c r="S77" i="15"/>
  <c r="S78" i="15"/>
  <c r="S79" i="15"/>
  <c r="S80" i="15"/>
  <c r="S81" i="15"/>
  <c r="S82" i="15"/>
  <c r="S83" i="15"/>
  <c r="S84" i="15"/>
  <c r="S85" i="15"/>
  <c r="S86" i="15"/>
  <c r="S87" i="15"/>
  <c r="S88" i="15"/>
  <c r="S89" i="15"/>
  <c r="S90" i="15"/>
  <c r="S91" i="15"/>
  <c r="S92" i="15"/>
  <c r="S93" i="15"/>
  <c r="S94" i="15"/>
  <c r="S95" i="15"/>
  <c r="S96" i="15"/>
  <c r="S97" i="15"/>
  <c r="S98" i="15"/>
  <c r="S99" i="15"/>
  <c r="S100" i="15"/>
  <c r="S101" i="15"/>
  <c r="S102" i="15"/>
  <c r="S103" i="15"/>
  <c r="S104" i="15"/>
  <c r="S105" i="15"/>
  <c r="B23" i="15"/>
  <c r="B50" i="15"/>
  <c r="L23" i="15"/>
  <c r="L50" i="15"/>
  <c r="P23" i="15"/>
  <c r="P50" i="15"/>
  <c r="S23" i="15"/>
  <c r="S50" i="15"/>
  <c r="U261" i="15"/>
  <c r="P261" i="15"/>
  <c r="B261" i="15"/>
  <c r="U260" i="15"/>
  <c r="P260" i="15"/>
  <c r="B260" i="15"/>
  <c r="U259" i="15"/>
  <c r="P259" i="15"/>
  <c r="B259" i="15"/>
  <c r="U258" i="15"/>
  <c r="P258" i="15"/>
  <c r="B258" i="15"/>
  <c r="U257" i="15"/>
  <c r="P257" i="15"/>
  <c r="B257" i="15"/>
  <c r="U256" i="15"/>
  <c r="P256" i="15"/>
  <c r="B256" i="15"/>
  <c r="U255" i="15"/>
  <c r="P255" i="15"/>
  <c r="B255" i="15"/>
  <c r="U254" i="15"/>
  <c r="P254" i="15"/>
  <c r="B254" i="15"/>
  <c r="U253" i="15"/>
  <c r="P253" i="15"/>
  <c r="B253" i="15"/>
  <c r="U252" i="15"/>
  <c r="P252" i="15"/>
  <c r="B252" i="15"/>
  <c r="U251" i="15"/>
  <c r="P251" i="15"/>
  <c r="B251" i="15"/>
  <c r="U250" i="15"/>
  <c r="P250" i="15"/>
  <c r="B250" i="15"/>
  <c r="U249" i="15"/>
  <c r="P249" i="15"/>
  <c r="B249" i="15"/>
  <c r="U248" i="15"/>
  <c r="P248" i="15"/>
  <c r="B248" i="15"/>
  <c r="U247" i="15"/>
  <c r="P247" i="15"/>
  <c r="B247" i="15"/>
  <c r="U246" i="15"/>
  <c r="P246" i="15"/>
  <c r="B246" i="15"/>
  <c r="U245" i="15"/>
  <c r="P245" i="15"/>
  <c r="B245" i="15"/>
  <c r="U244" i="15"/>
  <c r="P244" i="15"/>
  <c r="B244" i="15"/>
  <c r="U243" i="15"/>
  <c r="P243" i="15"/>
  <c r="B243" i="15"/>
  <c r="U242" i="15"/>
  <c r="P242" i="15"/>
  <c r="B242" i="15"/>
  <c r="U241" i="15"/>
  <c r="P241" i="15"/>
  <c r="B241" i="15"/>
  <c r="U240" i="15"/>
  <c r="P240" i="15"/>
  <c r="B240" i="15"/>
  <c r="U239" i="15"/>
  <c r="P239" i="15"/>
  <c r="B239" i="15"/>
  <c r="U238" i="15"/>
  <c r="P238" i="15"/>
  <c r="B238" i="15"/>
  <c r="U237" i="15"/>
  <c r="P237" i="15"/>
  <c r="B237" i="15"/>
  <c r="U236" i="15"/>
  <c r="P236" i="15"/>
  <c r="B236" i="15"/>
  <c r="U235" i="15"/>
  <c r="P235" i="15"/>
  <c r="B235" i="15"/>
  <c r="U234" i="15"/>
  <c r="P234" i="15"/>
  <c r="B234" i="15"/>
  <c r="U233" i="15"/>
  <c r="P233" i="15"/>
  <c r="B233" i="15"/>
  <c r="U232" i="15"/>
  <c r="P232" i="15"/>
  <c r="B232" i="15"/>
  <c r="U231" i="15"/>
  <c r="P231" i="15"/>
  <c r="B231" i="15"/>
  <c r="U230" i="15"/>
  <c r="P230" i="15"/>
  <c r="B230" i="15"/>
  <c r="U229" i="15"/>
  <c r="P229" i="15"/>
  <c r="B229" i="15"/>
  <c r="U228" i="15"/>
  <c r="P228" i="15"/>
  <c r="B228" i="15"/>
  <c r="U227" i="15"/>
  <c r="P227" i="15"/>
  <c r="B227" i="15"/>
  <c r="U226" i="15"/>
  <c r="P226" i="15"/>
  <c r="B226" i="15"/>
  <c r="U225" i="15"/>
  <c r="P225" i="15"/>
  <c r="B225" i="15"/>
  <c r="U224" i="15"/>
  <c r="P224" i="15"/>
  <c r="B224" i="15"/>
  <c r="U223" i="15"/>
  <c r="P223" i="15"/>
  <c r="B223" i="15"/>
  <c r="U222" i="15"/>
  <c r="P222" i="15"/>
  <c r="B222" i="15"/>
  <c r="U221" i="15"/>
  <c r="P221" i="15"/>
  <c r="B221" i="15"/>
  <c r="U220" i="15"/>
  <c r="P220" i="15"/>
  <c r="B220" i="15"/>
  <c r="U219" i="15"/>
  <c r="P219" i="15"/>
  <c r="B219" i="15"/>
  <c r="U218" i="15"/>
  <c r="P218" i="15"/>
  <c r="B218" i="15"/>
  <c r="U217" i="15"/>
  <c r="P217" i="15"/>
  <c r="B217" i="15"/>
  <c r="U216" i="15"/>
  <c r="P216" i="15"/>
  <c r="B216" i="15"/>
  <c r="U215" i="15"/>
  <c r="P215" i="15"/>
  <c r="B215" i="15"/>
  <c r="U214" i="15"/>
  <c r="P214" i="15"/>
  <c r="B214" i="15"/>
  <c r="U213" i="15"/>
  <c r="P213" i="15"/>
  <c r="B213" i="15"/>
  <c r="U212" i="15"/>
  <c r="P212" i="15"/>
  <c r="B212" i="15"/>
  <c r="U211" i="15"/>
  <c r="P211" i="15"/>
  <c r="B211" i="15"/>
  <c r="U210" i="15"/>
  <c r="P210" i="15"/>
  <c r="B210" i="15"/>
  <c r="U209" i="15"/>
  <c r="P209" i="15"/>
  <c r="B209" i="15"/>
  <c r="U208" i="15"/>
  <c r="P208" i="15"/>
  <c r="B208" i="15"/>
  <c r="U207" i="15"/>
  <c r="P207" i="15"/>
  <c r="B207" i="15"/>
  <c r="U206" i="15"/>
  <c r="P206" i="15"/>
  <c r="B206" i="15"/>
  <c r="U205" i="15"/>
  <c r="P205" i="15"/>
  <c r="B205" i="15"/>
  <c r="U204" i="15"/>
  <c r="P204" i="15"/>
  <c r="B204" i="15"/>
  <c r="U203" i="15"/>
  <c r="P203" i="15"/>
  <c r="B203" i="15"/>
  <c r="U202" i="15"/>
  <c r="P202" i="15"/>
  <c r="B202" i="15"/>
  <c r="U201" i="15"/>
  <c r="P201" i="15"/>
  <c r="B201" i="15"/>
  <c r="U200" i="15"/>
  <c r="P200" i="15"/>
  <c r="B200" i="15"/>
  <c r="U199" i="15"/>
  <c r="P199" i="15"/>
  <c r="B199" i="15"/>
  <c r="U198" i="15"/>
  <c r="P198" i="15"/>
  <c r="B198" i="15"/>
  <c r="U197" i="15"/>
  <c r="P197" i="15"/>
  <c r="B197" i="15"/>
  <c r="U196" i="15"/>
  <c r="P196" i="15"/>
  <c r="B196" i="15"/>
  <c r="U195" i="15"/>
  <c r="P195" i="15"/>
  <c r="B195" i="15"/>
  <c r="U194" i="15"/>
  <c r="P194" i="15"/>
  <c r="B194" i="15"/>
  <c r="U193" i="15"/>
  <c r="P193" i="15"/>
  <c r="B193" i="15"/>
  <c r="U192" i="15"/>
  <c r="P192" i="15"/>
  <c r="B192" i="15"/>
  <c r="U191" i="15"/>
  <c r="P191" i="15"/>
  <c r="B191" i="15"/>
  <c r="U190" i="15"/>
  <c r="P190" i="15"/>
  <c r="B190" i="15"/>
  <c r="U189" i="15"/>
  <c r="P189" i="15"/>
  <c r="B189" i="15"/>
  <c r="U188" i="15"/>
  <c r="P188" i="15"/>
  <c r="B188" i="15"/>
  <c r="U187" i="15"/>
  <c r="P187" i="15"/>
  <c r="B187" i="15"/>
  <c r="U186" i="15"/>
  <c r="P186" i="15"/>
  <c r="B186" i="15"/>
  <c r="U185" i="15"/>
  <c r="P185" i="15"/>
  <c r="B185" i="15"/>
  <c r="U184" i="15"/>
  <c r="P184" i="15"/>
  <c r="B184" i="15"/>
  <c r="U183" i="15"/>
  <c r="P183" i="15"/>
  <c r="B183" i="15"/>
  <c r="U182" i="15"/>
  <c r="P182" i="15"/>
  <c r="B182" i="15"/>
  <c r="U181" i="15"/>
  <c r="P181" i="15"/>
  <c r="B181" i="15"/>
  <c r="U180" i="15"/>
  <c r="P180" i="15"/>
  <c r="B180" i="15"/>
  <c r="U179" i="15"/>
  <c r="P179" i="15"/>
  <c r="B179" i="15"/>
  <c r="U178" i="15"/>
  <c r="P178" i="15"/>
  <c r="B178" i="15"/>
  <c r="U177" i="15"/>
  <c r="P177" i="15"/>
  <c r="B177" i="15"/>
  <c r="U176" i="15"/>
  <c r="P176" i="15"/>
  <c r="B176" i="15"/>
  <c r="U175" i="15"/>
  <c r="P175" i="15"/>
  <c r="B175" i="15"/>
  <c r="U174" i="15"/>
  <c r="P174" i="15"/>
  <c r="B174" i="15"/>
  <c r="U173" i="15"/>
  <c r="P173" i="15"/>
  <c r="B173" i="15"/>
  <c r="U172" i="15"/>
  <c r="P172" i="15"/>
  <c r="B172" i="15"/>
  <c r="U171" i="15"/>
  <c r="P171" i="15"/>
  <c r="B171" i="15"/>
  <c r="U170" i="15"/>
  <c r="P170" i="15"/>
  <c r="B170" i="15"/>
  <c r="U169" i="15"/>
  <c r="P169" i="15"/>
  <c r="B169" i="15"/>
  <c r="U168" i="15"/>
  <c r="P168" i="15"/>
  <c r="B168" i="15"/>
  <c r="U167" i="15"/>
  <c r="P167" i="15"/>
  <c r="B167" i="15"/>
  <c r="U166" i="15"/>
  <c r="P166" i="15"/>
  <c r="B166" i="15"/>
  <c r="U165" i="15"/>
  <c r="P165" i="15"/>
  <c r="B165" i="15"/>
  <c r="U164" i="15"/>
  <c r="P164" i="15"/>
  <c r="B164" i="15"/>
  <c r="U163" i="15"/>
  <c r="P163" i="15"/>
  <c r="B163" i="15"/>
  <c r="B262" i="15"/>
  <c r="B263" i="15"/>
  <c r="L262" i="15"/>
  <c r="L263" i="15"/>
  <c r="P262" i="15"/>
  <c r="P263" i="15"/>
  <c r="S262" i="15"/>
  <c r="S263" i="15"/>
  <c r="B22" i="15"/>
  <c r="B106" i="15"/>
  <c r="L22" i="15"/>
  <c r="L106" i="15"/>
  <c r="P22" i="15"/>
  <c r="P106" i="15"/>
  <c r="S22" i="15"/>
  <c r="S106" i="15"/>
  <c r="M80" i="1"/>
  <c r="N80" i="1"/>
  <c r="S80" i="1"/>
  <c r="T80" i="1"/>
  <c r="U80" i="1"/>
  <c r="Y80" i="1"/>
  <c r="Z80" i="1"/>
  <c r="AA80" i="1" a="1"/>
  <c r="U160" i="15"/>
  <c r="P160" i="15"/>
  <c r="B160" i="15"/>
  <c r="U159" i="15"/>
  <c r="P159" i="15"/>
  <c r="B159" i="15"/>
  <c r="U158" i="15"/>
  <c r="P158" i="15"/>
  <c r="B158" i="15"/>
  <c r="U157" i="15"/>
  <c r="P157" i="15"/>
  <c r="B157" i="15"/>
  <c r="U156" i="15"/>
  <c r="P156" i="15"/>
  <c r="B156" i="15"/>
  <c r="U155" i="15"/>
  <c r="P155" i="15"/>
  <c r="B155" i="15"/>
  <c r="U154" i="15"/>
  <c r="P154" i="15"/>
  <c r="B154" i="15"/>
  <c r="U153" i="15"/>
  <c r="P153" i="15"/>
  <c r="B153" i="15"/>
  <c r="U152" i="15"/>
  <c r="P152" i="15"/>
  <c r="B152" i="15"/>
  <c r="B643" i="15"/>
  <c r="L643" i="15"/>
  <c r="P643" i="15"/>
  <c r="S643" i="15"/>
  <c r="U151" i="15"/>
  <c r="P151" i="15"/>
  <c r="B151" i="15"/>
  <c r="U150" i="15"/>
  <c r="P150" i="15"/>
  <c r="B150" i="15"/>
  <c r="U149" i="15"/>
  <c r="P149" i="15"/>
  <c r="B149" i="15"/>
  <c r="U148" i="15"/>
  <c r="P148" i="15"/>
  <c r="B148" i="15"/>
  <c r="U147" i="15"/>
  <c r="P147" i="15"/>
  <c r="B147" i="15"/>
  <c r="U146" i="15"/>
  <c r="P146" i="15"/>
  <c r="B146" i="15"/>
  <c r="U145" i="15"/>
  <c r="P145" i="15"/>
  <c r="B145" i="15"/>
  <c r="U144" i="15"/>
  <c r="P144" i="15"/>
  <c r="B144" i="15"/>
  <c r="U143" i="15"/>
  <c r="P143" i="15"/>
  <c r="B143" i="15"/>
  <c r="U142" i="15"/>
  <c r="P142" i="15"/>
  <c r="B142" i="15"/>
  <c r="U141" i="15"/>
  <c r="P141" i="15"/>
  <c r="B141" i="15"/>
  <c r="U140" i="15"/>
  <c r="P140" i="15"/>
  <c r="B140" i="15"/>
  <c r="U139" i="15"/>
  <c r="P139" i="15"/>
  <c r="B139" i="15"/>
  <c r="U138" i="15"/>
  <c r="P138" i="15"/>
  <c r="B138" i="15"/>
  <c r="U137" i="15"/>
  <c r="P137" i="15"/>
  <c r="B137" i="15"/>
  <c r="U136" i="15"/>
  <c r="P136" i="15"/>
  <c r="B136" i="15"/>
  <c r="U135" i="15"/>
  <c r="P135" i="15"/>
  <c r="B135" i="15"/>
  <c r="U134" i="15"/>
  <c r="P134" i="15"/>
  <c r="B134" i="15"/>
  <c r="U133" i="15"/>
  <c r="P133" i="15"/>
  <c r="B133" i="15"/>
  <c r="U132" i="15"/>
  <c r="P132" i="15"/>
  <c r="B132" i="15"/>
  <c r="U131" i="15"/>
  <c r="P131" i="15"/>
  <c r="B131" i="15"/>
  <c r="U130" i="15"/>
  <c r="P130" i="15"/>
  <c r="B130" i="15"/>
  <c r="U129" i="15"/>
  <c r="P129" i="15"/>
  <c r="B129" i="15"/>
  <c r="U128" i="15"/>
  <c r="P128" i="15"/>
  <c r="B128" i="15"/>
  <c r="U127" i="15"/>
  <c r="P127" i="15"/>
  <c r="B127" i="15"/>
  <c r="U126" i="15"/>
  <c r="P126" i="15"/>
  <c r="B126" i="15"/>
  <c r="U125" i="15"/>
  <c r="P125" i="15"/>
  <c r="B125" i="15"/>
  <c r="U124" i="15"/>
  <c r="P124" i="15"/>
  <c r="B124" i="15"/>
  <c r="U123" i="15"/>
  <c r="P123" i="15"/>
  <c r="B123" i="15"/>
  <c r="U122" i="15"/>
  <c r="P122" i="15"/>
  <c r="B122" i="15"/>
  <c r="U121" i="15"/>
  <c r="P121" i="15"/>
  <c r="B121" i="15"/>
  <c r="U120" i="15"/>
  <c r="P120" i="15"/>
  <c r="B120" i="15"/>
  <c r="U119" i="15"/>
  <c r="P119" i="15"/>
  <c r="B119" i="15"/>
  <c r="U118" i="15"/>
  <c r="P118" i="15"/>
  <c r="B118" i="15"/>
  <c r="U117" i="15"/>
  <c r="P117" i="15"/>
  <c r="B117" i="15"/>
  <c r="U116" i="15"/>
  <c r="P116" i="15"/>
  <c r="B116" i="15"/>
  <c r="U115" i="15"/>
  <c r="P115" i="15"/>
  <c r="B115" i="15"/>
  <c r="U114" i="15"/>
  <c r="P114" i="15"/>
  <c r="B114" i="15"/>
  <c r="U113" i="15"/>
  <c r="P113" i="15"/>
  <c r="B113" i="15"/>
  <c r="U112" i="15"/>
  <c r="P112" i="15"/>
  <c r="B112" i="15"/>
  <c r="U111" i="15"/>
  <c r="P111" i="15"/>
  <c r="B111" i="15"/>
  <c r="U110" i="15"/>
  <c r="P110" i="15"/>
  <c r="B110" i="15"/>
  <c r="U109" i="15"/>
  <c r="P109" i="15"/>
  <c r="B109" i="15"/>
  <c r="U108" i="15"/>
  <c r="P108" i="15"/>
  <c r="B108" i="15"/>
  <c r="U107" i="15"/>
  <c r="P107" i="15"/>
  <c r="B107" i="15"/>
  <c r="D2" i="7"/>
  <c r="U976" i="15"/>
  <c r="P976" i="15"/>
  <c r="B976" i="15"/>
  <c r="U975" i="15"/>
  <c r="P975" i="15"/>
  <c r="B975" i="15"/>
  <c r="U974" i="15"/>
  <c r="P974" i="15"/>
  <c r="B974" i="15"/>
  <c r="U973" i="15"/>
  <c r="P973" i="15"/>
  <c r="B973" i="15"/>
  <c r="B977" i="15"/>
  <c r="B978" i="15"/>
  <c r="B979" i="15"/>
  <c r="B980" i="15"/>
  <c r="L977" i="15"/>
  <c r="L978" i="15"/>
  <c r="L979" i="15"/>
  <c r="L980" i="15"/>
  <c r="P977" i="15"/>
  <c r="P978" i="15"/>
  <c r="P979" i="15"/>
  <c r="P980" i="15"/>
  <c r="S977" i="15"/>
  <c r="S978" i="15"/>
  <c r="S979" i="15"/>
  <c r="S980" i="15"/>
  <c r="U972" i="15"/>
  <c r="P972" i="15"/>
  <c r="B972" i="15"/>
  <c r="U971" i="15"/>
  <c r="P971" i="15"/>
  <c r="B971" i="15"/>
  <c r="U970" i="15"/>
  <c r="P970" i="15"/>
  <c r="B970" i="15"/>
  <c r="U969" i="15"/>
  <c r="P969" i="15"/>
  <c r="B969" i="15"/>
  <c r="U968" i="15"/>
  <c r="P968" i="15"/>
  <c r="B968" i="15"/>
  <c r="U967" i="15"/>
  <c r="P967" i="15"/>
  <c r="B967" i="15"/>
  <c r="U966" i="15"/>
  <c r="P966" i="15"/>
  <c r="B966" i="15"/>
  <c r="U965" i="15"/>
  <c r="P965" i="15"/>
  <c r="B965" i="15"/>
  <c r="U964" i="15"/>
  <c r="P964" i="15"/>
  <c r="B964" i="15"/>
  <c r="U963" i="15"/>
  <c r="P963" i="15"/>
  <c r="B963" i="15"/>
  <c r="U962" i="15"/>
  <c r="P962" i="15"/>
  <c r="B962" i="15"/>
  <c r="U961" i="15"/>
  <c r="P961" i="15"/>
  <c r="B961" i="15"/>
  <c r="U960" i="15"/>
  <c r="P960" i="15"/>
  <c r="B960" i="15"/>
  <c r="U959" i="15"/>
  <c r="P959" i="15"/>
  <c r="B959" i="15"/>
  <c r="U958" i="15"/>
  <c r="P958" i="15"/>
  <c r="B958" i="15"/>
  <c r="U957" i="15"/>
  <c r="P957" i="15"/>
  <c r="B957" i="15"/>
  <c r="U956" i="15"/>
  <c r="P956" i="15"/>
  <c r="B956" i="15"/>
  <c r="U955" i="15"/>
  <c r="P955" i="15"/>
  <c r="B955" i="15"/>
  <c r="U954" i="15"/>
  <c r="P954" i="15"/>
  <c r="B954" i="15"/>
  <c r="U953" i="15"/>
  <c r="P953" i="15"/>
  <c r="B953" i="15"/>
  <c r="U952" i="15"/>
  <c r="P952" i="15"/>
  <c r="B952" i="15"/>
  <c r="U951" i="15"/>
  <c r="P951" i="15"/>
  <c r="B951" i="15"/>
  <c r="U950" i="15"/>
  <c r="P950" i="15"/>
  <c r="B950" i="15"/>
  <c r="U949" i="15"/>
  <c r="P949" i="15"/>
  <c r="B949" i="15"/>
  <c r="U948" i="15"/>
  <c r="P948" i="15"/>
  <c r="B948" i="15"/>
  <c r="U947" i="15"/>
  <c r="P947" i="15"/>
  <c r="B947" i="15"/>
  <c r="U946" i="15"/>
  <c r="P946" i="15"/>
  <c r="B946" i="15"/>
  <c r="U945" i="15"/>
  <c r="P945" i="15"/>
  <c r="B945" i="15"/>
  <c r="U942" i="15"/>
  <c r="U943" i="15"/>
  <c r="U944" i="15"/>
  <c r="U941" i="15"/>
  <c r="U940" i="15"/>
  <c r="B943" i="15"/>
  <c r="B941" i="15"/>
  <c r="P941" i="15"/>
  <c r="P943" i="15"/>
  <c r="N13" i="1"/>
  <c r="S13" i="1"/>
  <c r="T13" i="1"/>
  <c r="U13" i="1"/>
  <c r="Y13" i="1"/>
  <c r="Z13" i="1"/>
  <c r="AA13" i="1" a="1"/>
  <c r="AA167" i="1" a="1"/>
  <c r="Z167" i="1"/>
  <c r="U167" i="1"/>
  <c r="T167" i="1"/>
  <c r="S167" i="1"/>
  <c r="N167" i="1"/>
  <c r="K167" i="1"/>
  <c r="Y167" i="1" s="1"/>
  <c r="AA105" i="1" a="1"/>
  <c r="Z105" i="1"/>
  <c r="Y105" i="1"/>
  <c r="U105" i="1"/>
  <c r="T105" i="1"/>
  <c r="S105" i="1"/>
  <c r="V105" i="1" s="1"/>
  <c r="W105" i="1" s="1"/>
  <c r="R105" i="1" s="1"/>
  <c r="N105" i="1"/>
  <c r="M105" i="1"/>
  <c r="G105" i="1" s="1"/>
  <c r="AA104" i="1" a="1"/>
  <c r="Z104" i="1"/>
  <c r="Y104" i="1"/>
  <c r="U104" i="1"/>
  <c r="T104" i="1"/>
  <c r="S104" i="1"/>
  <c r="N104" i="1"/>
  <c r="M92" i="1"/>
  <c r="N92" i="1"/>
  <c r="S92" i="1"/>
  <c r="T92" i="1"/>
  <c r="U92" i="1"/>
  <c r="Y92" i="1"/>
  <c r="Z92" i="1"/>
  <c r="AA92" i="1" a="1"/>
  <c r="N102" i="1"/>
  <c r="S102" i="1"/>
  <c r="T102" i="1"/>
  <c r="U102" i="1"/>
  <c r="Y102" i="1"/>
  <c r="Z102" i="1"/>
  <c r="AA102" i="1" a="1"/>
  <c r="U641" i="15"/>
  <c r="P641" i="15"/>
  <c r="B641" i="15"/>
  <c r="U640" i="15"/>
  <c r="P640" i="15"/>
  <c r="B640" i="15"/>
  <c r="U639" i="15"/>
  <c r="P639" i="15"/>
  <c r="B639" i="15"/>
  <c r="U638" i="15"/>
  <c r="P638" i="15"/>
  <c r="B638" i="15"/>
  <c r="U637" i="15"/>
  <c r="P637" i="15"/>
  <c r="B637" i="15"/>
  <c r="U636" i="15"/>
  <c r="P636" i="15"/>
  <c r="B636" i="15"/>
  <c r="U635" i="15"/>
  <c r="P635" i="15"/>
  <c r="B635" i="15"/>
  <c r="U634" i="15"/>
  <c r="P634" i="15"/>
  <c r="B634" i="15"/>
  <c r="U633" i="15"/>
  <c r="P633" i="15"/>
  <c r="B633" i="15"/>
  <c r="U632" i="15"/>
  <c r="P632" i="15"/>
  <c r="B632" i="15"/>
  <c r="U631" i="15"/>
  <c r="P631" i="15"/>
  <c r="B631" i="15"/>
  <c r="U630" i="15"/>
  <c r="P630" i="15"/>
  <c r="B630" i="15"/>
  <c r="U629" i="15"/>
  <c r="P629" i="15"/>
  <c r="B629" i="15"/>
  <c r="U628" i="15"/>
  <c r="P628" i="15"/>
  <c r="B628" i="15"/>
  <c r="U627" i="15"/>
  <c r="P627" i="15"/>
  <c r="B627" i="15"/>
  <c r="U626" i="15"/>
  <c r="P626" i="15"/>
  <c r="B626" i="15"/>
  <c r="U625" i="15"/>
  <c r="P625" i="15"/>
  <c r="B625" i="15"/>
  <c r="U624" i="15"/>
  <c r="P624" i="15"/>
  <c r="B624" i="15"/>
  <c r="U623" i="15"/>
  <c r="P623" i="15"/>
  <c r="B623" i="15"/>
  <c r="U622" i="15"/>
  <c r="P622" i="15"/>
  <c r="B622" i="15"/>
  <c r="U621" i="15"/>
  <c r="P621" i="15"/>
  <c r="B621" i="15"/>
  <c r="U620" i="15"/>
  <c r="P620" i="15"/>
  <c r="B620" i="15"/>
  <c r="U619" i="15"/>
  <c r="P619" i="15"/>
  <c r="B619" i="15"/>
  <c r="U618" i="15"/>
  <c r="P618" i="15"/>
  <c r="B618" i="15"/>
  <c r="U617" i="15"/>
  <c r="P617" i="15"/>
  <c r="B617" i="15"/>
  <c r="U616" i="15"/>
  <c r="P616" i="15"/>
  <c r="B616" i="15"/>
  <c r="U615" i="15"/>
  <c r="P615" i="15"/>
  <c r="B615" i="15"/>
  <c r="U614" i="15"/>
  <c r="P614" i="15"/>
  <c r="B614" i="15"/>
  <c r="U613" i="15"/>
  <c r="P613" i="15"/>
  <c r="B613" i="15"/>
  <c r="U612" i="15"/>
  <c r="P612" i="15"/>
  <c r="B612" i="15"/>
  <c r="U611" i="15"/>
  <c r="P611" i="15"/>
  <c r="B611" i="15"/>
  <c r="U610" i="15"/>
  <c r="P610" i="15"/>
  <c r="B610" i="15"/>
  <c r="U609" i="15"/>
  <c r="P609" i="15"/>
  <c r="B609" i="15"/>
  <c r="U608" i="15"/>
  <c r="P608" i="15"/>
  <c r="B608" i="15"/>
  <c r="U607" i="15"/>
  <c r="P607" i="15"/>
  <c r="B607" i="15"/>
  <c r="U606" i="15"/>
  <c r="P606" i="15"/>
  <c r="B606" i="15"/>
  <c r="U605" i="15"/>
  <c r="P605" i="15"/>
  <c r="B605" i="15"/>
  <c r="U604" i="15"/>
  <c r="P604" i="15"/>
  <c r="B604" i="15"/>
  <c r="U603" i="15"/>
  <c r="P603" i="15"/>
  <c r="B603" i="15"/>
  <c r="U602" i="15"/>
  <c r="P602" i="15"/>
  <c r="B602" i="15"/>
  <c r="U601" i="15"/>
  <c r="P601" i="15"/>
  <c r="B601" i="15"/>
  <c r="U600" i="15"/>
  <c r="P600" i="15"/>
  <c r="B600" i="15"/>
  <c r="U599" i="15"/>
  <c r="P599" i="15"/>
  <c r="B599" i="15"/>
  <c r="U598" i="15"/>
  <c r="P598" i="15"/>
  <c r="B598" i="15"/>
  <c r="U597" i="15"/>
  <c r="P597" i="15"/>
  <c r="B597" i="15"/>
  <c r="U596" i="15"/>
  <c r="P596" i="15"/>
  <c r="B596" i="15"/>
  <c r="U595" i="15"/>
  <c r="P595" i="15"/>
  <c r="B595" i="15"/>
  <c r="U594" i="15"/>
  <c r="P594" i="15"/>
  <c r="B594" i="15"/>
  <c r="U593" i="15"/>
  <c r="P593" i="15"/>
  <c r="B593" i="15"/>
  <c r="U592" i="15"/>
  <c r="P592" i="15"/>
  <c r="B592" i="15"/>
  <c r="U591" i="15"/>
  <c r="P591" i="15"/>
  <c r="B591" i="15"/>
  <c r="U590" i="15"/>
  <c r="P590" i="15"/>
  <c r="B590" i="15"/>
  <c r="U589" i="15"/>
  <c r="P589" i="15"/>
  <c r="B589" i="15"/>
  <c r="U588" i="15"/>
  <c r="P588" i="15"/>
  <c r="B588" i="15"/>
  <c r="U587" i="15"/>
  <c r="P587" i="15"/>
  <c r="B587" i="15"/>
  <c r="U586" i="15"/>
  <c r="P586" i="15"/>
  <c r="B586" i="15"/>
  <c r="U585" i="15"/>
  <c r="P585" i="15"/>
  <c r="B585" i="15"/>
  <c r="U584" i="15"/>
  <c r="P584" i="15"/>
  <c r="B584" i="15"/>
  <c r="U583" i="15"/>
  <c r="P583" i="15"/>
  <c r="B583" i="15"/>
  <c r="U582" i="15"/>
  <c r="P582" i="15"/>
  <c r="B582" i="15"/>
  <c r="U581" i="15"/>
  <c r="P581" i="15"/>
  <c r="B581" i="15"/>
  <c r="U580" i="15"/>
  <c r="P580" i="15"/>
  <c r="B580" i="15"/>
  <c r="U579" i="15"/>
  <c r="P579" i="15"/>
  <c r="B579" i="15"/>
  <c r="U578" i="15"/>
  <c r="P578" i="15"/>
  <c r="B578" i="15"/>
  <c r="U577" i="15"/>
  <c r="P577" i="15"/>
  <c r="B577" i="15"/>
  <c r="U576" i="15"/>
  <c r="P576" i="15"/>
  <c r="B576" i="15"/>
  <c r="U575" i="15"/>
  <c r="P575" i="15"/>
  <c r="B575" i="15"/>
  <c r="U574" i="15"/>
  <c r="P574" i="15"/>
  <c r="B574" i="15"/>
  <c r="U573" i="15"/>
  <c r="P573" i="15"/>
  <c r="B573" i="15"/>
  <c r="U572" i="15"/>
  <c r="P572" i="15"/>
  <c r="B572" i="15"/>
  <c r="U571" i="15"/>
  <c r="P571" i="15"/>
  <c r="B571" i="15"/>
  <c r="U570" i="15"/>
  <c r="P570" i="15"/>
  <c r="B570" i="15"/>
  <c r="U569" i="15"/>
  <c r="P569" i="15"/>
  <c r="B569" i="15"/>
  <c r="U568" i="15"/>
  <c r="P568" i="15"/>
  <c r="B568" i="15"/>
  <c r="U567" i="15"/>
  <c r="P567" i="15"/>
  <c r="B567" i="15"/>
  <c r="U566" i="15"/>
  <c r="P566" i="15"/>
  <c r="B566" i="15"/>
  <c r="U565" i="15"/>
  <c r="P565" i="15"/>
  <c r="B565" i="15"/>
  <c r="U564" i="15"/>
  <c r="P564" i="15"/>
  <c r="B564" i="15"/>
  <c r="U563" i="15"/>
  <c r="P563" i="15"/>
  <c r="B563" i="15"/>
  <c r="U562" i="15"/>
  <c r="P562" i="15"/>
  <c r="B562" i="15"/>
  <c r="U561" i="15"/>
  <c r="P561" i="15"/>
  <c r="B561" i="15"/>
  <c r="U560" i="15"/>
  <c r="P560" i="15"/>
  <c r="B560" i="15"/>
  <c r="U559" i="15"/>
  <c r="P559" i="15"/>
  <c r="B559" i="15"/>
  <c r="U558" i="15"/>
  <c r="P558" i="15"/>
  <c r="B558" i="15"/>
  <c r="U557" i="15"/>
  <c r="P557" i="15"/>
  <c r="B557" i="15"/>
  <c r="U556" i="15"/>
  <c r="P556" i="15"/>
  <c r="B556" i="15"/>
  <c r="U555" i="15"/>
  <c r="P555" i="15"/>
  <c r="B555" i="15"/>
  <c r="U554" i="15"/>
  <c r="P554" i="15"/>
  <c r="B554" i="15"/>
  <c r="U553" i="15"/>
  <c r="P553" i="15"/>
  <c r="B553" i="15"/>
  <c r="U552" i="15"/>
  <c r="P552" i="15"/>
  <c r="B552" i="15"/>
  <c r="U551" i="15"/>
  <c r="P551" i="15"/>
  <c r="B551" i="15"/>
  <c r="U550" i="15"/>
  <c r="P550" i="15"/>
  <c r="B550" i="15"/>
  <c r="U549" i="15"/>
  <c r="P549" i="15"/>
  <c r="B549" i="15"/>
  <c r="U548" i="15"/>
  <c r="P548" i="15"/>
  <c r="B548" i="15"/>
  <c r="U547" i="15"/>
  <c r="P547" i="15"/>
  <c r="B547" i="15"/>
  <c r="U546" i="15"/>
  <c r="P546" i="15"/>
  <c r="B546" i="15"/>
  <c r="U545" i="15"/>
  <c r="P545" i="15"/>
  <c r="B545" i="15"/>
  <c r="U544" i="15"/>
  <c r="P544" i="15"/>
  <c r="B544" i="15"/>
  <c r="U543" i="15"/>
  <c r="P543" i="15"/>
  <c r="B543" i="15"/>
  <c r="U542" i="15"/>
  <c r="P542" i="15"/>
  <c r="B542" i="15"/>
  <c r="U541" i="15"/>
  <c r="P541" i="15"/>
  <c r="B541" i="15"/>
  <c r="U540" i="15"/>
  <c r="P540" i="15"/>
  <c r="B540" i="15"/>
  <c r="U539" i="15"/>
  <c r="P539" i="15"/>
  <c r="B539" i="15"/>
  <c r="U538" i="15"/>
  <c r="P538" i="15"/>
  <c r="B538" i="15"/>
  <c r="U537" i="15"/>
  <c r="P537" i="15"/>
  <c r="B537" i="15"/>
  <c r="U536" i="15"/>
  <c r="P536" i="15"/>
  <c r="B536" i="15"/>
  <c r="U535" i="15"/>
  <c r="P535" i="15"/>
  <c r="B535" i="15"/>
  <c r="U534" i="15"/>
  <c r="P534" i="15"/>
  <c r="B534" i="15"/>
  <c r="U533" i="15"/>
  <c r="P533" i="15"/>
  <c r="B533" i="15"/>
  <c r="U532" i="15"/>
  <c r="P532" i="15"/>
  <c r="B532" i="15"/>
  <c r="U531" i="15"/>
  <c r="P531" i="15"/>
  <c r="B531" i="15"/>
  <c r="U530" i="15"/>
  <c r="P530" i="15"/>
  <c r="B530" i="15"/>
  <c r="U529" i="15"/>
  <c r="P529" i="15"/>
  <c r="B529" i="15"/>
  <c r="U528" i="15"/>
  <c r="P528" i="15"/>
  <c r="B528" i="15"/>
  <c r="U527" i="15"/>
  <c r="P527" i="15"/>
  <c r="B527" i="15"/>
  <c r="U526" i="15"/>
  <c r="P526" i="15"/>
  <c r="B526" i="15"/>
  <c r="U525" i="15"/>
  <c r="P525" i="15"/>
  <c r="B525" i="15"/>
  <c r="U524" i="15"/>
  <c r="P524" i="15"/>
  <c r="B524" i="15"/>
  <c r="U523" i="15"/>
  <c r="P523" i="15"/>
  <c r="B523" i="15"/>
  <c r="U522" i="15"/>
  <c r="P522" i="15"/>
  <c r="B522" i="15"/>
  <c r="U521" i="15"/>
  <c r="P521" i="15"/>
  <c r="B521" i="15"/>
  <c r="U520" i="15"/>
  <c r="P520" i="15"/>
  <c r="B520" i="15"/>
  <c r="U519" i="15"/>
  <c r="P519" i="15"/>
  <c r="B519" i="15"/>
  <c r="U518" i="15"/>
  <c r="P518" i="15"/>
  <c r="B518" i="15"/>
  <c r="U517" i="15"/>
  <c r="P517" i="15"/>
  <c r="B517" i="15"/>
  <c r="U516" i="15"/>
  <c r="P516" i="15"/>
  <c r="B516" i="15"/>
  <c r="U515" i="15"/>
  <c r="P515" i="15"/>
  <c r="B515" i="15"/>
  <c r="U514" i="15"/>
  <c r="P514" i="15"/>
  <c r="B514" i="15"/>
  <c r="U513" i="15"/>
  <c r="P513" i="15"/>
  <c r="B513" i="15"/>
  <c r="U512" i="15"/>
  <c r="P512" i="15"/>
  <c r="B512" i="15"/>
  <c r="U511" i="15"/>
  <c r="P511" i="15"/>
  <c r="B511" i="15"/>
  <c r="U510" i="15"/>
  <c r="P510" i="15"/>
  <c r="B510" i="15"/>
  <c r="U509" i="15"/>
  <c r="P509" i="15"/>
  <c r="B509" i="15"/>
  <c r="U508" i="15"/>
  <c r="P508" i="15"/>
  <c r="B508" i="15"/>
  <c r="U507" i="15"/>
  <c r="P507" i="15"/>
  <c r="B507" i="15"/>
  <c r="U506" i="15"/>
  <c r="P506" i="15"/>
  <c r="B506" i="15"/>
  <c r="U505" i="15"/>
  <c r="P505" i="15"/>
  <c r="B505" i="15"/>
  <c r="U504" i="15"/>
  <c r="P504" i="15"/>
  <c r="B504" i="15"/>
  <c r="U503" i="15"/>
  <c r="P503" i="15"/>
  <c r="B503" i="15"/>
  <c r="U502" i="15"/>
  <c r="P502" i="15"/>
  <c r="B502" i="15"/>
  <c r="U501" i="15"/>
  <c r="P501" i="15"/>
  <c r="B501" i="15"/>
  <c r="U500" i="15"/>
  <c r="P500" i="15"/>
  <c r="B500" i="15"/>
  <c r="U499" i="15"/>
  <c r="P499" i="15"/>
  <c r="B499" i="15"/>
  <c r="U498" i="15"/>
  <c r="P498" i="15"/>
  <c r="B498" i="15"/>
  <c r="U497" i="15"/>
  <c r="P497" i="15"/>
  <c r="B497" i="15"/>
  <c r="U496" i="15"/>
  <c r="P496" i="15"/>
  <c r="B496" i="15"/>
  <c r="U495" i="15"/>
  <c r="P495" i="15"/>
  <c r="B495" i="15"/>
  <c r="U494" i="15"/>
  <c r="P494" i="15"/>
  <c r="B494" i="15"/>
  <c r="U493" i="15"/>
  <c r="P493" i="15"/>
  <c r="B493" i="15"/>
  <c r="U492" i="15"/>
  <c r="P492" i="15"/>
  <c r="B492" i="15"/>
  <c r="U491" i="15"/>
  <c r="P491" i="15"/>
  <c r="B491" i="15"/>
  <c r="U490" i="15"/>
  <c r="P490" i="15"/>
  <c r="B490" i="15"/>
  <c r="U489" i="15"/>
  <c r="P489" i="15"/>
  <c r="B489" i="15"/>
  <c r="U488" i="15"/>
  <c r="P488" i="15"/>
  <c r="B488" i="15"/>
  <c r="U487" i="15"/>
  <c r="P487" i="15"/>
  <c r="B487" i="15"/>
  <c r="U486" i="15"/>
  <c r="P486" i="15"/>
  <c r="B486" i="15"/>
  <c r="U485" i="15"/>
  <c r="P485" i="15"/>
  <c r="B485" i="15"/>
  <c r="U484" i="15"/>
  <c r="P484" i="15"/>
  <c r="B484" i="15"/>
  <c r="U483" i="15"/>
  <c r="P483" i="15"/>
  <c r="B483" i="15"/>
  <c r="U482" i="15"/>
  <c r="P482" i="15"/>
  <c r="B482" i="15"/>
  <c r="U481" i="15"/>
  <c r="P481" i="15"/>
  <c r="B481" i="15"/>
  <c r="U480" i="15"/>
  <c r="P480" i="15"/>
  <c r="B480" i="15"/>
  <c r="U479" i="15"/>
  <c r="P479" i="15"/>
  <c r="B479" i="15"/>
  <c r="U478" i="15"/>
  <c r="P478" i="15"/>
  <c r="B478" i="15"/>
  <c r="U477" i="15"/>
  <c r="P477" i="15"/>
  <c r="B477" i="15"/>
  <c r="U476" i="15"/>
  <c r="P476" i="15"/>
  <c r="B476" i="15"/>
  <c r="U475" i="15"/>
  <c r="P475" i="15"/>
  <c r="B475" i="15"/>
  <c r="U474" i="15"/>
  <c r="P474" i="15"/>
  <c r="B474" i="15"/>
  <c r="U473" i="15"/>
  <c r="P473" i="15"/>
  <c r="B473" i="15"/>
  <c r="U472" i="15"/>
  <c r="P472" i="15"/>
  <c r="B472" i="15"/>
  <c r="U471" i="15"/>
  <c r="P471" i="15"/>
  <c r="B471" i="15"/>
  <c r="U470" i="15"/>
  <c r="P470" i="15"/>
  <c r="B470" i="15"/>
  <c r="U469" i="15"/>
  <c r="P469" i="15"/>
  <c r="B469" i="15"/>
  <c r="U468" i="15"/>
  <c r="P468" i="15"/>
  <c r="B468" i="15"/>
  <c r="U467" i="15"/>
  <c r="P467" i="15"/>
  <c r="B467" i="15"/>
  <c r="U466" i="15"/>
  <c r="P466" i="15"/>
  <c r="B466" i="15"/>
  <c r="U465" i="15"/>
  <c r="P465" i="15"/>
  <c r="B465" i="15"/>
  <c r="U464" i="15"/>
  <c r="P464" i="15"/>
  <c r="B464" i="15"/>
  <c r="U463" i="15"/>
  <c r="P463" i="15"/>
  <c r="B463" i="15"/>
  <c r="U462" i="15"/>
  <c r="P462" i="15"/>
  <c r="B462" i="15"/>
  <c r="U461" i="15"/>
  <c r="P461" i="15"/>
  <c r="B461" i="15"/>
  <c r="U460" i="15"/>
  <c r="P460" i="15"/>
  <c r="B460" i="15"/>
  <c r="U459" i="15"/>
  <c r="P459" i="15"/>
  <c r="B459" i="15"/>
  <c r="U458" i="15"/>
  <c r="P458" i="15"/>
  <c r="B458" i="15"/>
  <c r="U457" i="15"/>
  <c r="P457" i="15"/>
  <c r="B457" i="15"/>
  <c r="U456" i="15"/>
  <c r="P456" i="15"/>
  <c r="B456" i="15"/>
  <c r="U455" i="15"/>
  <c r="P455" i="15"/>
  <c r="B455" i="15"/>
  <c r="U454" i="15"/>
  <c r="P454" i="15"/>
  <c r="B454" i="15"/>
  <c r="U453" i="15"/>
  <c r="P453" i="15"/>
  <c r="B453" i="15"/>
  <c r="B642" i="15"/>
  <c r="L642" i="15"/>
  <c r="P642" i="15"/>
  <c r="S642" i="15"/>
  <c r="U452" i="15"/>
  <c r="P452" i="15"/>
  <c r="B452" i="15"/>
  <c r="U451" i="15"/>
  <c r="P451" i="15"/>
  <c r="B451" i="15"/>
  <c r="U450" i="15"/>
  <c r="P450" i="15"/>
  <c r="B450" i="15"/>
  <c r="U449" i="15"/>
  <c r="P449" i="15"/>
  <c r="B449" i="15"/>
  <c r="U448" i="15"/>
  <c r="P448" i="15"/>
  <c r="B448" i="15"/>
  <c r="U447" i="15"/>
  <c r="P447" i="15"/>
  <c r="B447" i="15"/>
  <c r="U446" i="15"/>
  <c r="P446" i="15"/>
  <c r="B446" i="15"/>
  <c r="U445" i="15"/>
  <c r="P445" i="15"/>
  <c r="B445" i="15"/>
  <c r="U444" i="15"/>
  <c r="P444" i="15"/>
  <c r="B444" i="15"/>
  <c r="U443" i="15"/>
  <c r="P443" i="15"/>
  <c r="B443" i="15"/>
  <c r="U442" i="15"/>
  <c r="P442" i="15"/>
  <c r="B442" i="15"/>
  <c r="U441" i="15"/>
  <c r="P441" i="15"/>
  <c r="B441" i="15"/>
  <c r="U440" i="15"/>
  <c r="P440" i="15"/>
  <c r="B440" i="15"/>
  <c r="U439" i="15"/>
  <c r="P439" i="15"/>
  <c r="B439" i="15"/>
  <c r="U438" i="15"/>
  <c r="P438" i="15"/>
  <c r="B438" i="15"/>
  <c r="U437" i="15"/>
  <c r="P437" i="15"/>
  <c r="B437" i="15"/>
  <c r="U436" i="15"/>
  <c r="P436" i="15"/>
  <c r="B436" i="15"/>
  <c r="U435" i="15"/>
  <c r="P435" i="15"/>
  <c r="B435" i="15"/>
  <c r="U434" i="15"/>
  <c r="P434" i="15"/>
  <c r="B434" i="15"/>
  <c r="U433" i="15"/>
  <c r="P433" i="15"/>
  <c r="B433" i="15"/>
  <c r="U432" i="15"/>
  <c r="P432" i="15"/>
  <c r="B432" i="15"/>
  <c r="U431" i="15"/>
  <c r="P431" i="15"/>
  <c r="B431" i="15"/>
  <c r="U430" i="15"/>
  <c r="P430" i="15"/>
  <c r="B430" i="15"/>
  <c r="U429" i="15"/>
  <c r="P429" i="15"/>
  <c r="B429" i="15"/>
  <c r="U428" i="15"/>
  <c r="P428" i="15"/>
  <c r="B428" i="15"/>
  <c r="U427" i="15"/>
  <c r="P427" i="15"/>
  <c r="B427" i="15"/>
  <c r="U426" i="15"/>
  <c r="P426" i="15"/>
  <c r="B426" i="15"/>
  <c r="U425" i="15"/>
  <c r="P425" i="15"/>
  <c r="B425" i="15"/>
  <c r="U424" i="15"/>
  <c r="P424" i="15"/>
  <c r="B424" i="15"/>
  <c r="U423" i="15"/>
  <c r="P423" i="15"/>
  <c r="B423" i="15"/>
  <c r="U422" i="15"/>
  <c r="P422" i="15"/>
  <c r="B422" i="15"/>
  <c r="U421" i="15"/>
  <c r="P421" i="15"/>
  <c r="B421" i="15"/>
  <c r="U420" i="15"/>
  <c r="P420" i="15"/>
  <c r="B420" i="15"/>
  <c r="U419" i="15"/>
  <c r="P419" i="15"/>
  <c r="B419" i="15"/>
  <c r="U418" i="15"/>
  <c r="P418" i="15"/>
  <c r="B418" i="15"/>
  <c r="U417" i="15"/>
  <c r="P417" i="15"/>
  <c r="B417" i="15"/>
  <c r="U416" i="15"/>
  <c r="P416" i="15"/>
  <c r="B416" i="15"/>
  <c r="U415" i="15"/>
  <c r="P415" i="15"/>
  <c r="B415" i="15"/>
  <c r="U414" i="15"/>
  <c r="P414" i="15"/>
  <c r="B414" i="15"/>
  <c r="U413" i="15"/>
  <c r="P413" i="15"/>
  <c r="B413" i="15"/>
  <c r="U412" i="15"/>
  <c r="P412" i="15"/>
  <c r="B412" i="15"/>
  <c r="U411" i="15"/>
  <c r="P411" i="15"/>
  <c r="B411" i="15"/>
  <c r="U410" i="15"/>
  <c r="P410" i="15"/>
  <c r="B410" i="15"/>
  <c r="U409" i="15"/>
  <c r="P409" i="15"/>
  <c r="B409" i="15"/>
  <c r="U408" i="15"/>
  <c r="P408" i="15"/>
  <c r="B408" i="15"/>
  <c r="U407" i="15"/>
  <c r="P407" i="15"/>
  <c r="B407" i="15"/>
  <c r="U406" i="15"/>
  <c r="P406" i="15"/>
  <c r="B406" i="15"/>
  <c r="U405" i="15"/>
  <c r="P405" i="15"/>
  <c r="B405" i="15"/>
  <c r="U404" i="15"/>
  <c r="P404" i="15"/>
  <c r="B404" i="15"/>
  <c r="U403" i="15"/>
  <c r="P403" i="15"/>
  <c r="B403" i="15"/>
  <c r="U402" i="15"/>
  <c r="P402" i="15"/>
  <c r="B402" i="15"/>
  <c r="U401" i="15"/>
  <c r="P401" i="15"/>
  <c r="B401" i="15"/>
  <c r="U400" i="15"/>
  <c r="P400" i="15"/>
  <c r="B400" i="15"/>
  <c r="U399" i="15"/>
  <c r="P399" i="15"/>
  <c r="B399" i="15"/>
  <c r="U398" i="15"/>
  <c r="P398" i="15"/>
  <c r="B398" i="15"/>
  <c r="U397" i="15"/>
  <c r="P397" i="15"/>
  <c r="B397" i="15"/>
  <c r="U396" i="15"/>
  <c r="P396" i="15"/>
  <c r="B396" i="15"/>
  <c r="U395" i="15"/>
  <c r="P395" i="15"/>
  <c r="B395" i="15"/>
  <c r="U394" i="15"/>
  <c r="P394" i="15"/>
  <c r="B394" i="15"/>
  <c r="U393" i="15"/>
  <c r="P393" i="15"/>
  <c r="B393" i="15"/>
  <c r="U392" i="15"/>
  <c r="P392" i="15"/>
  <c r="B392" i="15"/>
  <c r="U391" i="15"/>
  <c r="P391" i="15"/>
  <c r="B391" i="15"/>
  <c r="U390" i="15"/>
  <c r="P390" i="15"/>
  <c r="B390" i="15"/>
  <c r="U389" i="15"/>
  <c r="P389" i="15"/>
  <c r="B389" i="15"/>
  <c r="U388" i="15"/>
  <c r="P388" i="15"/>
  <c r="B388" i="15"/>
  <c r="U387" i="15"/>
  <c r="P387" i="15"/>
  <c r="B387" i="15"/>
  <c r="U386" i="15"/>
  <c r="P386" i="15"/>
  <c r="B386" i="15"/>
  <c r="U385" i="15"/>
  <c r="P385" i="15"/>
  <c r="B385" i="15"/>
  <c r="U384" i="15"/>
  <c r="P384" i="15"/>
  <c r="B384" i="15"/>
  <c r="U383" i="15"/>
  <c r="P383" i="15"/>
  <c r="B383" i="15"/>
  <c r="U382" i="15"/>
  <c r="P382" i="15"/>
  <c r="B382" i="15"/>
  <c r="U381" i="15"/>
  <c r="P381" i="15"/>
  <c r="B381" i="15"/>
  <c r="U380" i="15"/>
  <c r="P380" i="15"/>
  <c r="B380" i="15"/>
  <c r="U379" i="15"/>
  <c r="P379" i="15"/>
  <c r="B379" i="15"/>
  <c r="U378" i="15"/>
  <c r="P378" i="15"/>
  <c r="B378" i="15"/>
  <c r="U377" i="15"/>
  <c r="P377" i="15"/>
  <c r="B377" i="15"/>
  <c r="U376" i="15"/>
  <c r="P376" i="15"/>
  <c r="B376" i="15"/>
  <c r="U375" i="15"/>
  <c r="P375" i="15"/>
  <c r="B375" i="15"/>
  <c r="U374" i="15"/>
  <c r="P374" i="15"/>
  <c r="B374" i="15"/>
  <c r="U373" i="15"/>
  <c r="P373" i="15"/>
  <c r="B373" i="15"/>
  <c r="U372" i="15"/>
  <c r="P372" i="15"/>
  <c r="B372" i="15"/>
  <c r="U371" i="15"/>
  <c r="P371" i="15"/>
  <c r="B371" i="15"/>
  <c r="U370" i="15"/>
  <c r="P370" i="15"/>
  <c r="B370" i="15"/>
  <c r="U369" i="15"/>
  <c r="P369" i="15"/>
  <c r="B369" i="15"/>
  <c r="U368" i="15"/>
  <c r="P368" i="15"/>
  <c r="B368" i="15"/>
  <c r="U367" i="15"/>
  <c r="P367" i="15"/>
  <c r="B367" i="15"/>
  <c r="U366" i="15"/>
  <c r="P366" i="15"/>
  <c r="B366" i="15"/>
  <c r="U365" i="15"/>
  <c r="P365" i="15"/>
  <c r="B365" i="15"/>
  <c r="U364" i="15"/>
  <c r="P364" i="15"/>
  <c r="B364" i="15"/>
  <c r="U363" i="15"/>
  <c r="P363" i="15"/>
  <c r="B363" i="15"/>
  <c r="U362" i="15"/>
  <c r="P362" i="15"/>
  <c r="B362" i="15"/>
  <c r="U361" i="15"/>
  <c r="P361" i="15"/>
  <c r="B361" i="15"/>
  <c r="U360" i="15"/>
  <c r="P360" i="15"/>
  <c r="B360" i="15"/>
  <c r="U359" i="15"/>
  <c r="P359" i="15"/>
  <c r="B359" i="15"/>
  <c r="U358" i="15"/>
  <c r="P358" i="15"/>
  <c r="B358" i="15"/>
  <c r="U357" i="15"/>
  <c r="P357" i="15"/>
  <c r="B357" i="15"/>
  <c r="U356" i="15"/>
  <c r="P356" i="15"/>
  <c r="B356" i="15"/>
  <c r="U355" i="15"/>
  <c r="P355" i="15"/>
  <c r="B355" i="15"/>
  <c r="U354" i="15"/>
  <c r="P354" i="15"/>
  <c r="B354" i="15"/>
  <c r="U353" i="15"/>
  <c r="P353" i="15"/>
  <c r="B353" i="15"/>
  <c r="U352" i="15"/>
  <c r="P352" i="15"/>
  <c r="B352" i="15"/>
  <c r="U351" i="15"/>
  <c r="P351" i="15"/>
  <c r="B351" i="15"/>
  <c r="U350" i="15"/>
  <c r="P350" i="15"/>
  <c r="B350" i="15"/>
  <c r="U349" i="15"/>
  <c r="P349" i="15"/>
  <c r="B349" i="15"/>
  <c r="U348" i="15"/>
  <c r="P348" i="15"/>
  <c r="B348" i="15"/>
  <c r="U347" i="15"/>
  <c r="P347" i="15"/>
  <c r="B347" i="15"/>
  <c r="U346" i="15"/>
  <c r="P346" i="15"/>
  <c r="B346" i="15"/>
  <c r="U345" i="15"/>
  <c r="P345" i="15"/>
  <c r="B345" i="15"/>
  <c r="B308" i="15"/>
  <c r="P308" i="15"/>
  <c r="U308" i="15"/>
  <c r="U344" i="15"/>
  <c r="P344" i="15"/>
  <c r="B344" i="15"/>
  <c r="U343" i="15"/>
  <c r="P343" i="15"/>
  <c r="B343" i="15"/>
  <c r="U342" i="15"/>
  <c r="P342" i="15"/>
  <c r="B342" i="15"/>
  <c r="U341" i="15"/>
  <c r="P341" i="15"/>
  <c r="B341" i="15"/>
  <c r="U340" i="15"/>
  <c r="P340" i="15"/>
  <c r="B340" i="15"/>
  <c r="U339" i="15"/>
  <c r="P339" i="15"/>
  <c r="B339" i="15"/>
  <c r="U338" i="15"/>
  <c r="P338" i="15"/>
  <c r="B338" i="15"/>
  <c r="U337" i="15"/>
  <c r="P337" i="15"/>
  <c r="B337" i="15"/>
  <c r="U336" i="15"/>
  <c r="P336" i="15"/>
  <c r="B336" i="15"/>
  <c r="U335" i="15"/>
  <c r="P335" i="15"/>
  <c r="B335" i="15"/>
  <c r="U334" i="15"/>
  <c r="P334" i="15"/>
  <c r="B334" i="15"/>
  <c r="U333" i="15"/>
  <c r="P333" i="15"/>
  <c r="B333" i="15"/>
  <c r="U332" i="15"/>
  <c r="P332" i="15"/>
  <c r="B332" i="15"/>
  <c r="U331" i="15"/>
  <c r="P331" i="15"/>
  <c r="B331" i="15"/>
  <c r="U330" i="15"/>
  <c r="P330" i="15"/>
  <c r="B330" i="15"/>
  <c r="U329" i="15"/>
  <c r="P329" i="15"/>
  <c r="B329" i="15"/>
  <c r="U328" i="15"/>
  <c r="P328" i="15"/>
  <c r="B328" i="15"/>
  <c r="U327" i="15"/>
  <c r="P327" i="15"/>
  <c r="B327" i="15"/>
  <c r="U326" i="15"/>
  <c r="P326" i="15"/>
  <c r="B326" i="15"/>
  <c r="U325" i="15"/>
  <c r="P325" i="15"/>
  <c r="B325" i="15"/>
  <c r="U324" i="15"/>
  <c r="P324" i="15"/>
  <c r="B324" i="15"/>
  <c r="U323" i="15"/>
  <c r="P323" i="15"/>
  <c r="B323" i="15"/>
  <c r="U322" i="15"/>
  <c r="P322" i="15"/>
  <c r="B322" i="15"/>
  <c r="U321" i="15"/>
  <c r="P321" i="15"/>
  <c r="B321" i="15"/>
  <c r="U320" i="15"/>
  <c r="P320" i="15"/>
  <c r="B320" i="15"/>
  <c r="U319" i="15"/>
  <c r="P319" i="15"/>
  <c r="B319" i="15"/>
  <c r="U318" i="15"/>
  <c r="P318" i="15"/>
  <c r="B318" i="15"/>
  <c r="U317" i="15"/>
  <c r="P317" i="15"/>
  <c r="B317" i="15"/>
  <c r="U316" i="15"/>
  <c r="P316" i="15"/>
  <c r="B316" i="15"/>
  <c r="U315" i="15"/>
  <c r="P315" i="15"/>
  <c r="B315" i="15"/>
  <c r="U314" i="15"/>
  <c r="P314" i="15"/>
  <c r="B314" i="15"/>
  <c r="U313" i="15"/>
  <c r="P313" i="15"/>
  <c r="B313" i="15"/>
  <c r="U312" i="15"/>
  <c r="P312" i="15"/>
  <c r="B312" i="15"/>
  <c r="U311" i="15"/>
  <c r="P311" i="15"/>
  <c r="B311" i="15"/>
  <c r="U310" i="15"/>
  <c r="P310" i="15"/>
  <c r="B310" i="15"/>
  <c r="U309" i="15"/>
  <c r="P309" i="15"/>
  <c r="B309" i="15"/>
  <c r="U307" i="15"/>
  <c r="P307" i="15"/>
  <c r="B307" i="15"/>
  <c r="U306" i="15"/>
  <c r="P306" i="15"/>
  <c r="B306" i="15"/>
  <c r="U305" i="15"/>
  <c r="P305" i="15"/>
  <c r="B305" i="15"/>
  <c r="U304" i="15"/>
  <c r="P304" i="15"/>
  <c r="B304" i="15"/>
  <c r="U303" i="15"/>
  <c r="P303" i="15"/>
  <c r="B303" i="15"/>
  <c r="U302" i="15"/>
  <c r="P302" i="15"/>
  <c r="B302" i="15"/>
  <c r="U301" i="15"/>
  <c r="P301" i="15"/>
  <c r="B301" i="15"/>
  <c r="U300" i="15"/>
  <c r="P300" i="15"/>
  <c r="B300" i="15"/>
  <c r="U299" i="15"/>
  <c r="P299" i="15"/>
  <c r="B299" i="15"/>
  <c r="U298" i="15"/>
  <c r="P298" i="15"/>
  <c r="B298" i="15"/>
  <c r="U297" i="15"/>
  <c r="P297" i="15"/>
  <c r="B297" i="15"/>
  <c r="U296" i="15"/>
  <c r="P296" i="15"/>
  <c r="B296" i="15"/>
  <c r="U295" i="15"/>
  <c r="P295" i="15"/>
  <c r="B295" i="15"/>
  <c r="U294" i="15"/>
  <c r="P294" i="15"/>
  <c r="B294" i="15"/>
  <c r="U293" i="15"/>
  <c r="P293" i="15"/>
  <c r="B293" i="15"/>
  <c r="U292" i="15"/>
  <c r="P292" i="15"/>
  <c r="B292" i="15"/>
  <c r="U291" i="15"/>
  <c r="P291" i="15"/>
  <c r="B291" i="15"/>
  <c r="U290" i="15"/>
  <c r="P290" i="15"/>
  <c r="B290" i="15"/>
  <c r="U289" i="15"/>
  <c r="P289" i="15"/>
  <c r="B289" i="15"/>
  <c r="U288" i="15"/>
  <c r="P288" i="15"/>
  <c r="B288" i="15"/>
  <c r="U287" i="15"/>
  <c r="P287" i="15"/>
  <c r="B287" i="15"/>
  <c r="U286" i="15"/>
  <c r="P286" i="15"/>
  <c r="B286" i="15"/>
  <c r="U285" i="15"/>
  <c r="P285" i="15"/>
  <c r="B285" i="15"/>
  <c r="U284" i="15"/>
  <c r="P284" i="15"/>
  <c r="B284" i="15"/>
  <c r="U283" i="15"/>
  <c r="P283" i="15"/>
  <c r="B283" i="15"/>
  <c r="U282" i="15"/>
  <c r="P282" i="15"/>
  <c r="B282" i="15"/>
  <c r="U281" i="15"/>
  <c r="P281" i="15"/>
  <c r="B281" i="15"/>
  <c r="U280" i="15"/>
  <c r="P280" i="15"/>
  <c r="B280" i="15"/>
  <c r="U279" i="15"/>
  <c r="P279" i="15"/>
  <c r="B279" i="15"/>
  <c r="U278" i="15"/>
  <c r="P278" i="15"/>
  <c r="B278" i="15"/>
  <c r="U277" i="15"/>
  <c r="P277" i="15"/>
  <c r="B277" i="15"/>
  <c r="U276" i="15"/>
  <c r="P276" i="15"/>
  <c r="B276" i="15"/>
  <c r="U275" i="15"/>
  <c r="P275" i="15"/>
  <c r="B275" i="15"/>
  <c r="U274" i="15"/>
  <c r="P274" i="15"/>
  <c r="B274" i="15"/>
  <c r="U273" i="15"/>
  <c r="P273" i="15"/>
  <c r="B273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26" i="15"/>
  <c r="U25" i="15"/>
  <c r="B49" i="15"/>
  <c r="B48" i="15"/>
  <c r="B47" i="15"/>
  <c r="B46" i="15"/>
  <c r="B45" i="15"/>
  <c r="B44" i="15"/>
  <c r="B43" i="15"/>
  <c r="B41" i="15"/>
  <c r="B39" i="15"/>
  <c r="B37" i="15"/>
  <c r="B35" i="15"/>
  <c r="B33" i="15"/>
  <c r="B31" i="15"/>
  <c r="B29" i="15"/>
  <c r="B27" i="15"/>
  <c r="B25" i="15"/>
  <c r="P41" i="15"/>
  <c r="P39" i="15"/>
  <c r="P37" i="15"/>
  <c r="P35" i="15"/>
  <c r="P33" i="15"/>
  <c r="P31" i="15"/>
  <c r="S31" i="15"/>
  <c r="P29" i="15"/>
  <c r="P27" i="15"/>
  <c r="P25" i="15"/>
  <c r="S25" i="15"/>
  <c r="B267" i="15"/>
  <c r="B268" i="15"/>
  <c r="B269" i="15"/>
  <c r="B270" i="15"/>
  <c r="B271" i="15"/>
  <c r="B272" i="15"/>
  <c r="B265" i="15"/>
  <c r="B266" i="15"/>
  <c r="U161" i="15"/>
  <c r="U162" i="15"/>
  <c r="U264" i="15"/>
  <c r="U265" i="15"/>
  <c r="U266" i="15"/>
  <c r="U267" i="15"/>
  <c r="U268" i="15"/>
  <c r="U269" i="15"/>
  <c r="U270" i="15"/>
  <c r="U271" i="15"/>
  <c r="U272" i="15"/>
  <c r="U24" i="15"/>
  <c r="F87" i="2"/>
  <c r="H87" i="2"/>
  <c r="I87" i="2"/>
  <c r="J87" i="2"/>
  <c r="F85" i="2"/>
  <c r="H85" i="2"/>
  <c r="I85" i="2"/>
  <c r="J85" i="2"/>
  <c r="B161" i="15"/>
  <c r="B162" i="15"/>
  <c r="B264" i="15"/>
  <c r="B24" i="15"/>
  <c r="B26" i="15"/>
  <c r="B28" i="15"/>
  <c r="B30" i="15"/>
  <c r="B32" i="15"/>
  <c r="B34" i="15"/>
  <c r="B36" i="15"/>
  <c r="B38" i="15"/>
  <c r="B40" i="15"/>
  <c r="B42" i="15"/>
  <c r="B940" i="15"/>
  <c r="B942" i="15"/>
  <c r="B944" i="15"/>
  <c r="L161" i="15"/>
  <c r="L162" i="15"/>
  <c r="L940" i="15"/>
  <c r="P161" i="15"/>
  <c r="P162" i="15"/>
  <c r="P264" i="15"/>
  <c r="P265" i="15"/>
  <c r="P266" i="15"/>
  <c r="P267" i="15"/>
  <c r="P268" i="15"/>
  <c r="P269" i="15"/>
  <c r="P270" i="15"/>
  <c r="P271" i="15"/>
  <c r="P272" i="15"/>
  <c r="P24" i="15"/>
  <c r="P26" i="15"/>
  <c r="P28" i="15"/>
  <c r="P30" i="15"/>
  <c r="P32" i="15"/>
  <c r="P34" i="15"/>
  <c r="P36" i="15"/>
  <c r="P38" i="15"/>
  <c r="P40" i="15"/>
  <c r="P42" i="15"/>
  <c r="P43" i="15"/>
  <c r="P44" i="15"/>
  <c r="P45" i="15"/>
  <c r="P46" i="15"/>
  <c r="P47" i="15"/>
  <c r="P48" i="15"/>
  <c r="P49" i="15"/>
  <c r="P940" i="15"/>
  <c r="P942" i="15"/>
  <c r="P944" i="15"/>
  <c r="S161" i="15"/>
  <c r="S162" i="15"/>
  <c r="S940" i="15"/>
  <c r="F5" i="7"/>
  <c r="S981" i="15"/>
  <c r="P981" i="15"/>
  <c r="L981" i="15"/>
  <c r="U6" i="15"/>
  <c r="U7" i="15"/>
  <c r="U8" i="15"/>
  <c r="U9" i="15"/>
  <c r="U10" i="15"/>
  <c r="U11" i="15"/>
  <c r="U13" i="15"/>
  <c r="U14" i="15"/>
  <c r="U15" i="15"/>
  <c r="U16" i="15"/>
  <c r="U17" i="15"/>
  <c r="U18" i="15"/>
  <c r="U19" i="15"/>
  <c r="U21" i="15"/>
  <c r="U4" i="15"/>
  <c r="U3" i="15"/>
  <c r="F8" i="2"/>
  <c r="F9" i="2"/>
  <c r="F10" i="2"/>
  <c r="F11" i="2"/>
  <c r="F12" i="2"/>
  <c r="F13" i="2"/>
  <c r="H8" i="2"/>
  <c r="H9" i="2"/>
  <c r="H10" i="2"/>
  <c r="H11" i="2"/>
  <c r="H12" i="2"/>
  <c r="H13" i="2"/>
  <c r="I8" i="2"/>
  <c r="I9" i="2"/>
  <c r="I10" i="2"/>
  <c r="I11" i="2"/>
  <c r="I12" i="2"/>
  <c r="I13" i="2"/>
  <c r="J8" i="2"/>
  <c r="J9" i="2"/>
  <c r="J10" i="2"/>
  <c r="J11" i="2"/>
  <c r="J12" i="2"/>
  <c r="J13" i="2"/>
  <c r="N20" i="15"/>
  <c r="P21" i="15"/>
  <c r="B21" i="15"/>
  <c r="B20" i="15"/>
  <c r="P19" i="15"/>
  <c r="B19" i="15"/>
  <c r="P18" i="15"/>
  <c r="B18" i="15"/>
  <c r="P17" i="15"/>
  <c r="B17" i="15"/>
  <c r="P16" i="15"/>
  <c r="B16" i="15"/>
  <c r="N12" i="15"/>
  <c r="B11" i="15"/>
  <c r="P11" i="15"/>
  <c r="P15" i="15"/>
  <c r="B15" i="15"/>
  <c r="P14" i="15"/>
  <c r="B14" i="15"/>
  <c r="P13" i="15"/>
  <c r="B13" i="15"/>
  <c r="B12" i="15"/>
  <c r="P10" i="15"/>
  <c r="B10" i="15"/>
  <c r="P9" i="15"/>
  <c r="B9" i="15"/>
  <c r="P8" i="15"/>
  <c r="B8" i="15"/>
  <c r="P7" i="15"/>
  <c r="B7" i="15"/>
  <c r="P6" i="15"/>
  <c r="B6" i="15"/>
  <c r="B981" i="15"/>
  <c r="F174" i="2"/>
  <c r="H174" i="2"/>
  <c r="I174" i="2"/>
  <c r="J174" i="2"/>
  <c r="K121" i="1"/>
  <c r="Y117" i="1"/>
  <c r="N25" i="1"/>
  <c r="S25" i="1"/>
  <c r="T25" i="1"/>
  <c r="U25" i="1"/>
  <c r="Y25" i="1"/>
  <c r="Z25" i="1"/>
  <c r="AA25" i="1" a="1"/>
  <c r="AA46" i="1" a="1"/>
  <c r="Z46" i="1"/>
  <c r="Y46" i="1"/>
  <c r="U46" i="1"/>
  <c r="T46" i="1"/>
  <c r="S46" i="1"/>
  <c r="N46" i="1"/>
  <c r="M46" i="1"/>
  <c r="N5" i="15"/>
  <c r="U5" i="15" s="1"/>
  <c r="B4" i="15"/>
  <c r="B5" i="15"/>
  <c r="P4" i="15"/>
  <c r="B3" i="15"/>
  <c r="F81" i="2"/>
  <c r="H81" i="2"/>
  <c r="I81" i="2"/>
  <c r="J81" i="2"/>
  <c r="F156" i="2"/>
  <c r="F157" i="2"/>
  <c r="F158" i="2"/>
  <c r="H156" i="2"/>
  <c r="H157" i="2"/>
  <c r="H158" i="2"/>
  <c r="I156" i="2"/>
  <c r="I157" i="2"/>
  <c r="I158" i="2"/>
  <c r="J156" i="2"/>
  <c r="J157" i="2"/>
  <c r="J158" i="2"/>
  <c r="N130" i="1"/>
  <c r="S130" i="1"/>
  <c r="T130" i="1"/>
  <c r="U130" i="1"/>
  <c r="Y130" i="1"/>
  <c r="Z130" i="1"/>
  <c r="AA130" i="1" a="1"/>
  <c r="N131" i="1"/>
  <c r="S131" i="1"/>
  <c r="T131" i="1"/>
  <c r="U131" i="1"/>
  <c r="Y131" i="1"/>
  <c r="Z131" i="1"/>
  <c r="AA131" i="1" a="1"/>
  <c r="N132" i="1"/>
  <c r="S132" i="1"/>
  <c r="T132" i="1"/>
  <c r="U132" i="1"/>
  <c r="Y132" i="1"/>
  <c r="Z132" i="1"/>
  <c r="AA132" i="1" a="1"/>
  <c r="N133" i="1"/>
  <c r="S133" i="1"/>
  <c r="T133" i="1"/>
  <c r="U133" i="1"/>
  <c r="Y133" i="1"/>
  <c r="Z133" i="1"/>
  <c r="AA133" i="1" a="1"/>
  <c r="AA117" i="1" a="1"/>
  <c r="Z117" i="1"/>
  <c r="U117" i="1"/>
  <c r="T117" i="1"/>
  <c r="S117" i="1"/>
  <c r="N117" i="1"/>
  <c r="N35" i="1"/>
  <c r="S35" i="1"/>
  <c r="T35" i="1"/>
  <c r="U35" i="1"/>
  <c r="Y35" i="1"/>
  <c r="Z35" i="1"/>
  <c r="AA35" i="1" a="1"/>
  <c r="E5" i="7"/>
  <c r="P3" i="15"/>
  <c r="F76" i="2"/>
  <c r="F77" i="2"/>
  <c r="H76" i="2"/>
  <c r="H77" i="2"/>
  <c r="I76" i="2"/>
  <c r="I77" i="2"/>
  <c r="J76" i="2"/>
  <c r="J77" i="2"/>
  <c r="L71" i="2"/>
  <c r="L70" i="2"/>
  <c r="Q72" i="2"/>
  <c r="O72" i="2"/>
  <c r="N72" i="2"/>
  <c r="L72" i="2"/>
  <c r="F49" i="2"/>
  <c r="F50" i="2"/>
  <c r="H49" i="2"/>
  <c r="H50" i="2"/>
  <c r="I49" i="2"/>
  <c r="I50" i="2"/>
  <c r="J49" i="2"/>
  <c r="J50" i="2"/>
  <c r="F68" i="2"/>
  <c r="F69" i="2"/>
  <c r="F70" i="2"/>
  <c r="F71" i="2"/>
  <c r="F72" i="2"/>
  <c r="H68" i="2"/>
  <c r="H69" i="2"/>
  <c r="H70" i="2"/>
  <c r="H71" i="2"/>
  <c r="H72" i="2"/>
  <c r="I68" i="2"/>
  <c r="I69" i="2"/>
  <c r="I70" i="2"/>
  <c r="I71" i="2"/>
  <c r="I72" i="2"/>
  <c r="J68" i="2"/>
  <c r="J69" i="2"/>
  <c r="J70" i="2"/>
  <c r="J71" i="2"/>
  <c r="J72" i="2"/>
  <c r="F128" i="2"/>
  <c r="H128" i="2"/>
  <c r="I128" i="2"/>
  <c r="J128" i="2"/>
  <c r="F124" i="2"/>
  <c r="H124" i="2"/>
  <c r="I124" i="2"/>
  <c r="J124" i="2"/>
  <c r="F127" i="2"/>
  <c r="H127" i="2"/>
  <c r="I127" i="2"/>
  <c r="J127" i="2"/>
  <c r="F125" i="2"/>
  <c r="F126" i="2"/>
  <c r="H125" i="2"/>
  <c r="H126" i="2"/>
  <c r="I125" i="2"/>
  <c r="I126" i="2"/>
  <c r="J125" i="2"/>
  <c r="J126" i="2"/>
  <c r="F39" i="2"/>
  <c r="H39" i="2"/>
  <c r="I39" i="2"/>
  <c r="J39" i="2"/>
  <c r="F37" i="2"/>
  <c r="F38" i="2"/>
  <c r="F40" i="2"/>
  <c r="H37" i="2"/>
  <c r="H38" i="2"/>
  <c r="H40" i="2"/>
  <c r="I37" i="2"/>
  <c r="I38" i="2"/>
  <c r="I40" i="2"/>
  <c r="J37" i="2"/>
  <c r="J38" i="2"/>
  <c r="J40" i="2"/>
  <c r="F36" i="2"/>
  <c r="H36" i="2"/>
  <c r="I36" i="2"/>
  <c r="J36" i="2"/>
  <c r="N126" i="1"/>
  <c r="S126" i="1"/>
  <c r="T126" i="1"/>
  <c r="U126" i="1"/>
  <c r="Y126" i="1"/>
  <c r="Z126" i="1"/>
  <c r="AA126" i="1" a="1"/>
  <c r="K118" i="1"/>
  <c r="Y118" i="1" s="1"/>
  <c r="I118" i="1"/>
  <c r="N118" i="1" s="1"/>
  <c r="S118" i="1"/>
  <c r="T118" i="1"/>
  <c r="U118" i="1"/>
  <c r="Z118" i="1"/>
  <c r="AA118" i="1" a="1"/>
  <c r="C2" i="7"/>
  <c r="F32" i="2"/>
  <c r="F33" i="2"/>
  <c r="F34" i="2"/>
  <c r="F35" i="2"/>
  <c r="H32" i="2"/>
  <c r="H33" i="2"/>
  <c r="H34" i="2"/>
  <c r="H35" i="2"/>
  <c r="I32" i="2"/>
  <c r="I33" i="2"/>
  <c r="I34" i="2"/>
  <c r="I35" i="2"/>
  <c r="J32" i="2"/>
  <c r="J33" i="2"/>
  <c r="J34" i="2"/>
  <c r="J35" i="2"/>
  <c r="F161" i="2"/>
  <c r="H161" i="2"/>
  <c r="I161" i="2"/>
  <c r="J161" i="2"/>
  <c r="F63" i="2"/>
  <c r="H63" i="2"/>
  <c r="I63" i="2"/>
  <c r="J63" i="2"/>
  <c r="F62" i="2"/>
  <c r="F64" i="2"/>
  <c r="H62" i="2"/>
  <c r="H64" i="2"/>
  <c r="I62" i="2"/>
  <c r="I64" i="2"/>
  <c r="J62" i="2"/>
  <c r="J64" i="2"/>
  <c r="M149" i="1"/>
  <c r="I149" i="1"/>
  <c r="N149" i="1" s="1"/>
  <c r="S149" i="1"/>
  <c r="T149" i="1"/>
  <c r="U149" i="1"/>
  <c r="Y149" i="1"/>
  <c r="Z149" i="1"/>
  <c r="AA149" i="1" a="1"/>
  <c r="N10" i="1"/>
  <c r="S10" i="1"/>
  <c r="T10" i="1"/>
  <c r="U10" i="1"/>
  <c r="Y10" i="1"/>
  <c r="Z10" i="1"/>
  <c r="AA10" i="1" a="1"/>
  <c r="V51" i="1" l="1"/>
  <c r="W51" i="1" s="1"/>
  <c r="R51" i="1" s="1"/>
  <c r="M51" i="1"/>
  <c r="M52" i="1"/>
  <c r="M53" i="1"/>
  <c r="M54" i="1"/>
  <c r="J206" i="1"/>
  <c r="J207" i="1"/>
  <c r="J208" i="1"/>
  <c r="J209" i="1"/>
  <c r="V54" i="1"/>
  <c r="W54" i="1" s="1"/>
  <c r="R54" i="1" s="1"/>
  <c r="J54" i="1" s="1"/>
  <c r="V92" i="1"/>
  <c r="W92" i="1" s="1"/>
  <c r="R92" i="1" s="1"/>
  <c r="J92" i="1" s="1"/>
  <c r="V198" i="1"/>
  <c r="W198" i="1" s="1"/>
  <c r="R198" i="1" s="1"/>
  <c r="J198" i="1" s="1"/>
  <c r="V159" i="1"/>
  <c r="W159" i="1" s="1"/>
  <c r="R159" i="1" s="1"/>
  <c r="J159" i="1" s="1"/>
  <c r="J51" i="1"/>
  <c r="J52" i="1"/>
  <c r="J53" i="1"/>
  <c r="V158" i="1"/>
  <c r="W158" i="1" s="1"/>
  <c r="R158" i="1" s="1"/>
  <c r="J158" i="1" s="1"/>
  <c r="V201" i="1"/>
  <c r="W201" i="1" s="1"/>
  <c r="R201" i="1" s="1"/>
  <c r="J201" i="1" s="1"/>
  <c r="V13" i="1"/>
  <c r="W13" i="1" s="1"/>
  <c r="R13" i="1" s="1"/>
  <c r="J13" i="1" s="1"/>
  <c r="G46" i="1"/>
  <c r="G149" i="1"/>
  <c r="S48" i="15"/>
  <c r="S24" i="15"/>
  <c r="S26" i="15"/>
  <c r="S28" i="15"/>
  <c r="S30" i="15"/>
  <c r="S32" i="15"/>
  <c r="S34" i="15"/>
  <c r="S36" i="15"/>
  <c r="S38" i="15"/>
  <c r="S40" i="15"/>
  <c r="S42" i="15"/>
  <c r="S44" i="15"/>
  <c r="S46" i="15"/>
  <c r="S27" i="15"/>
  <c r="S39" i="15"/>
  <c r="S41" i="15"/>
  <c r="S49" i="15"/>
  <c r="S33" i="15"/>
  <c r="S29" i="15"/>
  <c r="S37" i="15"/>
  <c r="S47" i="15"/>
  <c r="S35" i="15"/>
  <c r="S43" i="15"/>
  <c r="S45" i="15"/>
  <c r="V80" i="1"/>
  <c r="W80" i="1" s="1"/>
  <c r="R80" i="1" s="1"/>
  <c r="J80" i="1" s="1"/>
  <c r="V167" i="1"/>
  <c r="W167" i="1" s="1"/>
  <c r="R167" i="1" s="1"/>
  <c r="J167" i="1" s="1"/>
  <c r="G80" i="1"/>
  <c r="V104" i="1"/>
  <c r="W104" i="1" s="1"/>
  <c r="R104" i="1" s="1"/>
  <c r="J104" i="1" s="1"/>
  <c r="J105" i="1"/>
  <c r="G92" i="1"/>
  <c r="V102" i="1"/>
  <c r="W102" i="1" s="1"/>
  <c r="R102" i="1" s="1"/>
  <c r="J102" i="1" s="1"/>
  <c r="U20" i="15"/>
  <c r="P20" i="15"/>
  <c r="V46" i="1"/>
  <c r="W46" i="1" s="1"/>
  <c r="R46" i="1" s="1"/>
  <c r="J46" i="1" s="1"/>
  <c r="P12" i="15"/>
  <c r="U12" i="15"/>
  <c r="P5" i="15"/>
  <c r="V132" i="1"/>
  <c r="W132" i="1" s="1"/>
  <c r="R132" i="1" s="1"/>
  <c r="J132" i="1" s="1"/>
  <c r="V25" i="1"/>
  <c r="W25" i="1" s="1"/>
  <c r="R25" i="1" s="1"/>
  <c r="J25" i="1" s="1"/>
  <c r="V130" i="1"/>
  <c r="W130" i="1" s="1"/>
  <c r="R130" i="1" s="1"/>
  <c r="J130" i="1" s="1"/>
  <c r="V117" i="1"/>
  <c r="W117" i="1" s="1"/>
  <c r="R117" i="1" s="1"/>
  <c r="J117" i="1" s="1"/>
  <c r="V131" i="1"/>
  <c r="W131" i="1" s="1"/>
  <c r="R131" i="1" s="1"/>
  <c r="J131" i="1" s="1"/>
  <c r="V133" i="1"/>
  <c r="W133" i="1" s="1"/>
  <c r="R133" i="1" s="1"/>
  <c r="J133" i="1" s="1"/>
  <c r="V35" i="1"/>
  <c r="W35" i="1" s="1"/>
  <c r="R35" i="1" s="1"/>
  <c r="J35" i="1" s="1"/>
  <c r="V118" i="1"/>
  <c r="W118" i="1" s="1"/>
  <c r="R118" i="1" s="1"/>
  <c r="J118" i="1" s="1"/>
  <c r="V126" i="1"/>
  <c r="W126" i="1" s="1"/>
  <c r="R126" i="1" s="1"/>
  <c r="J126" i="1" s="1"/>
  <c r="V149" i="1"/>
  <c r="W149" i="1" s="1"/>
  <c r="R149" i="1" s="1"/>
  <c r="J149" i="1" s="1"/>
  <c r="V10" i="1"/>
  <c r="W10" i="1" s="1"/>
  <c r="R10" i="1" s="1"/>
  <c r="J10" i="1" s="1"/>
  <c r="N202" i="1" l="1"/>
  <c r="S202" i="1"/>
  <c r="T202" i="1"/>
  <c r="U202" i="1"/>
  <c r="Y202" i="1"/>
  <c r="Z202" i="1"/>
  <c r="AA202" i="1" a="1"/>
  <c r="M157" i="1"/>
  <c r="N157" i="1"/>
  <c r="S157" i="1"/>
  <c r="T157" i="1"/>
  <c r="U157" i="1"/>
  <c r="Y157" i="1"/>
  <c r="Z157" i="1"/>
  <c r="AA157" i="1" a="1"/>
  <c r="B4" i="12" a="1"/>
  <c r="M43" i="1"/>
  <c r="I43" i="1"/>
  <c r="N43" i="1" s="1"/>
  <c r="AA43" i="1" a="1"/>
  <c r="Z43" i="1"/>
  <c r="Y43" i="1"/>
  <c r="U43" i="1"/>
  <c r="T43" i="1"/>
  <c r="S43" i="1"/>
  <c r="F43" i="2"/>
  <c r="H43" i="2"/>
  <c r="I43" i="2"/>
  <c r="J43" i="2"/>
  <c r="F110" i="2"/>
  <c r="F111" i="2"/>
  <c r="H110" i="2"/>
  <c r="H111" i="2"/>
  <c r="I110" i="2"/>
  <c r="I111" i="2"/>
  <c r="J110" i="2"/>
  <c r="J111" i="2"/>
  <c r="M85" i="1"/>
  <c r="AA85" i="1" a="1"/>
  <c r="Z85" i="1"/>
  <c r="U85" i="1"/>
  <c r="T85" i="1"/>
  <c r="S85" i="1"/>
  <c r="N85" i="1"/>
  <c r="E85" i="1"/>
  <c r="D85" i="1"/>
  <c r="Y85" i="1" s="1"/>
  <c r="E72" i="1"/>
  <c r="D72" i="1"/>
  <c r="Y72" i="1" s="1"/>
  <c r="N72" i="1"/>
  <c r="S72" i="1"/>
  <c r="T72" i="1"/>
  <c r="U72" i="1"/>
  <c r="Z72" i="1"/>
  <c r="AA72" i="1" a="1"/>
  <c r="N55" i="1"/>
  <c r="S55" i="1"/>
  <c r="T55" i="1"/>
  <c r="U55" i="1"/>
  <c r="Y55" i="1"/>
  <c r="Z55" i="1"/>
  <c r="AA55" i="1" a="1"/>
  <c r="N61" i="1"/>
  <c r="S61" i="1"/>
  <c r="T61" i="1"/>
  <c r="U61" i="1"/>
  <c r="Y61" i="1"/>
  <c r="Z61" i="1"/>
  <c r="AA61" i="1" a="1"/>
  <c r="M164" i="1"/>
  <c r="N12" i="1"/>
  <c r="S12" i="1"/>
  <c r="T12" i="1"/>
  <c r="U12" i="1"/>
  <c r="Y12" i="1"/>
  <c r="Z12" i="1"/>
  <c r="AA12" i="1" a="1"/>
  <c r="M15" i="1"/>
  <c r="N14" i="1"/>
  <c r="S14" i="1"/>
  <c r="T14" i="1"/>
  <c r="U14" i="1"/>
  <c r="Y14" i="1"/>
  <c r="Z14" i="1"/>
  <c r="AA14" i="1" a="1"/>
  <c r="N15" i="1"/>
  <c r="S15" i="1"/>
  <c r="T15" i="1"/>
  <c r="U15" i="1"/>
  <c r="Y15" i="1"/>
  <c r="Z15" i="1"/>
  <c r="AA15" i="1" a="1"/>
  <c r="K188" i="1"/>
  <c r="Y188" i="1" s="1"/>
  <c r="I188" i="1"/>
  <c r="N188" i="1" s="1"/>
  <c r="K182" i="1"/>
  <c r="Y182" i="1" s="1"/>
  <c r="K183" i="1"/>
  <c r="Y183" i="1" s="1"/>
  <c r="K184" i="1"/>
  <c r="Y184" i="1" s="1"/>
  <c r="K185" i="1"/>
  <c r="Y185" i="1" s="1"/>
  <c r="K186" i="1"/>
  <c r="Y186" i="1" s="1"/>
  <c r="K187" i="1"/>
  <c r="Y187" i="1" s="1"/>
  <c r="M188" i="1"/>
  <c r="M187" i="1"/>
  <c r="N187" i="1"/>
  <c r="S187" i="1"/>
  <c r="T187" i="1"/>
  <c r="U187" i="1"/>
  <c r="Z187" i="1"/>
  <c r="AA187" i="1" a="1"/>
  <c r="S188" i="1"/>
  <c r="T188" i="1"/>
  <c r="U188" i="1"/>
  <c r="Z188" i="1"/>
  <c r="AA188" i="1" a="1"/>
  <c r="N182" i="1"/>
  <c r="S182" i="1"/>
  <c r="T182" i="1"/>
  <c r="U182" i="1"/>
  <c r="Z182" i="1"/>
  <c r="AA182" i="1" a="1"/>
  <c r="N183" i="1"/>
  <c r="S183" i="1"/>
  <c r="T183" i="1"/>
  <c r="U183" i="1"/>
  <c r="Z183" i="1"/>
  <c r="AA183" i="1" a="1"/>
  <c r="N184" i="1"/>
  <c r="S184" i="1"/>
  <c r="T184" i="1"/>
  <c r="U184" i="1"/>
  <c r="Z184" i="1"/>
  <c r="AA184" i="1" a="1"/>
  <c r="N185" i="1"/>
  <c r="S185" i="1"/>
  <c r="T185" i="1"/>
  <c r="U185" i="1"/>
  <c r="Z185" i="1"/>
  <c r="AA185" i="1" a="1"/>
  <c r="N186" i="1"/>
  <c r="S186" i="1"/>
  <c r="T186" i="1"/>
  <c r="U186" i="1"/>
  <c r="Z186" i="1"/>
  <c r="AA186" i="1" a="1"/>
  <c r="AA128" i="1" a="1"/>
  <c r="K128" i="1"/>
  <c r="K22" i="1"/>
  <c r="K169" i="1"/>
  <c r="K69" i="1"/>
  <c r="K122" i="1"/>
  <c r="K120" i="1"/>
  <c r="K34" i="1"/>
  <c r="Y34" i="1" s="1"/>
  <c r="K189" i="1"/>
  <c r="K50" i="1"/>
  <c r="K129" i="1"/>
  <c r="H2" i="11"/>
  <c r="M86" i="1"/>
  <c r="N86" i="1"/>
  <c r="S86" i="1"/>
  <c r="T86" i="1"/>
  <c r="U86" i="1"/>
  <c r="Y86" i="1"/>
  <c r="Z86" i="1"/>
  <c r="AA86" i="1" a="1"/>
  <c r="N153" i="1"/>
  <c r="S153" i="1"/>
  <c r="T153" i="1"/>
  <c r="U153" i="1"/>
  <c r="Y153" i="1"/>
  <c r="Z153" i="1"/>
  <c r="AA153" i="1" a="1"/>
  <c r="N156" i="1"/>
  <c r="S156" i="1"/>
  <c r="T156" i="1"/>
  <c r="U156" i="1"/>
  <c r="Y156" i="1"/>
  <c r="Z156" i="1"/>
  <c r="AA156" i="1" a="1"/>
  <c r="N28" i="1"/>
  <c r="S28" i="1"/>
  <c r="T28" i="1"/>
  <c r="U28" i="1"/>
  <c r="Y28" i="1"/>
  <c r="Z28" i="1"/>
  <c r="AA28" i="1" a="1"/>
  <c r="F29" i="2"/>
  <c r="H29" i="2"/>
  <c r="I29" i="2"/>
  <c r="J29" i="2"/>
  <c r="N154" i="1"/>
  <c r="S154" i="1"/>
  <c r="T154" i="1"/>
  <c r="U154" i="1"/>
  <c r="Y154" i="1"/>
  <c r="Z154" i="1"/>
  <c r="AA154" i="1" a="1"/>
  <c r="AB163" i="1"/>
  <c r="B163" i="1" s="1"/>
  <c r="Y163" i="1" s="1"/>
  <c r="AB16" i="1"/>
  <c r="B16" i="1" s="1"/>
  <c r="Y16" i="1" s="1"/>
  <c r="N106" i="1"/>
  <c r="S106" i="1"/>
  <c r="T106" i="1"/>
  <c r="U106" i="1"/>
  <c r="Y106" i="1"/>
  <c r="Z106" i="1"/>
  <c r="AA106" i="1" a="1"/>
  <c r="M205" i="1"/>
  <c r="M144" i="1"/>
  <c r="M143" i="1"/>
  <c r="M203" i="1"/>
  <c r="M142" i="1"/>
  <c r="M124" i="1"/>
  <c r="M19" i="1"/>
  <c r="M162" i="1"/>
  <c r="M161" i="1"/>
  <c r="M160" i="1"/>
  <c r="M18" i="1"/>
  <c r="M17" i="1"/>
  <c r="M200" i="1"/>
  <c r="M199" i="1"/>
  <c r="M116" i="1"/>
  <c r="M115" i="1"/>
  <c r="M140" i="1"/>
  <c r="M119" i="1"/>
  <c r="M141" i="1"/>
  <c r="M91" i="1"/>
  <c r="M90" i="1"/>
  <c r="M163" i="1"/>
  <c r="M16" i="1"/>
  <c r="M89" i="1"/>
  <c r="M47" i="1"/>
  <c r="M84" i="1"/>
  <c r="M83" i="1"/>
  <c r="M82" i="1"/>
  <c r="M181" i="1"/>
  <c r="M180" i="1"/>
  <c r="M45" i="1"/>
  <c r="M44" i="1"/>
  <c r="M81" i="1"/>
  <c r="M88" i="1"/>
  <c r="M148" i="1"/>
  <c r="M165" i="1"/>
  <c r="M195" i="1"/>
  <c r="M67" i="1"/>
  <c r="M66" i="1"/>
  <c r="M50" i="1"/>
  <c r="M48" i="1"/>
  <c r="M79" i="1"/>
  <c r="M179" i="1"/>
  <c r="M78" i="1"/>
  <c r="M41" i="1"/>
  <c r="M65" i="1"/>
  <c r="M40" i="1"/>
  <c r="M42" i="1"/>
  <c r="M39" i="1"/>
  <c r="M77" i="1"/>
  <c r="M194" i="1"/>
  <c r="AA76" i="1" a="1"/>
  <c r="Z76" i="1"/>
  <c r="Y76" i="1"/>
  <c r="U76" i="1"/>
  <c r="T76" i="1"/>
  <c r="S76" i="1"/>
  <c r="N76" i="1"/>
  <c r="N163" i="1"/>
  <c r="S163" i="1"/>
  <c r="T163" i="1"/>
  <c r="U163" i="1"/>
  <c r="Z163" i="1"/>
  <c r="AA163" i="1" a="1"/>
  <c r="N144" i="1"/>
  <c r="S144" i="1"/>
  <c r="T144" i="1"/>
  <c r="U144" i="1"/>
  <c r="Y144" i="1"/>
  <c r="Z144" i="1"/>
  <c r="AA144" i="1" a="1"/>
  <c r="N16" i="1"/>
  <c r="S16" i="1"/>
  <c r="T16" i="1"/>
  <c r="U16" i="1"/>
  <c r="Z16" i="1"/>
  <c r="AA16" i="1" a="1"/>
  <c r="I147" i="1"/>
  <c r="I146" i="1"/>
  <c r="I150" i="1"/>
  <c r="I151" i="1"/>
  <c r="F67" i="2"/>
  <c r="H67" i="2"/>
  <c r="I67" i="2"/>
  <c r="J67" i="2"/>
  <c r="F41" i="2"/>
  <c r="F42" i="2"/>
  <c r="H41" i="2"/>
  <c r="H42" i="2"/>
  <c r="I41" i="2"/>
  <c r="I42" i="2"/>
  <c r="J41" i="2"/>
  <c r="J42" i="2"/>
  <c r="F159" i="2"/>
  <c r="F160" i="2"/>
  <c r="H159" i="2"/>
  <c r="H160" i="2"/>
  <c r="I159" i="2"/>
  <c r="I160" i="2"/>
  <c r="J159" i="2"/>
  <c r="J160" i="2"/>
  <c r="N196" i="1"/>
  <c r="S196" i="1"/>
  <c r="T196" i="1"/>
  <c r="U196" i="1"/>
  <c r="Y196" i="1"/>
  <c r="Z196" i="1"/>
  <c r="AA196" i="1" a="1"/>
  <c r="N87" i="1"/>
  <c r="S87" i="1"/>
  <c r="T87" i="1"/>
  <c r="U87" i="1"/>
  <c r="Z87" i="1"/>
  <c r="AA87" i="1" a="1"/>
  <c r="AB87" i="1"/>
  <c r="I119" i="1"/>
  <c r="AB119" i="1"/>
  <c r="AA150" i="1" a="1"/>
  <c r="AA29" i="1" a="1"/>
  <c r="AA27" i="1" a="1"/>
  <c r="AA26" i="1" a="1"/>
  <c r="AA152" i="1" a="1"/>
  <c r="AA56" i="1" a="1"/>
  <c r="AA193" i="1" a="1"/>
  <c r="AA49" i="1" a="1"/>
  <c r="AA192" i="1" a="1"/>
  <c r="AA95" i="1" a="1"/>
  <c r="AA94" i="1" a="1"/>
  <c r="AA191" i="1" a="1"/>
  <c r="AA190" i="1" a="1"/>
  <c r="AA93" i="1" a="1"/>
  <c r="AA123" i="1" a="1"/>
  <c r="AA162" i="1" a="1"/>
  <c r="AA161" i="1" a="1"/>
  <c r="AA160" i="1" a="1"/>
  <c r="AA24" i="1" a="1"/>
  <c r="AA176" i="1" a="1"/>
  <c r="AA11" i="1" a="1"/>
  <c r="AA68" i="1" a="1"/>
  <c r="AA71" i="1" a="1"/>
  <c r="AA70" i="1" a="1"/>
  <c r="AA151" i="1" a="1"/>
  <c r="AA23" i="1" a="1"/>
  <c r="AA145" i="1" a="1"/>
  <c r="AA204" i="1" a="1"/>
  <c r="AA205" i="1" a="1"/>
  <c r="AA3" i="1" a="1"/>
  <c r="AA139" i="1" a="1"/>
  <c r="AA127" i="1" a="1"/>
  <c r="AA143" i="1" a="1"/>
  <c r="AA138" i="1" a="1"/>
  <c r="AA137" i="1" a="1"/>
  <c r="AA125" i="1" a="1"/>
  <c r="AA2" i="1" a="1"/>
  <c r="AA203" i="1" a="1"/>
  <c r="AA22" i="1" a="1"/>
  <c r="AA69" i="1" a="1"/>
  <c r="AA142" i="1" a="1"/>
  <c r="AA124" i="1" a="1"/>
  <c r="AA122" i="1" a="1"/>
  <c r="AA121" i="1" a="1"/>
  <c r="AA120" i="1" a="1"/>
  <c r="AA19" i="1" a="1"/>
  <c r="AA175" i="1" a="1"/>
  <c r="AA174" i="1" a="1"/>
  <c r="AA169" i="1" a="1"/>
  <c r="AA34" i="1" a="1"/>
  <c r="AA9" i="1" a="1"/>
  <c r="AA8" i="1" a="1"/>
  <c r="AA18" i="1" a="1"/>
  <c r="AA17" i="1" a="1"/>
  <c r="AA168" i="1" a="1"/>
  <c r="AA147" i="1" a="1"/>
  <c r="AA197" i="1" a="1"/>
  <c r="AA200" i="1" a="1"/>
  <c r="AA199" i="1" a="1"/>
  <c r="AA114" i="1" a="1"/>
  <c r="AA113" i="1" a="1"/>
  <c r="AA116" i="1" a="1"/>
  <c r="AA109" i="1" a="1"/>
  <c r="AA108" i="1" a="1"/>
  <c r="AA107" i="1" a="1"/>
  <c r="AA112" i="1" a="1"/>
  <c r="AA115" i="1" a="1"/>
  <c r="AA111" i="1" a="1"/>
  <c r="AA21" i="1" a="1"/>
  <c r="AA20" i="1" a="1"/>
  <c r="AA166" i="1" a="1"/>
  <c r="AA146" i="1" a="1"/>
  <c r="AA33" i="1" a="1"/>
  <c r="AA32" i="1" a="1"/>
  <c r="AA31" i="1" a="1"/>
  <c r="AA30" i="1" a="1"/>
  <c r="AA170" i="1" a="1"/>
  <c r="AA173" i="1" a="1"/>
  <c r="AA172" i="1" a="1"/>
  <c r="AA74" i="1" a="1"/>
  <c r="AA171" i="1" a="1"/>
  <c r="AA210" i="1" a="1"/>
  <c r="AA7" i="1" a="1"/>
  <c r="AA6" i="1" a="1"/>
  <c r="AA5" i="1" a="1"/>
  <c r="AA136" i="1" a="1"/>
  <c r="AA135" i="1" a="1"/>
  <c r="AA134" i="1" a="1"/>
  <c r="AA140" i="1" a="1"/>
  <c r="AA119" i="1" a="1"/>
  <c r="AA141" i="1" a="1"/>
  <c r="AA4" i="1" a="1"/>
  <c r="AA64" i="1" a="1"/>
  <c r="AA91" i="1" a="1"/>
  <c r="AA63" i="1" a="1"/>
  <c r="AA62" i="1" a="1"/>
  <c r="AA60" i="1" a="1"/>
  <c r="AA90" i="1" a="1"/>
  <c r="AA189" i="1" a="1"/>
  <c r="AA89" i="1" a="1"/>
  <c r="AA38" i="1" a="1"/>
  <c r="AA47" i="1" a="1"/>
  <c r="AA84" i="1" a="1"/>
  <c r="AA83" i="1" a="1"/>
  <c r="AA82" i="1" a="1"/>
  <c r="AA181" i="1" a="1"/>
  <c r="AA73" i="1" a="1"/>
  <c r="AA155" i="1" a="1"/>
  <c r="AA178" i="1" a="1"/>
  <c r="AA180" i="1" a="1"/>
  <c r="AA45" i="1" a="1"/>
  <c r="AA44" i="1" a="1"/>
  <c r="AA37" i="1" a="1"/>
  <c r="AA36" i="1" a="1"/>
  <c r="AA81" i="1" a="1"/>
  <c r="AA103" i="1" a="1"/>
  <c r="AA88" i="1" a="1"/>
  <c r="AA148" i="1" a="1"/>
  <c r="AA110" i="1" a="1"/>
  <c r="AA59" i="1" a="1"/>
  <c r="AA58" i="1" a="1"/>
  <c r="AA57" i="1" a="1"/>
  <c r="AA101" i="1" a="1"/>
  <c r="AA165" i="1" a="1"/>
  <c r="AA195" i="1" a="1"/>
  <c r="AA96" i="1" a="1"/>
  <c r="AA100" i="1" a="1"/>
  <c r="AA67" i="1" a="1"/>
  <c r="AA66" i="1" a="1"/>
  <c r="AA99" i="1" a="1"/>
  <c r="AA98" i="1" a="1"/>
  <c r="AA50" i="1" a="1"/>
  <c r="AA48" i="1" a="1"/>
  <c r="AA129" i="1" a="1"/>
  <c r="AA75" i="1" a="1"/>
  <c r="AA79" i="1" a="1"/>
  <c r="AA179" i="1" a="1"/>
  <c r="AA177" i="1" a="1"/>
  <c r="AA78" i="1" a="1"/>
  <c r="AA41" i="1" a="1"/>
  <c r="AA65" i="1" a="1"/>
  <c r="AA40" i="1" a="1"/>
  <c r="AA42" i="1" a="1"/>
  <c r="AA39" i="1" a="1"/>
  <c r="AA77" i="1" a="1"/>
  <c r="AA194" i="1" a="1"/>
  <c r="AA164" i="1" a="1"/>
  <c r="AA97" i="1" a="1"/>
  <c r="S119" i="1"/>
  <c r="T119" i="1"/>
  <c r="U119" i="1"/>
  <c r="Z119" i="1"/>
  <c r="N27" i="1"/>
  <c r="S27" i="1"/>
  <c r="T27" i="1"/>
  <c r="U27" i="1"/>
  <c r="Y27" i="1"/>
  <c r="Z27" i="1"/>
  <c r="N192" i="1"/>
  <c r="S192" i="1"/>
  <c r="T192" i="1"/>
  <c r="U192" i="1"/>
  <c r="Y192" i="1"/>
  <c r="Z192" i="1"/>
  <c r="B5" i="16"/>
  <c r="N17" i="1"/>
  <c r="S17" i="1"/>
  <c r="T17" i="1"/>
  <c r="U17" i="1"/>
  <c r="Y17" i="1"/>
  <c r="Z17" i="1"/>
  <c r="N49" i="1"/>
  <c r="S49" i="1"/>
  <c r="T49" i="1"/>
  <c r="U49" i="1"/>
  <c r="Z49" i="1"/>
  <c r="AB49" i="1"/>
  <c r="B49" i="1" s="1"/>
  <c r="N172" i="1"/>
  <c r="S172" i="1"/>
  <c r="T172" i="1"/>
  <c r="U172" i="1"/>
  <c r="Y172" i="1"/>
  <c r="Z172" i="1"/>
  <c r="N34" i="1"/>
  <c r="S34" i="1"/>
  <c r="T34" i="1"/>
  <c r="U34" i="1"/>
  <c r="Z34" i="1"/>
  <c r="G157" i="1" l="1"/>
  <c r="G43" i="1"/>
  <c r="G85" i="1"/>
  <c r="G164" i="1"/>
  <c r="G15" i="1"/>
  <c r="G188" i="1"/>
  <c r="G187" i="1"/>
  <c r="G86" i="1"/>
  <c r="G205" i="1"/>
  <c r="G143" i="1"/>
  <c r="G203" i="1"/>
  <c r="G142" i="1"/>
  <c r="G124" i="1"/>
  <c r="G19" i="1"/>
  <c r="G162" i="1"/>
  <c r="G161" i="1"/>
  <c r="G160" i="1"/>
  <c r="G18" i="1"/>
  <c r="G17" i="1"/>
  <c r="G200" i="1"/>
  <c r="G199" i="1"/>
  <c r="G116" i="1"/>
  <c r="G115" i="1"/>
  <c r="G140" i="1"/>
  <c r="G119" i="1"/>
  <c r="G141" i="1"/>
  <c r="G91" i="1"/>
  <c r="G90" i="1"/>
  <c r="G16" i="1"/>
  <c r="G89" i="1"/>
  <c r="G47" i="1"/>
  <c r="G84" i="1"/>
  <c r="G83" i="1"/>
  <c r="G82" i="1"/>
  <c r="G181" i="1"/>
  <c r="G180" i="1"/>
  <c r="G45" i="1"/>
  <c r="G44" i="1"/>
  <c r="G81" i="1"/>
  <c r="G88" i="1"/>
  <c r="G148" i="1"/>
  <c r="G165" i="1"/>
  <c r="G195" i="1"/>
  <c r="G67" i="1"/>
  <c r="G66" i="1"/>
  <c r="G50" i="1"/>
  <c r="G48" i="1"/>
  <c r="G79" i="1"/>
  <c r="G179" i="1"/>
  <c r="G78" i="1"/>
  <c r="G41" i="1"/>
  <c r="G65" i="1"/>
  <c r="G40" i="1"/>
  <c r="G42" i="1"/>
  <c r="G39" i="1"/>
  <c r="G77" i="1"/>
  <c r="G194" i="1"/>
  <c r="V43" i="1"/>
  <c r="W43" i="1" s="1"/>
  <c r="R43" i="1" s="1"/>
  <c r="J43" i="1" s="1"/>
  <c r="V157" i="1"/>
  <c r="W157" i="1" s="1"/>
  <c r="R157" i="1" s="1"/>
  <c r="J157" i="1" s="1"/>
  <c r="V202" i="1"/>
  <c r="W202" i="1" s="1"/>
  <c r="R202" i="1" s="1"/>
  <c r="J202" i="1" s="1"/>
  <c r="V12" i="1"/>
  <c r="W12" i="1" s="1"/>
  <c r="R12" i="1" s="1"/>
  <c r="J12" i="1" s="1"/>
  <c r="V72" i="1"/>
  <c r="W72" i="1" s="1"/>
  <c r="R72" i="1" s="1"/>
  <c r="J72" i="1" s="1"/>
  <c r="V55" i="1"/>
  <c r="W55" i="1" s="1"/>
  <c r="R55" i="1" s="1"/>
  <c r="J55" i="1" s="1"/>
  <c r="V61" i="1"/>
  <c r="W61" i="1" s="1"/>
  <c r="R61" i="1" s="1"/>
  <c r="J61" i="1" s="1"/>
  <c r="V85" i="1"/>
  <c r="W85" i="1" s="1"/>
  <c r="R85" i="1" s="1"/>
  <c r="J85" i="1" s="1"/>
  <c r="V184" i="1"/>
  <c r="W184" i="1" s="1"/>
  <c r="R184" i="1" s="1"/>
  <c r="J184" i="1" s="1"/>
  <c r="V14" i="1"/>
  <c r="W14" i="1" s="1"/>
  <c r="R14" i="1" s="1"/>
  <c r="J14" i="1" s="1"/>
  <c r="V15" i="1"/>
  <c r="W15" i="1" s="1"/>
  <c r="R15" i="1" s="1"/>
  <c r="J15" i="1" s="1"/>
  <c r="V76" i="1"/>
  <c r="W76" i="1" s="1"/>
  <c r="R76" i="1" s="1"/>
  <c r="J76" i="1" s="1"/>
  <c r="V183" i="1"/>
  <c r="W183" i="1" s="1"/>
  <c r="R183" i="1" s="1"/>
  <c r="J183" i="1" s="1"/>
  <c r="V28" i="1"/>
  <c r="W28" i="1" s="1"/>
  <c r="R28" i="1" s="1"/>
  <c r="J28" i="1" s="1"/>
  <c r="V187" i="1"/>
  <c r="W187" i="1" s="1"/>
  <c r="R187" i="1" s="1"/>
  <c r="J187" i="1" s="1"/>
  <c r="V182" i="1"/>
  <c r="W182" i="1" s="1"/>
  <c r="R182" i="1" s="1"/>
  <c r="J182" i="1" s="1"/>
  <c r="V185" i="1"/>
  <c r="W185" i="1" s="1"/>
  <c r="R185" i="1" s="1"/>
  <c r="J185" i="1" s="1"/>
  <c r="V188" i="1"/>
  <c r="W188" i="1" s="1"/>
  <c r="R188" i="1" s="1"/>
  <c r="J188" i="1" s="1"/>
  <c r="V186" i="1"/>
  <c r="W186" i="1" s="1"/>
  <c r="R186" i="1" s="1"/>
  <c r="J186" i="1" s="1"/>
  <c r="V86" i="1"/>
  <c r="W86" i="1" s="1"/>
  <c r="R86" i="1" s="1"/>
  <c r="J86" i="1" s="1"/>
  <c r="V153" i="1"/>
  <c r="W153" i="1" s="1"/>
  <c r="R153" i="1" s="1"/>
  <c r="J153" i="1" s="1"/>
  <c r="V156" i="1"/>
  <c r="W156" i="1" s="1"/>
  <c r="R156" i="1" s="1"/>
  <c r="J156" i="1" s="1"/>
  <c r="V154" i="1"/>
  <c r="W154" i="1" s="1"/>
  <c r="R154" i="1" s="1"/>
  <c r="J154" i="1" s="1"/>
  <c r="V106" i="1"/>
  <c r="W106" i="1" s="1"/>
  <c r="R106" i="1" s="1"/>
  <c r="J106" i="1" s="1"/>
  <c r="V144" i="1"/>
  <c r="W144" i="1" s="1"/>
  <c r="R144" i="1" s="1"/>
  <c r="J144" i="1" s="1"/>
  <c r="V163" i="1"/>
  <c r="W163" i="1" s="1"/>
  <c r="R163" i="1" s="1"/>
  <c r="J163" i="1" s="1"/>
  <c r="V16" i="1"/>
  <c r="W16" i="1" s="1"/>
  <c r="R16" i="1" s="1"/>
  <c r="J16" i="1" s="1"/>
  <c r="V196" i="1"/>
  <c r="Y87" i="1"/>
  <c r="V87" i="1"/>
  <c r="W87" i="1" s="1"/>
  <c r="R87" i="1" s="1"/>
  <c r="B119" i="1"/>
  <c r="N119" i="1"/>
  <c r="V119" i="1"/>
  <c r="V27" i="1"/>
  <c r="V192" i="1"/>
  <c r="V17" i="1"/>
  <c r="W17" i="1" s="1"/>
  <c r="R17" i="1" s="1"/>
  <c r="Y49" i="1"/>
  <c r="V49" i="1"/>
  <c r="W49" i="1" s="1"/>
  <c r="R49" i="1" s="1"/>
  <c r="J49" i="1" s="1"/>
  <c r="V172" i="1"/>
  <c r="W172" i="1" s="1"/>
  <c r="R172" i="1" s="1"/>
  <c r="J172" i="1" s="1"/>
  <c r="V34" i="1"/>
  <c r="W34" i="1" s="1"/>
  <c r="R34" i="1" s="1"/>
  <c r="J34" i="1" s="1"/>
  <c r="W196" i="1" l="1"/>
  <c r="R196" i="1" s="1"/>
  <c r="J87" i="1"/>
  <c r="Y119" i="1"/>
  <c r="J17" i="1"/>
  <c r="W119" i="1"/>
  <c r="R119" i="1" s="1"/>
  <c r="J119" i="1" s="1"/>
  <c r="W27" i="1"/>
  <c r="R27" i="1" s="1"/>
  <c r="J27" i="1" s="1"/>
  <c r="W192" i="1"/>
  <c r="R192" i="1" s="1"/>
  <c r="J192" i="1" s="1"/>
  <c r="Y189" i="1"/>
  <c r="N189" i="1"/>
  <c r="S189" i="1"/>
  <c r="T189" i="1"/>
  <c r="U189" i="1"/>
  <c r="Z189" i="1"/>
  <c r="N9" i="1"/>
  <c r="S9" i="1"/>
  <c r="T9" i="1"/>
  <c r="U9" i="1"/>
  <c r="Y9" i="1"/>
  <c r="Z9" i="1"/>
  <c r="N190" i="1"/>
  <c r="S190" i="1"/>
  <c r="T190" i="1"/>
  <c r="U190" i="1"/>
  <c r="Y190" i="1"/>
  <c r="Z190" i="1"/>
  <c r="Y203" i="1"/>
  <c r="N109" i="1"/>
  <c r="S109" i="1"/>
  <c r="T109" i="1"/>
  <c r="U109" i="1"/>
  <c r="Y109" i="1"/>
  <c r="Z109" i="1"/>
  <c r="N203" i="1"/>
  <c r="S203" i="1"/>
  <c r="T203" i="1"/>
  <c r="U203" i="1"/>
  <c r="Z203" i="1"/>
  <c r="Y147" i="1"/>
  <c r="N147" i="1"/>
  <c r="S147" i="1"/>
  <c r="T147" i="1"/>
  <c r="U147" i="1"/>
  <c r="Z147" i="1"/>
  <c r="AB19" i="1"/>
  <c r="B19" i="1" s="1"/>
  <c r="Y19" i="1" s="1"/>
  <c r="Z19" i="1"/>
  <c r="U19" i="1"/>
  <c r="T19" i="1"/>
  <c r="S19" i="1"/>
  <c r="N19" i="1"/>
  <c r="N42" i="1"/>
  <c r="S42" i="1"/>
  <c r="T42" i="1"/>
  <c r="U42" i="1"/>
  <c r="Y42" i="1"/>
  <c r="Z42" i="1"/>
  <c r="J196" i="1" l="1"/>
  <c r="V189" i="1"/>
  <c r="W189" i="1" s="1"/>
  <c r="R189" i="1" s="1"/>
  <c r="J189" i="1" s="1"/>
  <c r="V9" i="1"/>
  <c r="W9" i="1" s="1"/>
  <c r="R9" i="1" s="1"/>
  <c r="J9" i="1" s="1"/>
  <c r="V190" i="1"/>
  <c r="W190" i="1" s="1"/>
  <c r="R190" i="1" s="1"/>
  <c r="J190" i="1" s="1"/>
  <c r="V42" i="1"/>
  <c r="W42" i="1" s="1"/>
  <c r="R42" i="1" s="1"/>
  <c r="J42" i="1" s="1"/>
  <c r="V109" i="1"/>
  <c r="W109" i="1" s="1"/>
  <c r="R109" i="1" s="1"/>
  <c r="J109" i="1" s="1"/>
  <c r="V203" i="1"/>
  <c r="W203" i="1" s="1"/>
  <c r="R203" i="1" s="1"/>
  <c r="J203" i="1" s="1"/>
  <c r="V147" i="1"/>
  <c r="W147" i="1" s="1"/>
  <c r="R147" i="1" s="1"/>
  <c r="J147" i="1" s="1"/>
  <c r="V19" i="1"/>
  <c r="W19" i="1" s="1"/>
  <c r="R19" i="1" s="1"/>
  <c r="J19" i="1" s="1"/>
  <c r="F44" i="2" l="1"/>
  <c r="H44" i="2"/>
  <c r="I44" i="2"/>
  <c r="J44" i="2"/>
  <c r="F2" i="2" l="1"/>
  <c r="G8" i="2" s="1"/>
  <c r="H139" i="2"/>
  <c r="H140" i="2"/>
  <c r="H141" i="2"/>
  <c r="H142" i="2"/>
  <c r="H143" i="2"/>
  <c r="I139" i="2"/>
  <c r="I140" i="2"/>
  <c r="I141" i="2"/>
  <c r="I142" i="2"/>
  <c r="I143" i="2"/>
  <c r="J139" i="2"/>
  <c r="J140" i="2"/>
  <c r="J141" i="2"/>
  <c r="J142" i="2"/>
  <c r="J143" i="2"/>
  <c r="F139" i="2"/>
  <c r="F140" i="2"/>
  <c r="F141" i="2"/>
  <c r="F142" i="2"/>
  <c r="F143" i="2"/>
  <c r="G2" i="2" l="1"/>
  <c r="Z123" i="1"/>
  <c r="Y123" i="1"/>
  <c r="U123" i="1"/>
  <c r="T123" i="1"/>
  <c r="S123" i="1"/>
  <c r="N123" i="1"/>
  <c r="N161" i="1"/>
  <c r="S161" i="1"/>
  <c r="T161" i="1"/>
  <c r="U161" i="1"/>
  <c r="Y161" i="1"/>
  <c r="Z161" i="1"/>
  <c r="N162" i="1"/>
  <c r="S162" i="1"/>
  <c r="T162" i="1"/>
  <c r="U162" i="1"/>
  <c r="Y162" i="1"/>
  <c r="Z162" i="1"/>
  <c r="Y69" i="1"/>
  <c r="N69" i="1"/>
  <c r="S69" i="1"/>
  <c r="T69" i="1"/>
  <c r="U69" i="1"/>
  <c r="Z69" i="1"/>
  <c r="N70" i="1"/>
  <c r="S70" i="1"/>
  <c r="T70" i="1"/>
  <c r="U70" i="1"/>
  <c r="Y70" i="1"/>
  <c r="Z70" i="1"/>
  <c r="Z142" i="1"/>
  <c r="Y142" i="1"/>
  <c r="U142" i="1"/>
  <c r="T142" i="1"/>
  <c r="S142" i="1"/>
  <c r="N142" i="1"/>
  <c r="AB175" i="1"/>
  <c r="B175" i="1" s="1"/>
  <c r="AB174" i="1"/>
  <c r="B174" i="1" s="1"/>
  <c r="N111" i="1"/>
  <c r="S111" i="1"/>
  <c r="T111" i="1"/>
  <c r="U111" i="1"/>
  <c r="Y111" i="1"/>
  <c r="Z111" i="1"/>
  <c r="N32" i="1"/>
  <c r="S32" i="1"/>
  <c r="T32" i="1"/>
  <c r="U32" i="1"/>
  <c r="Y32" i="1"/>
  <c r="Z32" i="1"/>
  <c r="N200" i="1"/>
  <c r="S200" i="1"/>
  <c r="T200" i="1"/>
  <c r="U200" i="1"/>
  <c r="Y200" i="1"/>
  <c r="Z200" i="1"/>
  <c r="N197" i="1"/>
  <c r="S197" i="1"/>
  <c r="T197" i="1"/>
  <c r="U197" i="1"/>
  <c r="Y197" i="1"/>
  <c r="Z197" i="1"/>
  <c r="Z107" i="1"/>
  <c r="Z108" i="1"/>
  <c r="Y107" i="1"/>
  <c r="Y108" i="1"/>
  <c r="U107" i="1"/>
  <c r="U108" i="1"/>
  <c r="T107" i="1"/>
  <c r="T108" i="1"/>
  <c r="S107" i="1"/>
  <c r="S108" i="1"/>
  <c r="N107" i="1"/>
  <c r="N108" i="1"/>
  <c r="Z151" i="1"/>
  <c r="Y151" i="1"/>
  <c r="U151" i="1"/>
  <c r="T151" i="1"/>
  <c r="S151" i="1"/>
  <c r="N151" i="1"/>
  <c r="Z114" i="1"/>
  <c r="Y114" i="1"/>
  <c r="U114" i="1"/>
  <c r="T114" i="1"/>
  <c r="S114" i="1"/>
  <c r="N114" i="1"/>
  <c r="N113" i="1"/>
  <c r="S113" i="1"/>
  <c r="T113" i="1"/>
  <c r="U113" i="1"/>
  <c r="Y113" i="1"/>
  <c r="Z113" i="1"/>
  <c r="N140" i="1"/>
  <c r="S140" i="1"/>
  <c r="T140" i="1"/>
  <c r="U140" i="1"/>
  <c r="Y140" i="1"/>
  <c r="Z140" i="1"/>
  <c r="N5" i="1"/>
  <c r="S5" i="1"/>
  <c r="T5" i="1"/>
  <c r="U5" i="1"/>
  <c r="Y5" i="1"/>
  <c r="Z5" i="1"/>
  <c r="Z191" i="1"/>
  <c r="Z93" i="1"/>
  <c r="V113" i="1" l="1"/>
  <c r="W113" i="1" s="1"/>
  <c r="V123" i="1"/>
  <c r="W123" i="1" s="1"/>
  <c r="V161" i="1"/>
  <c r="W161" i="1" s="1"/>
  <c r="V162" i="1"/>
  <c r="W162" i="1" s="1"/>
  <c r="V111" i="1"/>
  <c r="W111" i="1" s="1"/>
  <c r="V70" i="1"/>
  <c r="W70" i="1" s="1"/>
  <c r="V142" i="1"/>
  <c r="W142" i="1" s="1"/>
  <c r="V69" i="1"/>
  <c r="W69" i="1" s="1"/>
  <c r="V107" i="1"/>
  <c r="W107" i="1" s="1"/>
  <c r="V114" i="1"/>
  <c r="W114" i="1" s="1"/>
  <c r="V140" i="1"/>
  <c r="W140" i="1" s="1"/>
  <c r="V197" i="1"/>
  <c r="W197" i="1" s="1"/>
  <c r="V200" i="1"/>
  <c r="W200" i="1" s="1"/>
  <c r="V32" i="1"/>
  <c r="W32" i="1" s="1"/>
  <c r="V108" i="1"/>
  <c r="W108" i="1" s="1"/>
  <c r="V151" i="1"/>
  <c r="W151" i="1" s="1"/>
  <c r="V5" i="1"/>
  <c r="W5" i="1" s="1"/>
  <c r="R140" i="1" l="1"/>
  <c r="J140" i="1" s="1"/>
  <c r="R111" i="1"/>
  <c r="J111" i="1" s="1"/>
  <c r="R123" i="1"/>
  <c r="J123" i="1" s="1"/>
  <c r="R5" i="1"/>
  <c r="J5" i="1" s="1"/>
  <c r="R162" i="1"/>
  <c r="J162" i="1" s="1"/>
  <c r="R114" i="1"/>
  <c r="J114" i="1" s="1"/>
  <c r="R113" i="1"/>
  <c r="J113" i="1" s="1"/>
  <c r="R142" i="1"/>
  <c r="J142" i="1" s="1"/>
  <c r="R161" i="1"/>
  <c r="J161" i="1" s="1"/>
  <c r="R107" i="1"/>
  <c r="J107" i="1" s="1"/>
  <c r="R151" i="1"/>
  <c r="J151" i="1" s="1"/>
  <c r="R108" i="1"/>
  <c r="J108" i="1" s="1"/>
  <c r="R197" i="1"/>
  <c r="J197" i="1" s="1"/>
  <c r="R32" i="1"/>
  <c r="J32" i="1" s="1"/>
  <c r="R69" i="1"/>
  <c r="J69" i="1" s="1"/>
  <c r="R200" i="1"/>
  <c r="J200" i="1" s="1"/>
  <c r="R70" i="1"/>
  <c r="J70" i="1" s="1"/>
  <c r="AB89" i="1"/>
  <c r="B89" i="1" s="1"/>
  <c r="N148" i="1"/>
  <c r="S148" i="1"/>
  <c r="T148" i="1"/>
  <c r="U148" i="1"/>
  <c r="Y148" i="1"/>
  <c r="Z148" i="1"/>
  <c r="N88" i="1"/>
  <c r="S88" i="1"/>
  <c r="T88" i="1"/>
  <c r="U88" i="1"/>
  <c r="Y88" i="1"/>
  <c r="Z88" i="1"/>
  <c r="Z75" i="1"/>
  <c r="Y75" i="1"/>
  <c r="U75" i="1"/>
  <c r="T75" i="1"/>
  <c r="S75" i="1"/>
  <c r="N75" i="1"/>
  <c r="V88" i="1" l="1"/>
  <c r="W88" i="1" s="1"/>
  <c r="V148" i="1"/>
  <c r="W148" i="1" s="1"/>
  <c r="V75" i="1"/>
  <c r="W75" i="1" s="1"/>
  <c r="AB48" i="1"/>
  <c r="B48" i="1" s="1"/>
  <c r="R75" i="1" l="1"/>
  <c r="J75" i="1" s="1"/>
  <c r="R148" i="1"/>
  <c r="J148" i="1" s="1"/>
  <c r="R88" i="1"/>
  <c r="J88" i="1" s="1"/>
  <c r="N97" i="1"/>
  <c r="S97" i="1"/>
  <c r="T97" i="1"/>
  <c r="U97" i="1"/>
  <c r="Y97" i="1"/>
  <c r="Z97" i="1"/>
  <c r="N164" i="1"/>
  <c r="S164" i="1"/>
  <c r="T164" i="1"/>
  <c r="U164" i="1"/>
  <c r="Y164" i="1"/>
  <c r="Z164" i="1"/>
  <c r="N194" i="1"/>
  <c r="S194" i="1"/>
  <c r="T194" i="1"/>
  <c r="U194" i="1"/>
  <c r="Y194" i="1"/>
  <c r="Z194" i="1"/>
  <c r="N50" i="1"/>
  <c r="S50" i="1"/>
  <c r="T50" i="1"/>
  <c r="U50" i="1"/>
  <c r="Y50" i="1"/>
  <c r="Z50" i="1"/>
  <c r="N39" i="1"/>
  <c r="S39" i="1"/>
  <c r="T39" i="1"/>
  <c r="U39" i="1"/>
  <c r="Y39" i="1"/>
  <c r="Z39" i="1"/>
  <c r="N77" i="1"/>
  <c r="S77" i="1"/>
  <c r="T77" i="1"/>
  <c r="U77" i="1"/>
  <c r="Y77" i="1"/>
  <c r="Z77" i="1"/>
  <c r="N40" i="1"/>
  <c r="S40" i="1"/>
  <c r="T40" i="1"/>
  <c r="U40" i="1"/>
  <c r="Y40" i="1"/>
  <c r="Z40" i="1"/>
  <c r="N65" i="1"/>
  <c r="S65" i="1"/>
  <c r="T65" i="1"/>
  <c r="U65" i="1"/>
  <c r="Y65" i="1"/>
  <c r="Z65" i="1"/>
  <c r="N41" i="1"/>
  <c r="S41" i="1"/>
  <c r="T41" i="1"/>
  <c r="U41" i="1"/>
  <c r="Y41" i="1"/>
  <c r="Z41" i="1"/>
  <c r="N177" i="1"/>
  <c r="S177" i="1"/>
  <c r="T177" i="1"/>
  <c r="U177" i="1"/>
  <c r="Y177" i="1"/>
  <c r="Z177" i="1"/>
  <c r="N179" i="1"/>
  <c r="S179" i="1"/>
  <c r="T179" i="1"/>
  <c r="U179" i="1"/>
  <c r="Y179" i="1"/>
  <c r="Z179" i="1"/>
  <c r="N79" i="1"/>
  <c r="S79" i="1"/>
  <c r="T79" i="1"/>
  <c r="U79" i="1"/>
  <c r="Y79" i="1"/>
  <c r="Z79" i="1"/>
  <c r="N128" i="1"/>
  <c r="S128" i="1"/>
  <c r="T128" i="1"/>
  <c r="U128" i="1"/>
  <c r="Y128" i="1"/>
  <c r="Z128" i="1"/>
  <c r="N129" i="1"/>
  <c r="S129" i="1"/>
  <c r="T129" i="1"/>
  <c r="U129" i="1"/>
  <c r="Y129" i="1"/>
  <c r="Z129" i="1"/>
  <c r="N48" i="1"/>
  <c r="S48" i="1"/>
  <c r="T48" i="1"/>
  <c r="U48" i="1"/>
  <c r="Y48" i="1"/>
  <c r="Z48" i="1"/>
  <c r="N98" i="1"/>
  <c r="S98" i="1"/>
  <c r="T98" i="1"/>
  <c r="U98" i="1"/>
  <c r="Y98" i="1"/>
  <c r="Z98" i="1"/>
  <c r="N99" i="1"/>
  <c r="S99" i="1"/>
  <c r="T99" i="1"/>
  <c r="U99" i="1"/>
  <c r="Y99" i="1"/>
  <c r="Z99" i="1"/>
  <c r="N66" i="1"/>
  <c r="S66" i="1"/>
  <c r="T66" i="1"/>
  <c r="U66" i="1"/>
  <c r="Y66" i="1"/>
  <c r="Z66" i="1"/>
  <c r="N67" i="1"/>
  <c r="S67" i="1"/>
  <c r="T67" i="1"/>
  <c r="U67" i="1"/>
  <c r="Y67" i="1"/>
  <c r="Z67" i="1"/>
  <c r="N100" i="1"/>
  <c r="S100" i="1"/>
  <c r="T100" i="1"/>
  <c r="U100" i="1"/>
  <c r="Y100" i="1"/>
  <c r="Z100" i="1"/>
  <c r="N96" i="1"/>
  <c r="S96" i="1"/>
  <c r="T96" i="1"/>
  <c r="U96" i="1"/>
  <c r="Y96" i="1"/>
  <c r="Z96" i="1"/>
  <c r="N195" i="1"/>
  <c r="S195" i="1"/>
  <c r="T195" i="1"/>
  <c r="U195" i="1"/>
  <c r="Y195" i="1"/>
  <c r="Z195" i="1"/>
  <c r="N165" i="1"/>
  <c r="S165" i="1"/>
  <c r="T165" i="1"/>
  <c r="U165" i="1"/>
  <c r="Y165" i="1"/>
  <c r="Z165" i="1"/>
  <c r="N101" i="1"/>
  <c r="S101" i="1"/>
  <c r="T101" i="1"/>
  <c r="U101" i="1"/>
  <c r="Y101" i="1"/>
  <c r="Z101" i="1"/>
  <c r="N57" i="1"/>
  <c r="S57" i="1"/>
  <c r="T57" i="1"/>
  <c r="U57" i="1"/>
  <c r="Y57" i="1"/>
  <c r="Z57" i="1"/>
  <c r="N58" i="1"/>
  <c r="S58" i="1"/>
  <c r="T58" i="1"/>
  <c r="U58" i="1"/>
  <c r="Y58" i="1"/>
  <c r="Z58" i="1"/>
  <c r="N59" i="1"/>
  <c r="S59" i="1"/>
  <c r="T59" i="1"/>
  <c r="U59" i="1"/>
  <c r="Y59" i="1"/>
  <c r="Z59" i="1"/>
  <c r="N110" i="1"/>
  <c r="S110" i="1"/>
  <c r="T110" i="1"/>
  <c r="U110" i="1"/>
  <c r="Y110" i="1"/>
  <c r="Z110" i="1"/>
  <c r="N103" i="1"/>
  <c r="S103" i="1"/>
  <c r="T103" i="1"/>
  <c r="U103" i="1"/>
  <c r="Y103" i="1"/>
  <c r="Z103" i="1"/>
  <c r="N81" i="1"/>
  <c r="S81" i="1"/>
  <c r="T81" i="1"/>
  <c r="U81" i="1"/>
  <c r="Y81" i="1"/>
  <c r="Z81" i="1"/>
  <c r="N36" i="1"/>
  <c r="S36" i="1"/>
  <c r="T36" i="1"/>
  <c r="U36" i="1"/>
  <c r="Y36" i="1"/>
  <c r="Z36" i="1"/>
  <c r="N37" i="1"/>
  <c r="S37" i="1"/>
  <c r="T37" i="1"/>
  <c r="U37" i="1"/>
  <c r="Y37" i="1"/>
  <c r="Z37" i="1"/>
  <c r="N78" i="1"/>
  <c r="S78" i="1"/>
  <c r="T78" i="1"/>
  <c r="U78" i="1"/>
  <c r="Y78" i="1"/>
  <c r="Z78" i="1"/>
  <c r="N44" i="1"/>
  <c r="S44" i="1"/>
  <c r="T44" i="1"/>
  <c r="U44" i="1"/>
  <c r="Y44" i="1"/>
  <c r="Z44" i="1"/>
  <c r="N45" i="1"/>
  <c r="S45" i="1"/>
  <c r="T45" i="1"/>
  <c r="U45" i="1"/>
  <c r="Y45" i="1"/>
  <c r="Z45" i="1"/>
  <c r="N180" i="1"/>
  <c r="S180" i="1"/>
  <c r="T180" i="1"/>
  <c r="U180" i="1"/>
  <c r="Y180" i="1"/>
  <c r="Z180" i="1"/>
  <c r="N178" i="1"/>
  <c r="S178" i="1"/>
  <c r="T178" i="1"/>
  <c r="U178" i="1"/>
  <c r="Y178" i="1"/>
  <c r="Z178" i="1"/>
  <c r="N155" i="1"/>
  <c r="S155" i="1"/>
  <c r="T155" i="1"/>
  <c r="U155" i="1"/>
  <c r="Y155" i="1"/>
  <c r="Z155" i="1"/>
  <c r="N73" i="1"/>
  <c r="S73" i="1"/>
  <c r="T73" i="1"/>
  <c r="U73" i="1"/>
  <c r="Y73" i="1"/>
  <c r="Z73" i="1"/>
  <c r="N160" i="1"/>
  <c r="S160" i="1"/>
  <c r="T160" i="1"/>
  <c r="U160" i="1"/>
  <c r="Y160" i="1"/>
  <c r="Z160" i="1"/>
  <c r="N181" i="1"/>
  <c r="S181" i="1"/>
  <c r="T181" i="1"/>
  <c r="U181" i="1"/>
  <c r="Y181" i="1"/>
  <c r="Z181" i="1"/>
  <c r="N82" i="1"/>
  <c r="S82" i="1"/>
  <c r="T82" i="1"/>
  <c r="U82" i="1"/>
  <c r="Y82" i="1"/>
  <c r="Z82" i="1"/>
  <c r="N83" i="1"/>
  <c r="S83" i="1"/>
  <c r="T83" i="1"/>
  <c r="U83" i="1"/>
  <c r="Y83" i="1"/>
  <c r="Z83" i="1"/>
  <c r="N84" i="1"/>
  <c r="S84" i="1"/>
  <c r="T84" i="1"/>
  <c r="U84" i="1"/>
  <c r="Y84" i="1"/>
  <c r="Z84" i="1"/>
  <c r="N47" i="1"/>
  <c r="S47" i="1"/>
  <c r="T47" i="1"/>
  <c r="U47" i="1"/>
  <c r="Y47" i="1"/>
  <c r="Z47" i="1"/>
  <c r="N38" i="1"/>
  <c r="S38" i="1"/>
  <c r="T38" i="1"/>
  <c r="U38" i="1"/>
  <c r="Y38" i="1"/>
  <c r="Z38" i="1"/>
  <c r="N89" i="1"/>
  <c r="S89" i="1"/>
  <c r="T89" i="1"/>
  <c r="U89" i="1"/>
  <c r="Y89" i="1"/>
  <c r="Z89" i="1"/>
  <c r="N90" i="1"/>
  <c r="S90" i="1"/>
  <c r="T90" i="1"/>
  <c r="U90" i="1"/>
  <c r="Y90" i="1"/>
  <c r="Z90" i="1"/>
  <c r="N60" i="1"/>
  <c r="S60" i="1"/>
  <c r="T60" i="1"/>
  <c r="U60" i="1"/>
  <c r="Y60" i="1"/>
  <c r="Z60" i="1"/>
  <c r="N62" i="1"/>
  <c r="S62" i="1"/>
  <c r="T62" i="1"/>
  <c r="U62" i="1"/>
  <c r="Y62" i="1"/>
  <c r="Z62" i="1"/>
  <c r="N63" i="1"/>
  <c r="S63" i="1"/>
  <c r="T63" i="1"/>
  <c r="U63" i="1"/>
  <c r="Y63" i="1"/>
  <c r="Z63" i="1"/>
  <c r="N91" i="1"/>
  <c r="S91" i="1"/>
  <c r="T91" i="1"/>
  <c r="U91" i="1"/>
  <c r="Y91" i="1"/>
  <c r="Z91" i="1"/>
  <c r="N64" i="1"/>
  <c r="S64" i="1"/>
  <c r="T64" i="1"/>
  <c r="U64" i="1"/>
  <c r="Y64" i="1"/>
  <c r="Z64" i="1"/>
  <c r="N4" i="1"/>
  <c r="S4" i="1"/>
  <c r="T4" i="1"/>
  <c r="U4" i="1"/>
  <c r="Y4" i="1"/>
  <c r="Z4" i="1"/>
  <c r="N141" i="1"/>
  <c r="S141" i="1"/>
  <c r="T141" i="1"/>
  <c r="U141" i="1"/>
  <c r="Y141" i="1"/>
  <c r="Z141" i="1"/>
  <c r="N210" i="1"/>
  <c r="S210" i="1"/>
  <c r="T210" i="1"/>
  <c r="U210" i="1"/>
  <c r="Y210" i="1"/>
  <c r="Z210" i="1"/>
  <c r="N134" i="1"/>
  <c r="S134" i="1"/>
  <c r="T134" i="1"/>
  <c r="U134" i="1"/>
  <c r="Y134" i="1"/>
  <c r="Z134" i="1"/>
  <c r="N135" i="1"/>
  <c r="S135" i="1"/>
  <c r="T135" i="1"/>
  <c r="U135" i="1"/>
  <c r="Y135" i="1"/>
  <c r="Z135" i="1"/>
  <c r="N136" i="1"/>
  <c r="S136" i="1"/>
  <c r="T136" i="1"/>
  <c r="U136" i="1"/>
  <c r="Y136" i="1"/>
  <c r="Z136" i="1"/>
  <c r="N7" i="1"/>
  <c r="S7" i="1"/>
  <c r="T7" i="1"/>
  <c r="U7" i="1"/>
  <c r="Y7" i="1"/>
  <c r="Z7" i="1"/>
  <c r="N6" i="1"/>
  <c r="S6" i="1"/>
  <c r="T6" i="1"/>
  <c r="U6" i="1"/>
  <c r="Y6" i="1"/>
  <c r="Z6" i="1"/>
  <c r="N171" i="1"/>
  <c r="S171" i="1"/>
  <c r="T171" i="1"/>
  <c r="U171" i="1"/>
  <c r="Y171" i="1"/>
  <c r="Z171" i="1"/>
  <c r="N74" i="1"/>
  <c r="S74" i="1"/>
  <c r="T74" i="1"/>
  <c r="U74" i="1"/>
  <c r="Y74" i="1"/>
  <c r="Z74" i="1"/>
  <c r="N115" i="1"/>
  <c r="S115" i="1"/>
  <c r="T115" i="1"/>
  <c r="U115" i="1"/>
  <c r="Y115" i="1"/>
  <c r="Z115" i="1"/>
  <c r="N173" i="1"/>
  <c r="S173" i="1"/>
  <c r="T173" i="1"/>
  <c r="U173" i="1"/>
  <c r="Y173" i="1"/>
  <c r="Z173" i="1"/>
  <c r="N170" i="1"/>
  <c r="S170" i="1"/>
  <c r="T170" i="1"/>
  <c r="U170" i="1"/>
  <c r="Y170" i="1"/>
  <c r="Z170" i="1"/>
  <c r="N30" i="1"/>
  <c r="S30" i="1"/>
  <c r="T30" i="1"/>
  <c r="U30" i="1"/>
  <c r="Y30" i="1"/>
  <c r="Z30" i="1"/>
  <c r="N31" i="1"/>
  <c r="S31" i="1"/>
  <c r="T31" i="1"/>
  <c r="U31" i="1"/>
  <c r="Y31" i="1"/>
  <c r="Z31" i="1"/>
  <c r="N112" i="1"/>
  <c r="S112" i="1"/>
  <c r="T112" i="1"/>
  <c r="U112" i="1"/>
  <c r="Y112" i="1"/>
  <c r="Z112" i="1"/>
  <c r="N125" i="1"/>
  <c r="S125" i="1"/>
  <c r="T125" i="1"/>
  <c r="U125" i="1"/>
  <c r="Y125" i="1"/>
  <c r="Z125" i="1"/>
  <c r="N120" i="1"/>
  <c r="S120" i="1"/>
  <c r="T120" i="1"/>
  <c r="U120" i="1"/>
  <c r="Y120" i="1"/>
  <c r="Z120" i="1"/>
  <c r="N138" i="1"/>
  <c r="S138" i="1"/>
  <c r="T138" i="1"/>
  <c r="U138" i="1"/>
  <c r="Y138" i="1"/>
  <c r="Z138" i="1"/>
  <c r="N20" i="1"/>
  <c r="S20" i="1"/>
  <c r="T20" i="1"/>
  <c r="U20" i="1"/>
  <c r="Y20" i="1"/>
  <c r="Z20" i="1"/>
  <c r="N21" i="1"/>
  <c r="S21" i="1"/>
  <c r="T21" i="1"/>
  <c r="U21" i="1"/>
  <c r="Y21" i="1"/>
  <c r="Z21" i="1"/>
  <c r="N22" i="1"/>
  <c r="S22" i="1"/>
  <c r="T22" i="1"/>
  <c r="U22" i="1"/>
  <c r="Y22" i="1"/>
  <c r="Z22" i="1"/>
  <c r="N23" i="1"/>
  <c r="S23" i="1"/>
  <c r="T23" i="1"/>
  <c r="U23" i="1"/>
  <c r="Y23" i="1"/>
  <c r="Z23" i="1"/>
  <c r="N146" i="1"/>
  <c r="S146" i="1"/>
  <c r="T146" i="1"/>
  <c r="U146" i="1"/>
  <c r="Y146" i="1"/>
  <c r="Z146" i="1"/>
  <c r="N166" i="1"/>
  <c r="S166" i="1"/>
  <c r="T166" i="1"/>
  <c r="U166" i="1"/>
  <c r="Y166" i="1"/>
  <c r="Z166" i="1"/>
  <c r="N205" i="1"/>
  <c r="S205" i="1"/>
  <c r="T205" i="1"/>
  <c r="U205" i="1"/>
  <c r="Y205" i="1"/>
  <c r="Z205" i="1"/>
  <c r="N168" i="1"/>
  <c r="S168" i="1"/>
  <c r="T168" i="1"/>
  <c r="U168" i="1"/>
  <c r="Y168" i="1"/>
  <c r="Z168" i="1"/>
  <c r="N18" i="1"/>
  <c r="S18" i="1"/>
  <c r="T18" i="1"/>
  <c r="U18" i="1"/>
  <c r="Y18" i="1"/>
  <c r="Z18" i="1"/>
  <c r="N8" i="1"/>
  <c r="S8" i="1"/>
  <c r="T8" i="1"/>
  <c r="U8" i="1"/>
  <c r="Y8" i="1"/>
  <c r="Z8" i="1"/>
  <c r="N169" i="1"/>
  <c r="S169" i="1"/>
  <c r="T169" i="1"/>
  <c r="U169" i="1"/>
  <c r="Y169" i="1"/>
  <c r="Z169" i="1"/>
  <c r="N116" i="1"/>
  <c r="S116" i="1"/>
  <c r="T116" i="1"/>
  <c r="U116" i="1"/>
  <c r="Y116" i="1"/>
  <c r="Z116" i="1"/>
  <c r="N174" i="1"/>
  <c r="S174" i="1"/>
  <c r="T174" i="1"/>
  <c r="U174" i="1"/>
  <c r="Y174" i="1"/>
  <c r="Z174" i="1"/>
  <c r="N175" i="1"/>
  <c r="S175" i="1"/>
  <c r="T175" i="1"/>
  <c r="U175" i="1"/>
  <c r="Y175" i="1"/>
  <c r="Z175" i="1"/>
  <c r="N121" i="1"/>
  <c r="S121" i="1"/>
  <c r="T121" i="1"/>
  <c r="U121" i="1"/>
  <c r="Y121" i="1"/>
  <c r="Z121" i="1"/>
  <c r="N122" i="1"/>
  <c r="S122" i="1"/>
  <c r="T122" i="1"/>
  <c r="U122" i="1"/>
  <c r="Y122" i="1"/>
  <c r="Z122" i="1"/>
  <c r="N124" i="1"/>
  <c r="S124" i="1"/>
  <c r="T124" i="1"/>
  <c r="U124" i="1"/>
  <c r="Y124" i="1"/>
  <c r="Z124" i="1"/>
  <c r="N137" i="1"/>
  <c r="S137" i="1"/>
  <c r="T137" i="1"/>
  <c r="U137" i="1"/>
  <c r="Y137" i="1"/>
  <c r="Z137" i="1"/>
  <c r="N33" i="1"/>
  <c r="S33" i="1"/>
  <c r="T33" i="1"/>
  <c r="U33" i="1"/>
  <c r="Y33" i="1"/>
  <c r="Z33" i="1"/>
  <c r="N145" i="1"/>
  <c r="S145" i="1"/>
  <c r="T145" i="1"/>
  <c r="U145" i="1"/>
  <c r="Y145" i="1"/>
  <c r="Z145" i="1"/>
  <c r="N71" i="1"/>
  <c r="S71" i="1"/>
  <c r="T71" i="1"/>
  <c r="U71" i="1"/>
  <c r="Y71" i="1"/>
  <c r="Z71" i="1"/>
  <c r="N68" i="1"/>
  <c r="S68" i="1"/>
  <c r="T68" i="1"/>
  <c r="U68" i="1"/>
  <c r="Y68" i="1"/>
  <c r="Z68" i="1"/>
  <c r="N2" i="1"/>
  <c r="S2" i="1"/>
  <c r="T2" i="1"/>
  <c r="U2" i="1"/>
  <c r="Y2" i="1"/>
  <c r="Z2" i="1"/>
  <c r="N11" i="1"/>
  <c r="S11" i="1"/>
  <c r="T11" i="1"/>
  <c r="U11" i="1"/>
  <c r="Y11" i="1"/>
  <c r="Z11" i="1"/>
  <c r="N3" i="1"/>
  <c r="S3" i="1"/>
  <c r="T3" i="1"/>
  <c r="U3" i="1"/>
  <c r="Y3" i="1"/>
  <c r="Z3" i="1"/>
  <c r="N143" i="1"/>
  <c r="S143" i="1"/>
  <c r="T143" i="1"/>
  <c r="U143" i="1"/>
  <c r="Y143" i="1"/>
  <c r="Z143" i="1"/>
  <c r="N127" i="1"/>
  <c r="S127" i="1"/>
  <c r="T127" i="1"/>
  <c r="U127" i="1"/>
  <c r="Y127" i="1"/>
  <c r="Z127" i="1"/>
  <c r="N139" i="1"/>
  <c r="S139" i="1"/>
  <c r="T139" i="1"/>
  <c r="U139" i="1"/>
  <c r="Y139" i="1"/>
  <c r="Z139" i="1"/>
  <c r="N204" i="1"/>
  <c r="S204" i="1"/>
  <c r="T204" i="1"/>
  <c r="U204" i="1"/>
  <c r="Y204" i="1"/>
  <c r="Z204" i="1"/>
  <c r="N199" i="1"/>
  <c r="S199" i="1"/>
  <c r="T199" i="1"/>
  <c r="U199" i="1"/>
  <c r="Y199" i="1"/>
  <c r="Z199" i="1"/>
  <c r="N176" i="1"/>
  <c r="S176" i="1"/>
  <c r="T176" i="1"/>
  <c r="U176" i="1"/>
  <c r="Y176" i="1"/>
  <c r="Z176" i="1"/>
  <c r="N24" i="1"/>
  <c r="S24" i="1"/>
  <c r="T24" i="1"/>
  <c r="U24" i="1"/>
  <c r="Y24" i="1"/>
  <c r="Z24" i="1"/>
  <c r="N93" i="1"/>
  <c r="S93" i="1"/>
  <c r="T93" i="1"/>
  <c r="U93" i="1"/>
  <c r="Y93" i="1"/>
  <c r="N191" i="1"/>
  <c r="S191" i="1"/>
  <c r="T191" i="1"/>
  <c r="U191" i="1"/>
  <c r="Y191" i="1"/>
  <c r="N94" i="1"/>
  <c r="S94" i="1"/>
  <c r="T94" i="1"/>
  <c r="U94" i="1"/>
  <c r="Y94" i="1"/>
  <c r="Z94" i="1"/>
  <c r="N95" i="1"/>
  <c r="S95" i="1"/>
  <c r="T95" i="1"/>
  <c r="U95" i="1"/>
  <c r="Y95" i="1"/>
  <c r="Z95" i="1"/>
  <c r="N193" i="1"/>
  <c r="S193" i="1"/>
  <c r="T193" i="1"/>
  <c r="U193" i="1"/>
  <c r="Y193" i="1"/>
  <c r="Z193" i="1"/>
  <c r="N56" i="1"/>
  <c r="S56" i="1"/>
  <c r="T56" i="1"/>
  <c r="U56" i="1"/>
  <c r="Y56" i="1"/>
  <c r="Z56" i="1"/>
  <c r="N152" i="1"/>
  <c r="S152" i="1"/>
  <c r="T152" i="1"/>
  <c r="U152" i="1"/>
  <c r="Y152" i="1"/>
  <c r="Z152" i="1"/>
  <c r="N26" i="1"/>
  <c r="S26" i="1"/>
  <c r="T26" i="1"/>
  <c r="U26" i="1"/>
  <c r="Y26" i="1"/>
  <c r="Z26" i="1"/>
  <c r="N29" i="1"/>
  <c r="S29" i="1"/>
  <c r="T29" i="1"/>
  <c r="U29" i="1"/>
  <c r="Y29" i="1"/>
  <c r="Z29" i="1"/>
  <c r="N150" i="1"/>
  <c r="S150" i="1"/>
  <c r="T150" i="1"/>
  <c r="U150" i="1"/>
  <c r="Y150" i="1"/>
  <c r="Z150" i="1"/>
  <c r="V125" i="1" l="1"/>
  <c r="W125" i="1" s="1"/>
  <c r="V100" i="1"/>
  <c r="W100" i="1" s="1"/>
  <c r="V7" i="1"/>
  <c r="W7" i="1" s="1"/>
  <c r="V181" i="1"/>
  <c r="W181" i="1" s="1"/>
  <c r="V82" i="1"/>
  <c r="W82" i="1" s="1"/>
  <c r="V89" i="1"/>
  <c r="W89" i="1" s="1"/>
  <c r="V26" i="1"/>
  <c r="W26" i="1" s="1"/>
  <c r="V56" i="1"/>
  <c r="W56" i="1" s="1"/>
  <c r="V146" i="1"/>
  <c r="W146" i="1" s="1"/>
  <c r="V74" i="1"/>
  <c r="W74" i="1" s="1"/>
  <c r="V180" i="1"/>
  <c r="W180" i="1" s="1"/>
  <c r="V96" i="1"/>
  <c r="W96" i="1" s="1"/>
  <c r="V112" i="1"/>
  <c r="W112" i="1" s="1"/>
  <c r="V120" i="1"/>
  <c r="W120" i="1" s="1"/>
  <c r="V95" i="1"/>
  <c r="W95" i="1" s="1"/>
  <c r="V124" i="1"/>
  <c r="W124" i="1" s="1"/>
  <c r="V18" i="1"/>
  <c r="W18" i="1" s="1"/>
  <c r="V115" i="1"/>
  <c r="W115" i="1" s="1"/>
  <c r="V58" i="1"/>
  <c r="W58" i="1" s="1"/>
  <c r="V98" i="1"/>
  <c r="W98" i="1" s="1"/>
  <c r="V97" i="1"/>
  <c r="W97" i="1" s="1"/>
  <c r="V90" i="1"/>
  <c r="W90" i="1" s="1"/>
  <c r="V21" i="1"/>
  <c r="W21" i="1" s="1"/>
  <c r="V29" i="1"/>
  <c r="W29" i="1" s="1"/>
  <c r="V168" i="1"/>
  <c r="W168" i="1" s="1"/>
  <c r="V94" i="1"/>
  <c r="W94" i="1" s="1"/>
  <c r="V141" i="1"/>
  <c r="W141" i="1" s="1"/>
  <c r="V91" i="1"/>
  <c r="W91" i="1" s="1"/>
  <c r="V41" i="1"/>
  <c r="W41" i="1" s="1"/>
  <c r="V173" i="1"/>
  <c r="W173" i="1" s="1"/>
  <c r="V81" i="1"/>
  <c r="W81" i="1" s="1"/>
  <c r="V4" i="1"/>
  <c r="W4" i="1" s="1"/>
  <c r="V36" i="1"/>
  <c r="W36" i="1" s="1"/>
  <c r="V199" i="1"/>
  <c r="W199" i="1" s="1"/>
  <c r="V139" i="1"/>
  <c r="W139" i="1" s="1"/>
  <c r="V122" i="1"/>
  <c r="W122" i="1" s="1"/>
  <c r="V22" i="1"/>
  <c r="W22" i="1" s="1"/>
  <c r="V78" i="1"/>
  <c r="W78" i="1" s="1"/>
  <c r="V179" i="1"/>
  <c r="W179" i="1" s="1"/>
  <c r="V3" i="1"/>
  <c r="W3" i="1" s="1"/>
  <c r="V45" i="1"/>
  <c r="W45" i="1" s="1"/>
  <c r="V2" i="1"/>
  <c r="W2" i="1" s="1"/>
  <c r="V175" i="1"/>
  <c r="W175" i="1" s="1"/>
  <c r="V193" i="1"/>
  <c r="W193" i="1" s="1"/>
  <c r="V134" i="1"/>
  <c r="W134" i="1" s="1"/>
  <c r="V166" i="1"/>
  <c r="W166" i="1" s="1"/>
  <c r="V24" i="1"/>
  <c r="W24" i="1" s="1"/>
  <c r="V62" i="1"/>
  <c r="W62" i="1" s="1"/>
  <c r="V38" i="1"/>
  <c r="W38" i="1" s="1"/>
  <c r="V210" i="1"/>
  <c r="W210" i="1" s="1"/>
  <c r="V160" i="1"/>
  <c r="W160" i="1" s="1"/>
  <c r="V6" i="1"/>
  <c r="W6" i="1" s="1"/>
  <c r="V39" i="1"/>
  <c r="W39" i="1" s="1"/>
  <c r="V59" i="1"/>
  <c r="W59" i="1" s="1"/>
  <c r="V116" i="1"/>
  <c r="W116" i="1" s="1"/>
  <c r="V143" i="1"/>
  <c r="W143" i="1" s="1"/>
  <c r="V135" i="1"/>
  <c r="W135" i="1" s="1"/>
  <c r="V191" i="1"/>
  <c r="W191" i="1" s="1"/>
  <c r="V8" i="1"/>
  <c r="W8" i="1" s="1"/>
  <c r="V171" i="1"/>
  <c r="W171" i="1" s="1"/>
  <c r="V83" i="1"/>
  <c r="W83" i="1" s="1"/>
  <c r="V37" i="1"/>
  <c r="W37" i="1" s="1"/>
  <c r="V65" i="1"/>
  <c r="W65" i="1" s="1"/>
  <c r="V77" i="1"/>
  <c r="W77" i="1" s="1"/>
  <c r="V137" i="1"/>
  <c r="W137" i="1" s="1"/>
  <c r="V63" i="1"/>
  <c r="W63" i="1" s="1"/>
  <c r="V177" i="1"/>
  <c r="W177" i="1" s="1"/>
  <c r="V68" i="1"/>
  <c r="W68" i="1" s="1"/>
  <c r="V110" i="1"/>
  <c r="W110" i="1" s="1"/>
  <c r="V33" i="1"/>
  <c r="W33" i="1" s="1"/>
  <c r="V174" i="1"/>
  <c r="W174" i="1" s="1"/>
  <c r="V169" i="1"/>
  <c r="W169" i="1" s="1"/>
  <c r="V44" i="1"/>
  <c r="W44" i="1" s="1"/>
  <c r="V79" i="1"/>
  <c r="W79" i="1" s="1"/>
  <c r="V121" i="1"/>
  <c r="W121" i="1" s="1"/>
  <c r="V30" i="1"/>
  <c r="W30" i="1" s="1"/>
  <c r="V64" i="1"/>
  <c r="W64" i="1" s="1"/>
  <c r="V47" i="1"/>
  <c r="W47" i="1" s="1"/>
  <c r="V165" i="1"/>
  <c r="W165" i="1" s="1"/>
  <c r="V48" i="1"/>
  <c r="W48" i="1" s="1"/>
  <c r="V150" i="1"/>
  <c r="W150" i="1" s="1"/>
  <c r="V71" i="1"/>
  <c r="W71" i="1" s="1"/>
  <c r="V205" i="1"/>
  <c r="W205" i="1" s="1"/>
  <c r="V129" i="1"/>
  <c r="W129" i="1" s="1"/>
  <c r="V194" i="1"/>
  <c r="W194" i="1" s="1"/>
  <c r="V11" i="1"/>
  <c r="W11" i="1" s="1"/>
  <c r="V204" i="1"/>
  <c r="W204" i="1" s="1"/>
  <c r="V20" i="1"/>
  <c r="W20" i="1" s="1"/>
  <c r="V93" i="1"/>
  <c r="W93" i="1" s="1"/>
  <c r="V155" i="1"/>
  <c r="W155" i="1" s="1"/>
  <c r="V57" i="1"/>
  <c r="W57" i="1" s="1"/>
  <c r="V99" i="1"/>
  <c r="W99" i="1" s="1"/>
  <c r="V40" i="1"/>
  <c r="W40" i="1" s="1"/>
  <c r="V31" i="1"/>
  <c r="W31" i="1" s="1"/>
  <c r="V73" i="1"/>
  <c r="W73" i="1" s="1"/>
  <c r="V127" i="1"/>
  <c r="W127" i="1" s="1"/>
  <c r="V138" i="1"/>
  <c r="W138" i="1" s="1"/>
  <c r="V136" i="1"/>
  <c r="W136" i="1" s="1"/>
  <c r="V60" i="1"/>
  <c r="W60" i="1" s="1"/>
  <c r="V67" i="1"/>
  <c r="W67" i="1" s="1"/>
  <c r="V50" i="1"/>
  <c r="W50" i="1" s="1"/>
  <c r="V66" i="1"/>
  <c r="W66" i="1" s="1"/>
  <c r="V103" i="1"/>
  <c r="W103" i="1" s="1"/>
  <c r="V176" i="1"/>
  <c r="W176" i="1" s="1"/>
  <c r="V145" i="1"/>
  <c r="W145" i="1" s="1"/>
  <c r="V23" i="1"/>
  <c r="W23" i="1" s="1"/>
  <c r="V84" i="1"/>
  <c r="W84" i="1" s="1"/>
  <c r="V178" i="1"/>
  <c r="W178" i="1" s="1"/>
  <c r="V195" i="1"/>
  <c r="W195" i="1" s="1"/>
  <c r="V128" i="1"/>
  <c r="W128" i="1" s="1"/>
  <c r="V152" i="1"/>
  <c r="W152" i="1" s="1"/>
  <c r="V170" i="1"/>
  <c r="W170" i="1" s="1"/>
  <c r="V101" i="1"/>
  <c r="W101" i="1" s="1"/>
  <c r="V164" i="1"/>
  <c r="W164" i="1" s="1"/>
  <c r="R22" i="1" l="1"/>
  <c r="J22" i="1" s="1"/>
  <c r="R29" i="1"/>
  <c r="J29" i="1" s="1"/>
  <c r="R21" i="1"/>
  <c r="J21" i="1" s="1"/>
  <c r="R191" i="1"/>
  <c r="J191" i="1" s="1"/>
  <c r="R26" i="1"/>
  <c r="J26" i="1" s="1"/>
  <c r="R20" i="1"/>
  <c r="J20" i="1" s="1"/>
  <c r="R79" i="1"/>
  <c r="J79" i="1" s="1"/>
  <c r="R44" i="1"/>
  <c r="J44" i="1" s="1"/>
  <c r="R38" i="1"/>
  <c r="J38" i="1" s="1"/>
  <c r="R8" i="1"/>
  <c r="J8" i="1" s="1"/>
  <c r="R128" i="1"/>
  <c r="J128" i="1" s="1"/>
  <c r="R71" i="1"/>
  <c r="J71" i="1" s="1"/>
  <c r="R174" i="1"/>
  <c r="J174" i="1" s="1"/>
  <c r="R166" i="1"/>
  <c r="J166" i="1" s="1"/>
  <c r="R4" i="1"/>
  <c r="R98" i="1"/>
  <c r="J98" i="1" s="1"/>
  <c r="R89" i="1"/>
  <c r="J89" i="1" s="1"/>
  <c r="R101" i="1"/>
  <c r="J101" i="1" s="1"/>
  <c r="R146" i="1"/>
  <c r="J146" i="1" s="1"/>
  <c r="R178" i="1"/>
  <c r="J178" i="1" s="1"/>
  <c r="R134" i="1"/>
  <c r="J134" i="1" s="1"/>
  <c r="R81" i="1"/>
  <c r="J81" i="1" s="1"/>
  <c r="R58" i="1"/>
  <c r="J58" i="1" s="1"/>
  <c r="R160" i="1"/>
  <c r="J160" i="1" s="1"/>
  <c r="R37" i="1"/>
  <c r="J37" i="1" s="1"/>
  <c r="R152" i="1"/>
  <c r="J152" i="1" s="1"/>
  <c r="R24" i="1"/>
  <c r="J24" i="1" s="1"/>
  <c r="R31" i="1"/>
  <c r="J31" i="1" s="1"/>
  <c r="R143" i="1"/>
  <c r="J143" i="1" s="1"/>
  <c r="R193" i="1"/>
  <c r="J193" i="1" s="1"/>
  <c r="R173" i="1"/>
  <c r="J173" i="1" s="1"/>
  <c r="R67" i="1"/>
  <c r="J67" i="1" s="1"/>
  <c r="R60" i="1"/>
  <c r="J60" i="1" s="1"/>
  <c r="R171" i="1"/>
  <c r="J171" i="1" s="1"/>
  <c r="R138" i="1"/>
  <c r="J138" i="1" s="1"/>
  <c r="R36" i="1"/>
  <c r="J36" i="1" s="1"/>
  <c r="R48" i="1"/>
  <c r="J48" i="1" s="1"/>
  <c r="R110" i="1"/>
  <c r="J110" i="1" s="1"/>
  <c r="R175" i="1"/>
  <c r="J175" i="1" s="1"/>
  <c r="R41" i="1"/>
  <c r="J41" i="1" s="1"/>
  <c r="R115" i="1"/>
  <c r="J115" i="1" s="1"/>
  <c r="R82" i="1"/>
  <c r="J82" i="1" s="1"/>
  <c r="R65" i="1"/>
  <c r="J65" i="1" s="1"/>
  <c r="R74" i="1"/>
  <c r="J74" i="1" s="1"/>
  <c r="R170" i="1"/>
  <c r="J170" i="1" s="1"/>
  <c r="R56" i="1"/>
  <c r="J56" i="1" s="1"/>
  <c r="R73" i="1"/>
  <c r="J73" i="1" s="1"/>
  <c r="R99" i="1"/>
  <c r="J99" i="1" s="1"/>
  <c r="R68" i="1"/>
  <c r="J68" i="1" s="1"/>
  <c r="R2" i="1"/>
  <c r="J2" i="1" s="1"/>
  <c r="R91" i="1"/>
  <c r="J91" i="1" s="1"/>
  <c r="R18" i="1"/>
  <c r="J18" i="1" s="1"/>
  <c r="R181" i="1"/>
  <c r="J181" i="1" s="1"/>
  <c r="R210" i="1"/>
  <c r="J210" i="1" s="1"/>
  <c r="R62" i="1"/>
  <c r="J62" i="1" s="1"/>
  <c r="R169" i="1"/>
  <c r="J169" i="1" s="1"/>
  <c r="R135" i="1"/>
  <c r="J135" i="1" s="1"/>
  <c r="R165" i="1"/>
  <c r="J165" i="1" s="1"/>
  <c r="R116" i="1"/>
  <c r="J116" i="1" s="1"/>
  <c r="R141" i="1"/>
  <c r="J141" i="1" s="1"/>
  <c r="R124" i="1"/>
  <c r="J124" i="1" s="1"/>
  <c r="R7" i="1"/>
  <c r="J7" i="1" s="1"/>
  <c r="R11" i="1"/>
  <c r="J11" i="1" s="1"/>
  <c r="R139" i="1"/>
  <c r="J139" i="1" s="1"/>
  <c r="R199" i="1"/>
  <c r="J199" i="1" s="1"/>
  <c r="R127" i="1"/>
  <c r="J127" i="1" s="1"/>
  <c r="R103" i="1"/>
  <c r="J103" i="1" s="1"/>
  <c r="R3" i="1"/>
  <c r="J5" i="16" s="1"/>
  <c r="R94" i="1"/>
  <c r="J94" i="1" s="1"/>
  <c r="R95" i="1"/>
  <c r="J95" i="1" s="1"/>
  <c r="R204" i="1"/>
  <c r="J204" i="1" s="1"/>
  <c r="R83" i="1"/>
  <c r="J83" i="1" s="1"/>
  <c r="R194" i="1"/>
  <c r="J194" i="1" s="1"/>
  <c r="R90" i="1"/>
  <c r="J90" i="1" s="1"/>
  <c r="R195" i="1"/>
  <c r="J195" i="1" s="1"/>
  <c r="R84" i="1"/>
  <c r="J84" i="1" s="1"/>
  <c r="R145" i="1"/>
  <c r="J145" i="1" s="1"/>
  <c r="R47" i="1"/>
  <c r="J47" i="1" s="1"/>
  <c r="R45" i="1"/>
  <c r="J45" i="1" s="1"/>
  <c r="R155" i="1"/>
  <c r="J155" i="1" s="1"/>
  <c r="R177" i="1"/>
  <c r="J177" i="1" s="1"/>
  <c r="R64" i="1"/>
  <c r="J64" i="1" s="1"/>
  <c r="R63" i="1"/>
  <c r="J63" i="1" s="1"/>
  <c r="R59" i="1"/>
  <c r="J59" i="1" s="1"/>
  <c r="R179" i="1"/>
  <c r="J179" i="1" s="1"/>
  <c r="R120" i="1"/>
  <c r="J120" i="1" s="1"/>
  <c r="R100" i="1"/>
  <c r="J100" i="1" s="1"/>
  <c r="R180" i="1"/>
  <c r="J180" i="1" s="1"/>
  <c r="R122" i="1"/>
  <c r="J122" i="1" s="1"/>
  <c r="R136" i="1"/>
  <c r="J136" i="1" s="1"/>
  <c r="R129" i="1"/>
  <c r="J129" i="1" s="1"/>
  <c r="R150" i="1"/>
  <c r="J150" i="1" s="1"/>
  <c r="R40" i="1"/>
  <c r="J40" i="1" s="1"/>
  <c r="R57" i="1"/>
  <c r="J57" i="1" s="1"/>
  <c r="R30" i="1"/>
  <c r="J30" i="1" s="1"/>
  <c r="R137" i="1"/>
  <c r="J137" i="1" s="1"/>
  <c r="R39" i="1"/>
  <c r="J39" i="1" s="1"/>
  <c r="R78" i="1"/>
  <c r="J78" i="1" s="1"/>
  <c r="R168" i="1"/>
  <c r="J168" i="1" s="1"/>
  <c r="R112" i="1"/>
  <c r="J112" i="1" s="1"/>
  <c r="R125" i="1"/>
  <c r="J125" i="1" s="1"/>
  <c r="R50" i="1"/>
  <c r="J50" i="1" s="1"/>
  <c r="R164" i="1"/>
  <c r="J164" i="1" s="1"/>
  <c r="R205" i="1"/>
  <c r="J205" i="1" s="1"/>
  <c r="R33" i="1"/>
  <c r="J33" i="1" s="1"/>
  <c r="R23" i="1"/>
  <c r="J23" i="1" s="1"/>
  <c r="R176" i="1"/>
  <c r="J176" i="1" s="1"/>
  <c r="R66" i="1"/>
  <c r="J66" i="1" s="1"/>
  <c r="R93" i="1"/>
  <c r="J93" i="1" s="1"/>
  <c r="R121" i="1"/>
  <c r="J121" i="1" s="1"/>
  <c r="R77" i="1"/>
  <c r="J77" i="1" s="1"/>
  <c r="R6" i="1"/>
  <c r="J6" i="1" s="1"/>
  <c r="R96" i="1"/>
  <c r="J96" i="1" s="1"/>
  <c r="R97" i="1"/>
  <c r="J97" i="1" s="1"/>
  <c r="C4" i="12" a="1"/>
  <c r="F3" i="2"/>
  <c r="F4" i="2"/>
  <c r="G87" i="2" s="1"/>
  <c r="F5" i="2"/>
  <c r="G11" i="2" s="1"/>
  <c r="F6" i="2"/>
  <c r="G12" i="2" s="1"/>
  <c r="F7" i="2"/>
  <c r="G13" i="2" s="1"/>
  <c r="F14" i="2"/>
  <c r="F15" i="2"/>
  <c r="F16" i="2"/>
  <c r="F17" i="2"/>
  <c r="G17" i="2" s="1"/>
  <c r="F18" i="2"/>
  <c r="F19" i="2"/>
  <c r="F20" i="2"/>
  <c r="F21" i="2"/>
  <c r="F22" i="2"/>
  <c r="F23" i="2"/>
  <c r="F24" i="2"/>
  <c r="F25" i="2"/>
  <c r="F26" i="2"/>
  <c r="F27" i="2"/>
  <c r="F28" i="2"/>
  <c r="G28" i="2" s="1"/>
  <c r="F30" i="2"/>
  <c r="F31" i="2"/>
  <c r="F45" i="2"/>
  <c r="F46" i="2"/>
  <c r="F47" i="2"/>
  <c r="F48" i="2"/>
  <c r="F51" i="2"/>
  <c r="F52" i="2"/>
  <c r="F53" i="2"/>
  <c r="F54" i="2"/>
  <c r="F55" i="2"/>
  <c r="F56" i="2"/>
  <c r="F57" i="2"/>
  <c r="F58" i="2"/>
  <c r="F59" i="2"/>
  <c r="S20" i="15" s="1"/>
  <c r="F60" i="2"/>
  <c r="F61" i="2"/>
  <c r="F65" i="2"/>
  <c r="F66" i="2"/>
  <c r="F73" i="2"/>
  <c r="F74" i="2"/>
  <c r="F75" i="2"/>
  <c r="F78" i="2"/>
  <c r="F79" i="2"/>
  <c r="F80" i="2"/>
  <c r="F82" i="2"/>
  <c r="F83" i="2"/>
  <c r="F84" i="2"/>
  <c r="F86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9" i="2"/>
  <c r="F130" i="2"/>
  <c r="F131" i="2"/>
  <c r="F132" i="2"/>
  <c r="F133" i="2"/>
  <c r="F134" i="2"/>
  <c r="F135" i="2"/>
  <c r="F136" i="2"/>
  <c r="F137" i="2"/>
  <c r="F138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62" i="2"/>
  <c r="F163" i="2"/>
  <c r="F164" i="2"/>
  <c r="F165" i="2"/>
  <c r="F166" i="2"/>
  <c r="F167" i="2"/>
  <c r="F168" i="2"/>
  <c r="F169" i="2"/>
  <c r="F170" i="2"/>
  <c r="G170" i="2" s="1"/>
  <c r="F171" i="2"/>
  <c r="G171" i="2" s="1"/>
  <c r="F172" i="2"/>
  <c r="G172" i="2" s="1"/>
  <c r="F173" i="2"/>
  <c r="G173" i="2" s="1"/>
  <c r="F175" i="2"/>
  <c r="F176" i="2"/>
  <c r="F177" i="2"/>
  <c r="G177" i="2" s="1"/>
  <c r="H123" i="2"/>
  <c r="I123" i="2"/>
  <c r="J123" i="2"/>
  <c r="J4" i="1" l="1"/>
  <c r="J4" i="16"/>
  <c r="J3" i="1"/>
  <c r="J3" i="16"/>
  <c r="S184" i="15"/>
  <c r="S196" i="15"/>
  <c r="S656" i="15"/>
  <c r="S128" i="15"/>
  <c r="S113" i="15"/>
  <c r="S158" i="15"/>
  <c r="S178" i="15"/>
  <c r="S244" i="15"/>
  <c r="S166" i="15"/>
  <c r="S187" i="15"/>
  <c r="S232" i="15"/>
  <c r="S143" i="15"/>
  <c r="S131" i="15"/>
  <c r="S259" i="15"/>
  <c r="S116" i="15"/>
  <c r="S253" i="15"/>
  <c r="S653" i="15"/>
  <c r="S241" i="15"/>
  <c r="S208" i="15"/>
  <c r="S199" i="15"/>
  <c r="S659" i="15"/>
  <c r="S202" i="15"/>
  <c r="S229" i="15"/>
  <c r="S155" i="15"/>
  <c r="S235" i="15"/>
  <c r="S140" i="15"/>
  <c r="S134" i="15"/>
  <c r="S119" i="15"/>
  <c r="S181" i="15"/>
  <c r="S226" i="15"/>
  <c r="S122" i="15"/>
  <c r="S163" i="15"/>
  <c r="S193" i="15"/>
  <c r="S223" i="15"/>
  <c r="S247" i="15"/>
  <c r="S256" i="15"/>
  <c r="S149" i="15"/>
  <c r="S172" i="15"/>
  <c r="S125" i="15"/>
  <c r="S175" i="15"/>
  <c r="S190" i="15"/>
  <c r="S647" i="15"/>
  <c r="S650" i="15"/>
  <c r="S250" i="15"/>
  <c r="S169" i="15"/>
  <c r="S214" i="15"/>
  <c r="S137" i="15"/>
  <c r="S220" i="15"/>
  <c r="S205" i="15"/>
  <c r="S217" i="15"/>
  <c r="S238" i="15"/>
  <c r="S152" i="15"/>
  <c r="S146" i="15"/>
  <c r="S644" i="15"/>
  <c r="S107" i="15"/>
  <c r="S110" i="15"/>
  <c r="S211" i="15"/>
  <c r="S657" i="15"/>
  <c r="S159" i="15"/>
  <c r="S654" i="15"/>
  <c r="S156" i="15"/>
  <c r="S200" i="15"/>
  <c r="S170" i="15"/>
  <c r="S257" i="15"/>
  <c r="S167" i="15"/>
  <c r="S179" i="15"/>
  <c r="S254" i="15"/>
  <c r="S248" i="15"/>
  <c r="S242" i="15"/>
  <c r="S236" i="15"/>
  <c r="S206" i="15"/>
  <c r="S153" i="15"/>
  <c r="S194" i="15"/>
  <c r="S239" i="15"/>
  <c r="S191" i="15"/>
  <c r="S188" i="15"/>
  <c r="S233" i="15"/>
  <c r="S230" i="15"/>
  <c r="S227" i="15"/>
  <c r="S224" i="15"/>
  <c r="S221" i="15"/>
  <c r="S215" i="15"/>
  <c r="S176" i="15"/>
  <c r="S147" i="15"/>
  <c r="S138" i="15"/>
  <c r="S150" i="15"/>
  <c r="S164" i="15"/>
  <c r="S141" i="15"/>
  <c r="S129" i="15"/>
  <c r="S126" i="15"/>
  <c r="S123" i="15"/>
  <c r="S120" i="15"/>
  <c r="S117" i="15"/>
  <c r="S114" i="15"/>
  <c r="S111" i="15"/>
  <c r="S108" i="15"/>
  <c r="S651" i="15"/>
  <c r="S251" i="15"/>
  <c r="S209" i="15"/>
  <c r="S197" i="15"/>
  <c r="S144" i="15"/>
  <c r="S645" i="15"/>
  <c r="S245" i="15"/>
  <c r="S212" i="15"/>
  <c r="S182" i="15"/>
  <c r="S135" i="15"/>
  <c r="S648" i="15"/>
  <c r="S260" i="15"/>
  <c r="S185" i="15"/>
  <c r="S132" i="15"/>
  <c r="S660" i="15"/>
  <c r="S218" i="15"/>
  <c r="S203" i="15"/>
  <c r="S173" i="15"/>
  <c r="S655" i="15"/>
  <c r="S649" i="15"/>
  <c r="S652" i="15"/>
  <c r="S246" i="15"/>
  <c r="S124" i="15"/>
  <c r="S243" i="15"/>
  <c r="S160" i="15"/>
  <c r="S174" i="15"/>
  <c r="S154" i="15"/>
  <c r="S204" i="15"/>
  <c r="S225" i="15"/>
  <c r="S192" i="15"/>
  <c r="S171" i="15"/>
  <c r="S157" i="15"/>
  <c r="S183" i="15"/>
  <c r="S121" i="15"/>
  <c r="S198" i="15"/>
  <c r="S258" i="15"/>
  <c r="S142" i="15"/>
  <c r="S165" i="15"/>
  <c r="S228" i="15"/>
  <c r="S118" i="15"/>
  <c r="S195" i="15"/>
  <c r="S148" i="15"/>
  <c r="S168" i="15"/>
  <c r="S177" i="15"/>
  <c r="S201" i="15"/>
  <c r="S213" i="15"/>
  <c r="S231" i="15"/>
  <c r="S115" i="15"/>
  <c r="S219" i="15"/>
  <c r="S234" i="15"/>
  <c r="S252" i="15"/>
  <c r="S151" i="15"/>
  <c r="S210" i="15"/>
  <c r="S661" i="15"/>
  <c r="S180" i="15"/>
  <c r="S145" i="15"/>
  <c r="S139" i="15"/>
  <c r="S112" i="15"/>
  <c r="S127" i="15"/>
  <c r="S189" i="15"/>
  <c r="S658" i="15"/>
  <c r="S249" i="15"/>
  <c r="S646" i="15"/>
  <c r="S261" i="15"/>
  <c r="S255" i="15"/>
  <c r="S207" i="15"/>
  <c r="S216" i="15"/>
  <c r="S109" i="15"/>
  <c r="S186" i="15"/>
  <c r="S237" i="15"/>
  <c r="S133" i="15"/>
  <c r="S240" i="15"/>
  <c r="S222" i="15"/>
  <c r="S136" i="15"/>
  <c r="S130" i="15"/>
  <c r="G175" i="2"/>
  <c r="S958" i="15"/>
  <c r="S973" i="15"/>
  <c r="S957" i="15"/>
  <c r="S969" i="15"/>
  <c r="S967" i="15"/>
  <c r="S953" i="15"/>
  <c r="S946" i="15"/>
  <c r="S962" i="15"/>
  <c r="S941" i="15"/>
  <c r="S942" i="15"/>
  <c r="S954" i="15"/>
  <c r="S971" i="15"/>
  <c r="S945" i="15"/>
  <c r="S961" i="15"/>
  <c r="S965" i="15"/>
  <c r="S975" i="15"/>
  <c r="S950" i="15"/>
  <c r="S949" i="15"/>
  <c r="G176" i="2"/>
  <c r="S947" i="15"/>
  <c r="S963" i="15"/>
  <c r="S966" i="15"/>
  <c r="S970" i="15"/>
  <c r="S960" i="15"/>
  <c r="S948" i="15"/>
  <c r="S974" i="15"/>
  <c r="S972" i="15"/>
  <c r="S944" i="15"/>
  <c r="S964" i="15"/>
  <c r="S976" i="15"/>
  <c r="S956" i="15"/>
  <c r="S952" i="15"/>
  <c r="S959" i="15"/>
  <c r="S968" i="15"/>
  <c r="S943" i="15"/>
  <c r="S951" i="15"/>
  <c r="S955" i="15"/>
  <c r="G9" i="2"/>
  <c r="G85" i="2"/>
  <c r="S582" i="15"/>
  <c r="S639" i="15"/>
  <c r="S441" i="15"/>
  <c r="S480" i="15"/>
  <c r="S636" i="15"/>
  <c r="S528" i="15"/>
  <c r="S579" i="15"/>
  <c r="S633" i="15"/>
  <c r="S504" i="15"/>
  <c r="S546" i="15"/>
  <c r="S471" i="15"/>
  <c r="S597" i="15"/>
  <c r="S576" i="15"/>
  <c r="S594" i="15"/>
  <c r="S501" i="15"/>
  <c r="S591" i="15"/>
  <c r="S444" i="15"/>
  <c r="S438" i="15"/>
  <c r="S573" i="15"/>
  <c r="S477" i="15"/>
  <c r="S561" i="15"/>
  <c r="S522" i="15"/>
  <c r="S519" i="15"/>
  <c r="S495" i="15"/>
  <c r="S492" i="15"/>
  <c r="S498" i="15"/>
  <c r="S459" i="15"/>
  <c r="S387" i="15"/>
  <c r="S384" i="15"/>
  <c r="S516" i="15"/>
  <c r="S435" i="15"/>
  <c r="S618" i="15"/>
  <c r="S540" i="15"/>
  <c r="S468" i="15"/>
  <c r="S615" i="15"/>
  <c r="S510" i="15"/>
  <c r="S537" i="15"/>
  <c r="S612" i="15"/>
  <c r="S525" i="15"/>
  <c r="S489" i="15"/>
  <c r="S609" i="15"/>
  <c r="S456" i="15"/>
  <c r="S534" i="15"/>
  <c r="S390" i="15"/>
  <c r="S462" i="15"/>
  <c r="S474" i="15"/>
  <c r="S531" i="15"/>
  <c r="S483" i="15"/>
  <c r="S564" i="15"/>
  <c r="S558" i="15"/>
  <c r="S552" i="15"/>
  <c r="S447" i="15"/>
  <c r="S453" i="15"/>
  <c r="S318" i="15"/>
  <c r="S465" i="15"/>
  <c r="S585" i="15"/>
  <c r="S549" i="15"/>
  <c r="S513" i="15"/>
  <c r="S507" i="15"/>
  <c r="S432" i="15"/>
  <c r="S429" i="15"/>
  <c r="S426" i="15"/>
  <c r="S423" i="15"/>
  <c r="S420" i="15"/>
  <c r="S417" i="15"/>
  <c r="S321" i="15"/>
  <c r="S414" i="15"/>
  <c r="S411" i="15"/>
  <c r="S408" i="15"/>
  <c r="S405" i="15"/>
  <c r="S402" i="15"/>
  <c r="S399" i="15"/>
  <c r="S396" i="15"/>
  <c r="S393" i="15"/>
  <c r="S381" i="15"/>
  <c r="S378" i="15"/>
  <c r="S375" i="15"/>
  <c r="S372" i="15"/>
  <c r="S369" i="15"/>
  <c r="S366" i="15"/>
  <c r="S363" i="15"/>
  <c r="S360" i="15"/>
  <c r="S357" i="15"/>
  <c r="S354" i="15"/>
  <c r="S351" i="15"/>
  <c r="S348" i="15"/>
  <c r="S345" i="15"/>
  <c r="S342" i="15"/>
  <c r="S339" i="15"/>
  <c r="S336" i="15"/>
  <c r="S333" i="15"/>
  <c r="S543" i="15"/>
  <c r="S330" i="15"/>
  <c r="S327" i="15"/>
  <c r="S324" i="15"/>
  <c r="S315" i="15"/>
  <c r="S312" i="15"/>
  <c r="S309" i="15"/>
  <c r="S306" i="15"/>
  <c r="S303" i="15"/>
  <c r="S300" i="15"/>
  <c r="S297" i="15"/>
  <c r="S294" i="15"/>
  <c r="S291" i="15"/>
  <c r="S288" i="15"/>
  <c r="S285" i="15"/>
  <c r="S282" i="15"/>
  <c r="S279" i="15"/>
  <c r="S276" i="15"/>
  <c r="S273" i="15"/>
  <c r="S264" i="15"/>
  <c r="S267" i="15"/>
  <c r="S270" i="15"/>
  <c r="S630" i="15"/>
  <c r="S627" i="15"/>
  <c r="S624" i="15"/>
  <c r="S621" i="15"/>
  <c r="S606" i="15"/>
  <c r="S603" i="15"/>
  <c r="S600" i="15"/>
  <c r="S588" i="15"/>
  <c r="S570" i="15"/>
  <c r="S567" i="15"/>
  <c r="S555" i="15"/>
  <c r="S486" i="15"/>
  <c r="S450" i="15"/>
  <c r="S640" i="15"/>
  <c r="S433" i="15"/>
  <c r="S637" i="15"/>
  <c r="S430" i="15"/>
  <c r="S505" i="15"/>
  <c r="S427" i="15"/>
  <c r="S634" i="15"/>
  <c r="S424" i="15"/>
  <c r="S631" i="15"/>
  <c r="S421" i="15"/>
  <c r="S436" i="15"/>
  <c r="S418" i="15"/>
  <c r="S502" i="15"/>
  <c r="S589" i="15"/>
  <c r="S415" i="15"/>
  <c r="S388" i="15"/>
  <c r="S412" i="15"/>
  <c r="S565" i="15"/>
  <c r="S409" i="15"/>
  <c r="S499" i="15"/>
  <c r="S406" i="15"/>
  <c r="S493" i="15"/>
  <c r="S403" i="15"/>
  <c r="S619" i="15"/>
  <c r="S400" i="15"/>
  <c r="S490" i="15"/>
  <c r="S397" i="15"/>
  <c r="S616" i="15"/>
  <c r="S394" i="15"/>
  <c r="S454" i="15"/>
  <c r="S382" i="15"/>
  <c r="S613" i="15"/>
  <c r="S451" i="15"/>
  <c r="S376" i="15"/>
  <c r="S610" i="15"/>
  <c r="S373" i="15"/>
  <c r="S607" i="15"/>
  <c r="S370" i="15"/>
  <c r="S604" i="15"/>
  <c r="S367" i="15"/>
  <c r="S379" i="15"/>
  <c r="S364" i="15"/>
  <c r="S595" i="15"/>
  <c r="S361" i="15"/>
  <c r="S592" i="15"/>
  <c r="S358" i="15"/>
  <c r="S484" i="15"/>
  <c r="S355" i="15"/>
  <c r="S556" i="15"/>
  <c r="S352" i="15"/>
  <c r="S319" i="15"/>
  <c r="S349" i="15"/>
  <c r="S586" i="15"/>
  <c r="S346" i="15"/>
  <c r="S481" i="15"/>
  <c r="S343" i="15"/>
  <c r="S583" i="15"/>
  <c r="S340" i="15"/>
  <c r="S580" i="15"/>
  <c r="S337" i="15"/>
  <c r="S439" i="15"/>
  <c r="S334" i="15"/>
  <c r="S577" i="15"/>
  <c r="S478" i="15"/>
  <c r="S331" i="15"/>
  <c r="S574" i="15"/>
  <c r="S328" i="15"/>
  <c r="S571" i="15"/>
  <c r="S325" i="15"/>
  <c r="S568" i="15"/>
  <c r="S316" i="15"/>
  <c r="S448" i="15"/>
  <c r="S313" i="15"/>
  <c r="S562" i="15"/>
  <c r="S310" i="15"/>
  <c r="S559" i="15"/>
  <c r="S307" i="15"/>
  <c r="S475" i="15"/>
  <c r="S304" i="15"/>
  <c r="S520" i="15"/>
  <c r="S301" i="15"/>
  <c r="S496" i="15"/>
  <c r="S298" i="15"/>
  <c r="S487" i="15"/>
  <c r="S295" i="15"/>
  <c r="S457" i="15"/>
  <c r="S292" i="15"/>
  <c r="S391" i="15"/>
  <c r="S289" i="15"/>
  <c r="S322" i="15"/>
  <c r="S286" i="15"/>
  <c r="S550" i="15"/>
  <c r="S283" i="15"/>
  <c r="S472" i="15"/>
  <c r="S280" i="15"/>
  <c r="S547" i="15"/>
  <c r="S277" i="15"/>
  <c r="S544" i="15"/>
  <c r="S274" i="15"/>
  <c r="S469" i="15"/>
  <c r="S541" i="15"/>
  <c r="S265" i="15"/>
  <c r="S538" i="15"/>
  <c r="S268" i="15"/>
  <c r="S445" i="15"/>
  <c r="S271" i="15"/>
  <c r="S535" i="15"/>
  <c r="S628" i="15"/>
  <c r="S466" i="15"/>
  <c r="S625" i="15"/>
  <c r="S532" i="15"/>
  <c r="S622" i="15"/>
  <c r="S529" i="15"/>
  <c r="S526" i="15"/>
  <c r="S523" i="15"/>
  <c r="S601" i="15"/>
  <c r="S463" i="15"/>
  <c r="S598" i="15"/>
  <c r="S517" i="15"/>
  <c r="S514" i="15"/>
  <c r="S460" i="15"/>
  <c r="S511" i="15"/>
  <c r="S553" i="15"/>
  <c r="S442" i="15"/>
  <c r="S508" i="15"/>
  <c r="S385" i="15"/>
  <c r="S362" i="15"/>
  <c r="S503" i="15"/>
  <c r="S500" i="15"/>
  <c r="S359" i="15"/>
  <c r="S497" i="15"/>
  <c r="S482" i="15"/>
  <c r="S356" i="15"/>
  <c r="S479" i="15"/>
  <c r="S476" i="15"/>
  <c r="S353" i="15"/>
  <c r="S473" i="15"/>
  <c r="S470" i="15"/>
  <c r="S350" i="15"/>
  <c r="S467" i="15"/>
  <c r="S464" i="15"/>
  <c r="S347" i="15"/>
  <c r="S461" i="15"/>
  <c r="S458" i="15"/>
  <c r="S308" i="15"/>
  <c r="S344" i="15"/>
  <c r="S455" i="15"/>
  <c r="S383" i="15"/>
  <c r="S341" i="15"/>
  <c r="S449" i="15"/>
  <c r="S446" i="15"/>
  <c r="S338" i="15"/>
  <c r="S443" i="15"/>
  <c r="S440" i="15"/>
  <c r="S335" i="15"/>
  <c r="S437" i="15"/>
  <c r="S389" i="15"/>
  <c r="S638" i="15"/>
  <c r="S635" i="15"/>
  <c r="S431" i="15"/>
  <c r="S329" i="15"/>
  <c r="S632" i="15"/>
  <c r="S602" i="15"/>
  <c r="S326" i="15"/>
  <c r="S428" i="15"/>
  <c r="S596" i="15"/>
  <c r="S317" i="15"/>
  <c r="S593" i="15"/>
  <c r="S425" i="15"/>
  <c r="S314" i="15"/>
  <c r="S569" i="15"/>
  <c r="S563" i="15"/>
  <c r="S311" i="15"/>
  <c r="S422" i="15"/>
  <c r="S488" i="15"/>
  <c r="S323" i="15"/>
  <c r="S419" i="15"/>
  <c r="S305" i="15"/>
  <c r="S620" i="15"/>
  <c r="S617" i="15"/>
  <c r="S302" i="15"/>
  <c r="S614" i="15"/>
  <c r="S416" i="15"/>
  <c r="S299" i="15"/>
  <c r="S611" i="15"/>
  <c r="S599" i="15"/>
  <c r="S296" i="15"/>
  <c r="S413" i="15"/>
  <c r="S590" i="15"/>
  <c r="S293" i="15"/>
  <c r="S587" i="15"/>
  <c r="S410" i="15"/>
  <c r="S290" i="15"/>
  <c r="S485" i="15"/>
  <c r="S584" i="15"/>
  <c r="S287" i="15"/>
  <c r="S407" i="15"/>
  <c r="S581" i="15"/>
  <c r="S284" i="15"/>
  <c r="S578" i="15"/>
  <c r="S404" i="15"/>
  <c r="S281" i="15"/>
  <c r="S575" i="15"/>
  <c r="S572" i="15"/>
  <c r="S332" i="15"/>
  <c r="S401" i="15"/>
  <c r="S566" i="15"/>
  <c r="S275" i="15"/>
  <c r="S554" i="15"/>
  <c r="S398" i="15"/>
  <c r="S386" i="15"/>
  <c r="S551" i="15"/>
  <c r="S266" i="15"/>
  <c r="S395" i="15"/>
  <c r="S548" i="15"/>
  <c r="S269" i="15"/>
  <c r="S545" i="15"/>
  <c r="S392" i="15"/>
  <c r="S272" i="15"/>
  <c r="S641" i="15"/>
  <c r="S629" i="15"/>
  <c r="S542" i="15"/>
  <c r="S380" i="15"/>
  <c r="S626" i="15"/>
  <c r="S434" i="15"/>
  <c r="S539" i="15"/>
  <c r="S623" i="15"/>
  <c r="S377" i="15"/>
  <c r="S536" i="15"/>
  <c r="S608" i="15"/>
  <c r="S533" i="15"/>
  <c r="S605" i="15"/>
  <c r="S374" i="15"/>
  <c r="S530" i="15"/>
  <c r="S527" i="15"/>
  <c r="S371" i="15"/>
  <c r="S494" i="15"/>
  <c r="S518" i="15"/>
  <c r="S368" i="15"/>
  <c r="S560" i="15"/>
  <c r="S557" i="15"/>
  <c r="S515" i="15"/>
  <c r="S512" i="15"/>
  <c r="S524" i="15"/>
  <c r="S521" i="15"/>
  <c r="S491" i="15"/>
  <c r="S365" i="15"/>
  <c r="S452" i="15"/>
  <c r="S509" i="15"/>
  <c r="S506" i="15"/>
  <c r="S320" i="15"/>
  <c r="S278" i="15"/>
  <c r="G174" i="2"/>
  <c r="G10" i="2"/>
  <c r="S6" i="15"/>
  <c r="S9" i="15"/>
  <c r="S3" i="15"/>
  <c r="S7" i="15"/>
  <c r="S10" i="15"/>
  <c r="S4" i="15"/>
  <c r="S11" i="15"/>
  <c r="S16" i="15"/>
  <c r="S13" i="15"/>
  <c r="S14" i="15"/>
  <c r="S19" i="15"/>
  <c r="S17" i="15"/>
  <c r="S18" i="15"/>
  <c r="S15" i="15"/>
  <c r="S12" i="15"/>
  <c r="S5" i="15"/>
  <c r="S8" i="15"/>
  <c r="S21" i="15"/>
  <c r="G107" i="2"/>
  <c r="G131" i="2"/>
  <c r="G90" i="2"/>
  <c r="G103" i="2"/>
  <c r="G121" i="2"/>
  <c r="G104" i="2"/>
  <c r="G105" i="2"/>
  <c r="G106" i="2"/>
  <c r="G122" i="2"/>
  <c r="G153" i="2"/>
  <c r="G154" i="2"/>
  <c r="G156" i="2"/>
  <c r="G81" i="2"/>
  <c r="G149" i="2"/>
  <c r="G150" i="2"/>
  <c r="G151" i="2"/>
  <c r="G152" i="2"/>
  <c r="G76" i="2"/>
  <c r="G89" i="2"/>
  <c r="G158" i="2"/>
  <c r="G157" i="2"/>
  <c r="G88" i="2"/>
  <c r="G50" i="2"/>
  <c r="G77" i="2"/>
  <c r="G16" i="2"/>
  <c r="G86" i="2"/>
  <c r="G36" i="2"/>
  <c r="G49" i="2"/>
  <c r="G48" i="2"/>
  <c r="G130" i="2"/>
  <c r="G123" i="2"/>
  <c r="G129" i="2"/>
  <c r="G31" i="2"/>
  <c r="G39" i="2"/>
  <c r="G68" i="2"/>
  <c r="G69" i="2"/>
  <c r="G71" i="2"/>
  <c r="G72" i="2"/>
  <c r="G70" i="2"/>
  <c r="G127" i="2"/>
  <c r="G128" i="2"/>
  <c r="G14" i="2"/>
  <c r="G133" i="2"/>
  <c r="G15" i="2"/>
  <c r="G108" i="2"/>
  <c r="G132" i="2"/>
  <c r="G55" i="2"/>
  <c r="G56" i="2"/>
  <c r="G109" i="2"/>
  <c r="G134" i="2"/>
  <c r="G147" i="2"/>
  <c r="G148" i="2"/>
  <c r="G155" i="2"/>
  <c r="G6" i="2"/>
  <c r="G124" i="2"/>
  <c r="G169" i="2"/>
  <c r="G91" i="2"/>
  <c r="G7" i="2"/>
  <c r="G125" i="2"/>
  <c r="G126" i="2"/>
  <c r="G57" i="2"/>
  <c r="G58" i="2"/>
  <c r="G115" i="2"/>
  <c r="G168" i="2"/>
  <c r="G24" i="2"/>
  <c r="G25" i="2"/>
  <c r="G61" i="2"/>
  <c r="G66" i="2"/>
  <c r="G93" i="2"/>
  <c r="G94" i="2"/>
  <c r="G146" i="2"/>
  <c r="G26" i="2"/>
  <c r="G27" i="2"/>
  <c r="G59" i="2"/>
  <c r="L20" i="15" s="1"/>
  <c r="G92" i="2"/>
  <c r="G112" i="2"/>
  <c r="G5" i="2"/>
  <c r="G40" i="2"/>
  <c r="G60" i="2"/>
  <c r="G135" i="2"/>
  <c r="G38" i="2"/>
  <c r="G37" i="2"/>
  <c r="G45" i="2"/>
  <c r="G46" i="2"/>
  <c r="G47" i="2"/>
  <c r="G73" i="2"/>
  <c r="G74" i="2"/>
  <c r="G75" i="2"/>
  <c r="G95" i="2"/>
  <c r="G96" i="2"/>
  <c r="G114" i="2"/>
  <c r="G137" i="2"/>
  <c r="G144" i="2"/>
  <c r="G165" i="2"/>
  <c r="G167" i="2"/>
  <c r="G30" i="2"/>
  <c r="G65" i="2"/>
  <c r="G113" i="2"/>
  <c r="G136" i="2"/>
  <c r="G162" i="2"/>
  <c r="G18" i="2"/>
  <c r="G19" i="2"/>
  <c r="G51" i="2"/>
  <c r="G53" i="2"/>
  <c r="G78" i="2"/>
  <c r="G80" i="2"/>
  <c r="G97" i="2"/>
  <c r="G98" i="2"/>
  <c r="G99" i="2"/>
  <c r="G116" i="2"/>
  <c r="G117" i="2"/>
  <c r="G163" i="2"/>
  <c r="G164" i="2"/>
  <c r="G140" i="2"/>
  <c r="G139" i="2"/>
  <c r="G32" i="2"/>
  <c r="G33" i="2"/>
  <c r="G63" i="2"/>
  <c r="G159" i="2"/>
  <c r="G67" i="2"/>
  <c r="G41" i="2"/>
  <c r="G160" i="2"/>
  <c r="G111" i="2"/>
  <c r="G44" i="2"/>
  <c r="G21" i="2"/>
  <c r="G20" i="2"/>
  <c r="G52" i="2"/>
  <c r="G79" i="2"/>
  <c r="G22" i="2"/>
  <c r="G82" i="2"/>
  <c r="G83" i="2"/>
  <c r="G100" i="2"/>
  <c r="G120" i="2"/>
  <c r="G138" i="2"/>
  <c r="G23" i="2"/>
  <c r="G54" i="2"/>
  <c r="G166" i="2"/>
  <c r="G35" i="2"/>
  <c r="G34" i="2"/>
  <c r="G84" i="2"/>
  <c r="G101" i="2"/>
  <c r="G102" i="2"/>
  <c r="G118" i="2"/>
  <c r="G119" i="2"/>
  <c r="G145" i="2"/>
  <c r="G3" i="2"/>
  <c r="G43" i="2"/>
  <c r="G29" i="2"/>
  <c r="G110" i="2"/>
  <c r="G62" i="2"/>
  <c r="G4" i="2"/>
  <c r="G142" i="2"/>
  <c r="G42" i="2"/>
  <c r="G64" i="2"/>
  <c r="G161" i="2"/>
  <c r="G143" i="2"/>
  <c r="G141" i="2"/>
  <c r="H65" i="2"/>
  <c r="H66" i="2"/>
  <c r="I65" i="2"/>
  <c r="I66" i="2"/>
  <c r="J65" i="2"/>
  <c r="J66" i="2"/>
  <c r="L201" i="15" l="1"/>
  <c r="L252" i="15"/>
  <c r="L652" i="15"/>
  <c r="L646" i="15"/>
  <c r="L246" i="15"/>
  <c r="L192" i="15"/>
  <c r="L139" i="15"/>
  <c r="L186" i="15"/>
  <c r="L204" i="15"/>
  <c r="L219" i="15"/>
  <c r="L133" i="15"/>
  <c r="L249" i="15"/>
  <c r="L136" i="15"/>
  <c r="L258" i="15"/>
  <c r="L177" i="15"/>
  <c r="L255" i="15"/>
  <c r="L109" i="15"/>
  <c r="L112" i="15"/>
  <c r="L115" i="15"/>
  <c r="L195" i="15"/>
  <c r="L118" i="15"/>
  <c r="L121" i="15"/>
  <c r="L148" i="15"/>
  <c r="L124" i="15"/>
  <c r="L127" i="15"/>
  <c r="L160" i="15"/>
  <c r="L130" i="15"/>
  <c r="L234" i="15"/>
  <c r="L225" i="15"/>
  <c r="L171" i="15"/>
  <c r="L207" i="15"/>
  <c r="L216" i="15"/>
  <c r="L165" i="15"/>
  <c r="L168" i="15"/>
  <c r="L231" i="15"/>
  <c r="L180" i="15"/>
  <c r="L174" i="15"/>
  <c r="L145" i="15"/>
  <c r="L222" i="15"/>
  <c r="L210" i="15"/>
  <c r="L154" i="15"/>
  <c r="L198" i="15"/>
  <c r="L261" i="15"/>
  <c r="L213" i="15"/>
  <c r="L157" i="15"/>
  <c r="L243" i="15"/>
  <c r="L240" i="15"/>
  <c r="L237" i="15"/>
  <c r="L183" i="15"/>
  <c r="L142" i="15"/>
  <c r="L649" i="15"/>
  <c r="L228" i="15"/>
  <c r="L151" i="15"/>
  <c r="L655" i="15"/>
  <c r="L658" i="15"/>
  <c r="L661" i="15"/>
  <c r="L189" i="15"/>
  <c r="L660" i="15"/>
  <c r="L126" i="15"/>
  <c r="L123" i="15"/>
  <c r="L153" i="15"/>
  <c r="L120" i="15"/>
  <c r="L117" i="15"/>
  <c r="L114" i="15"/>
  <c r="L111" i="15"/>
  <c r="L108" i="15"/>
  <c r="L245" i="15"/>
  <c r="L236" i="15"/>
  <c r="L218" i="15"/>
  <c r="L215" i="15"/>
  <c r="L212" i="15"/>
  <c r="L203" i="15"/>
  <c r="L648" i="15"/>
  <c r="L185" i="15"/>
  <c r="L144" i="15"/>
  <c r="L182" i="15"/>
  <c r="L260" i="15"/>
  <c r="L132" i="15"/>
  <c r="L645" i="15"/>
  <c r="L239" i="15"/>
  <c r="L657" i="15"/>
  <c r="L654" i="15"/>
  <c r="L651" i="15"/>
  <c r="L200" i="15"/>
  <c r="L194" i="15"/>
  <c r="L150" i="15"/>
  <c r="L147" i="15"/>
  <c r="L141" i="15"/>
  <c r="L248" i="15"/>
  <c r="L179" i="15"/>
  <c r="L156" i="15"/>
  <c r="L209" i="15"/>
  <c r="L257" i="15"/>
  <c r="L254" i="15"/>
  <c r="L251" i="15"/>
  <c r="L176" i="15"/>
  <c r="L173" i="15"/>
  <c r="L170" i="15"/>
  <c r="L138" i="15"/>
  <c r="L233" i="15"/>
  <c r="L230" i="15"/>
  <c r="L227" i="15"/>
  <c r="L242" i="15"/>
  <c r="L221" i="15"/>
  <c r="L206" i="15"/>
  <c r="L197" i="15"/>
  <c r="L191" i="15"/>
  <c r="L188" i="15"/>
  <c r="L159" i="15"/>
  <c r="L167" i="15"/>
  <c r="L164" i="15"/>
  <c r="L135" i="15"/>
  <c r="L224" i="15"/>
  <c r="L129" i="15"/>
  <c r="L68" i="15"/>
  <c r="L66" i="15"/>
  <c r="L61" i="15"/>
  <c r="L73" i="15"/>
  <c r="L75" i="15"/>
  <c r="L78" i="15"/>
  <c r="L80" i="15"/>
  <c r="L54" i="15"/>
  <c r="L59" i="15"/>
  <c r="L62" i="15"/>
  <c r="L67" i="15"/>
  <c r="L58" i="15"/>
  <c r="L69" i="15"/>
  <c r="L70" i="15"/>
  <c r="L72" i="15"/>
  <c r="L71" i="15"/>
  <c r="L65" i="15"/>
  <c r="L60" i="15"/>
  <c r="L64" i="15"/>
  <c r="L77" i="15"/>
  <c r="L84" i="15"/>
  <c r="L63" i="15"/>
  <c r="L81" i="15"/>
  <c r="L52" i="15"/>
  <c r="L83" i="15"/>
  <c r="L57" i="15"/>
  <c r="L53" i="15"/>
  <c r="L79" i="15"/>
  <c r="L56" i="15"/>
  <c r="L82" i="15"/>
  <c r="L76" i="15"/>
  <c r="L55" i="15"/>
  <c r="L74" i="15"/>
  <c r="L181" i="15"/>
  <c r="L175" i="15"/>
  <c r="L172" i="15"/>
  <c r="L211" i="15"/>
  <c r="L187" i="15"/>
  <c r="L134" i="15"/>
  <c r="L152" i="15"/>
  <c r="L122" i="15"/>
  <c r="L659" i="15"/>
  <c r="L169" i="15"/>
  <c r="L119" i="15"/>
  <c r="L184" i="15"/>
  <c r="L116" i="15"/>
  <c r="L223" i="15"/>
  <c r="L113" i="15"/>
  <c r="L166" i="15"/>
  <c r="L110" i="15"/>
  <c r="L202" i="15"/>
  <c r="L107" i="15"/>
  <c r="L220" i="15"/>
  <c r="L259" i="15"/>
  <c r="L247" i="15"/>
  <c r="L163" i="15"/>
  <c r="L146" i="15"/>
  <c r="L155" i="15"/>
  <c r="L143" i="15"/>
  <c r="L644" i="15"/>
  <c r="L650" i="15"/>
  <c r="L647" i="15"/>
  <c r="L229" i="15"/>
  <c r="L253" i="15"/>
  <c r="L140" i="15"/>
  <c r="L131" i="15"/>
  <c r="L217" i="15"/>
  <c r="L241" i="15"/>
  <c r="L238" i="15"/>
  <c r="L196" i="15"/>
  <c r="L193" i="15"/>
  <c r="L235" i="15"/>
  <c r="L178" i="15"/>
  <c r="L208" i="15"/>
  <c r="L244" i="15"/>
  <c r="L232" i="15"/>
  <c r="L656" i="15"/>
  <c r="L137" i="15"/>
  <c r="L214" i="15"/>
  <c r="L128" i="15"/>
  <c r="L158" i="15"/>
  <c r="L250" i="15"/>
  <c r="L205" i="15"/>
  <c r="L256" i="15"/>
  <c r="L199" i="15"/>
  <c r="L653" i="15"/>
  <c r="L190" i="15"/>
  <c r="L149" i="15"/>
  <c r="L125" i="15"/>
  <c r="L226" i="15"/>
  <c r="L954" i="15"/>
  <c r="L945" i="15"/>
  <c r="L953" i="15"/>
  <c r="L957" i="15"/>
  <c r="L958" i="15"/>
  <c r="L950" i="15"/>
  <c r="L962" i="15"/>
  <c r="L967" i="15"/>
  <c r="L941" i="15"/>
  <c r="L969" i="15"/>
  <c r="L971" i="15"/>
  <c r="L946" i="15"/>
  <c r="L942" i="15"/>
  <c r="L949" i="15"/>
  <c r="L961" i="15"/>
  <c r="L965" i="15"/>
  <c r="L973" i="15"/>
  <c r="L975" i="15"/>
  <c r="L974" i="15"/>
  <c r="L947" i="15"/>
  <c r="L951" i="15"/>
  <c r="L943" i="15"/>
  <c r="L968" i="15"/>
  <c r="L959" i="15"/>
  <c r="L960" i="15"/>
  <c r="L963" i="15"/>
  <c r="L944" i="15"/>
  <c r="L970" i="15"/>
  <c r="L952" i="15"/>
  <c r="L948" i="15"/>
  <c r="L955" i="15"/>
  <c r="L956" i="15"/>
  <c r="L976" i="15"/>
  <c r="L964" i="15"/>
  <c r="L966" i="15"/>
  <c r="L972" i="15"/>
  <c r="L266" i="15"/>
  <c r="L410" i="15"/>
  <c r="L593" i="15"/>
  <c r="L353" i="15"/>
  <c r="L596" i="15"/>
  <c r="L635" i="15"/>
  <c r="L509" i="15"/>
  <c r="L632" i="15"/>
  <c r="L413" i="15"/>
  <c r="L641" i="15"/>
  <c r="L629" i="15"/>
  <c r="L356" i="15"/>
  <c r="L638" i="15"/>
  <c r="L626" i="15"/>
  <c r="L506" i="15"/>
  <c r="L518" i="15"/>
  <c r="L623" i="15"/>
  <c r="L320" i="15"/>
  <c r="L437" i="15"/>
  <c r="L608" i="15"/>
  <c r="L359" i="15"/>
  <c r="L407" i="15"/>
  <c r="L605" i="15"/>
  <c r="L503" i="15"/>
  <c r="L416" i="15"/>
  <c r="L323" i="15"/>
  <c r="L599" i="15"/>
  <c r="L515" i="15"/>
  <c r="L362" i="15"/>
  <c r="L461" i="15"/>
  <c r="L560" i="15"/>
  <c r="L557" i="15"/>
  <c r="L326" i="15"/>
  <c r="L554" i="15"/>
  <c r="L500" i="15"/>
  <c r="L512" i="15"/>
  <c r="L590" i="15"/>
  <c r="L455" i="15"/>
  <c r="L449" i="15"/>
  <c r="L365" i="15"/>
  <c r="L566" i="15"/>
  <c r="L620" i="15"/>
  <c r="L368" i="15"/>
  <c r="L563" i="15"/>
  <c r="L617" i="15"/>
  <c r="L488" i="15"/>
  <c r="L494" i="15"/>
  <c r="L614" i="15"/>
  <c r="L428" i="15"/>
  <c r="L272" i="15"/>
  <c r="L611" i="15"/>
  <c r="L389" i="15"/>
  <c r="L269" i="15"/>
  <c r="L602" i="15"/>
  <c r="L458" i="15"/>
  <c r="L419" i="15"/>
  <c r="L569" i="15"/>
  <c r="L371" i="15"/>
  <c r="L374" i="15"/>
  <c r="L524" i="15"/>
  <c r="L275" i="15"/>
  <c r="L446" i="15"/>
  <c r="L377" i="15"/>
  <c r="L491" i="15"/>
  <c r="L482" i="15"/>
  <c r="L452" i="15"/>
  <c r="L278" i="15"/>
  <c r="L281" i="15"/>
  <c r="L383" i="15"/>
  <c r="L587" i="15"/>
  <c r="L521" i="15"/>
  <c r="L584" i="15"/>
  <c r="L380" i="15"/>
  <c r="L284" i="15"/>
  <c r="L581" i="15"/>
  <c r="L479" i="15"/>
  <c r="L287" i="15"/>
  <c r="L578" i="15"/>
  <c r="L422" i="15"/>
  <c r="L290" i="15"/>
  <c r="L575" i="15"/>
  <c r="L392" i="15"/>
  <c r="L293" i="15"/>
  <c r="L572" i="15"/>
  <c r="L476" i="15"/>
  <c r="L296" i="15"/>
  <c r="L299" i="15"/>
  <c r="L302" i="15"/>
  <c r="L305" i="15"/>
  <c r="L443" i="15"/>
  <c r="L395" i="15"/>
  <c r="L473" i="15"/>
  <c r="L434" i="15"/>
  <c r="L485" i="15"/>
  <c r="L311" i="15"/>
  <c r="L551" i="15"/>
  <c r="L398" i="15"/>
  <c r="L314" i="15"/>
  <c r="L548" i="15"/>
  <c r="L470" i="15"/>
  <c r="L317" i="15"/>
  <c r="L545" i="15"/>
  <c r="L425" i="15"/>
  <c r="L329" i="15"/>
  <c r="L542" i="15"/>
  <c r="L401" i="15"/>
  <c r="L332" i="15"/>
  <c r="L539" i="15"/>
  <c r="L467" i="15"/>
  <c r="L335" i="15"/>
  <c r="L536" i="15"/>
  <c r="L440" i="15"/>
  <c r="L338" i="15"/>
  <c r="L533" i="15"/>
  <c r="L404" i="15"/>
  <c r="L341" i="15"/>
  <c r="L530" i="15"/>
  <c r="L464" i="15"/>
  <c r="L344" i="15"/>
  <c r="L527" i="15"/>
  <c r="L497" i="15"/>
  <c r="L308" i="15"/>
  <c r="L431" i="15"/>
  <c r="L347" i="15"/>
  <c r="L386" i="15"/>
  <c r="L350" i="15"/>
  <c r="L43" i="15"/>
  <c r="L29" i="15"/>
  <c r="L31" i="15"/>
  <c r="L33" i="15"/>
  <c r="L35" i="15"/>
  <c r="L37" i="15"/>
  <c r="L39" i="15"/>
  <c r="L41" i="15"/>
  <c r="L45" i="15"/>
  <c r="L47" i="15"/>
  <c r="L49" i="15"/>
  <c r="L27" i="15"/>
  <c r="L25" i="15"/>
  <c r="L265" i="15"/>
  <c r="L628" i="15"/>
  <c r="L625" i="15"/>
  <c r="L622" i="15"/>
  <c r="L607" i="15"/>
  <c r="L604" i="15"/>
  <c r="L601" i="15"/>
  <c r="L568" i="15"/>
  <c r="L553" i="15"/>
  <c r="L451" i="15"/>
  <c r="L391" i="15"/>
  <c r="L619" i="15"/>
  <c r="L616" i="15"/>
  <c r="L613" i="15"/>
  <c r="L598" i="15"/>
  <c r="L589" i="15"/>
  <c r="L562" i="15"/>
  <c r="L526" i="15"/>
  <c r="L520" i="15"/>
  <c r="L496" i="15"/>
  <c r="L457" i="15"/>
  <c r="L586" i="15"/>
  <c r="L583" i="15"/>
  <c r="L580" i="15"/>
  <c r="L577" i="15"/>
  <c r="L574" i="15"/>
  <c r="L571" i="15"/>
  <c r="L556" i="15"/>
  <c r="L523" i="15"/>
  <c r="L493" i="15"/>
  <c r="L490" i="15"/>
  <c r="L550" i="15"/>
  <c r="L547" i="15"/>
  <c r="L544" i="15"/>
  <c r="L541" i="15"/>
  <c r="L538" i="15"/>
  <c r="L535" i="15"/>
  <c r="L532" i="15"/>
  <c r="L529" i="15"/>
  <c r="L487" i="15"/>
  <c r="L517" i="15"/>
  <c r="L514" i="15"/>
  <c r="L511" i="15"/>
  <c r="L508" i="15"/>
  <c r="L505" i="15"/>
  <c r="L502" i="15"/>
  <c r="L499" i="15"/>
  <c r="L460" i="15"/>
  <c r="L385" i="15"/>
  <c r="L484" i="15"/>
  <c r="L481" i="15"/>
  <c r="L478" i="15"/>
  <c r="L475" i="15"/>
  <c r="L472" i="15"/>
  <c r="L469" i="15"/>
  <c r="L466" i="15"/>
  <c r="L463" i="15"/>
  <c r="L448" i="15"/>
  <c r="L445" i="15"/>
  <c r="L442" i="15"/>
  <c r="L439" i="15"/>
  <c r="L436" i="15"/>
  <c r="L433" i="15"/>
  <c r="L610" i="15"/>
  <c r="L430" i="15"/>
  <c r="L427" i="15"/>
  <c r="L424" i="15"/>
  <c r="L421" i="15"/>
  <c r="L418" i="15"/>
  <c r="L388" i="15"/>
  <c r="L415" i="15"/>
  <c r="L412" i="15"/>
  <c r="L409" i="15"/>
  <c r="L406" i="15"/>
  <c r="L403" i="15"/>
  <c r="L400" i="15"/>
  <c r="L397" i="15"/>
  <c r="L394" i="15"/>
  <c r="L322" i="15"/>
  <c r="L382" i="15"/>
  <c r="L379" i="15"/>
  <c r="L376" i="15"/>
  <c r="L373" i="15"/>
  <c r="L370" i="15"/>
  <c r="L367" i="15"/>
  <c r="L364" i="15"/>
  <c r="L361" i="15"/>
  <c r="L358" i="15"/>
  <c r="L355" i="15"/>
  <c r="L352" i="15"/>
  <c r="L328" i="15"/>
  <c r="L325" i="15"/>
  <c r="L319" i="15"/>
  <c r="L349" i="15"/>
  <c r="L346" i="15"/>
  <c r="L343" i="15"/>
  <c r="L340" i="15"/>
  <c r="L337" i="15"/>
  <c r="L334" i="15"/>
  <c r="L331" i="15"/>
  <c r="L316" i="15"/>
  <c r="L313" i="15"/>
  <c r="L310" i="15"/>
  <c r="L307" i="15"/>
  <c r="L304" i="15"/>
  <c r="L301" i="15"/>
  <c r="L298" i="15"/>
  <c r="L295" i="15"/>
  <c r="L292" i="15"/>
  <c r="L289" i="15"/>
  <c r="L286" i="15"/>
  <c r="L283" i="15"/>
  <c r="L280" i="15"/>
  <c r="L277" i="15"/>
  <c r="L274" i="15"/>
  <c r="L271" i="15"/>
  <c r="L595" i="15"/>
  <c r="L592" i="15"/>
  <c r="L640" i="15"/>
  <c r="L637" i="15"/>
  <c r="L565" i="15"/>
  <c r="L634" i="15"/>
  <c r="L559" i="15"/>
  <c r="L631" i="15"/>
  <c r="L454" i="15"/>
  <c r="L268" i="15"/>
  <c r="L48" i="15"/>
  <c r="L46" i="15"/>
  <c r="L44" i="15"/>
  <c r="L24" i="15"/>
  <c r="L26" i="15"/>
  <c r="L28" i="15"/>
  <c r="L30" i="15"/>
  <c r="L32" i="15"/>
  <c r="L34" i="15"/>
  <c r="L36" i="15"/>
  <c r="L38" i="15"/>
  <c r="L40" i="15"/>
  <c r="L42" i="15"/>
  <c r="L264" i="15"/>
  <c r="L327" i="15"/>
  <c r="L513" i="15"/>
  <c r="L465" i="15"/>
  <c r="L516" i="15"/>
  <c r="L438" i="15"/>
  <c r="L324" i="15"/>
  <c r="L402" i="15"/>
  <c r="L348" i="15"/>
  <c r="L459" i="15"/>
  <c r="L468" i="15"/>
  <c r="L345" i="15"/>
  <c r="L492" i="15"/>
  <c r="L528" i="15"/>
  <c r="L420" i="15"/>
  <c r="L342" i="15"/>
  <c r="L531" i="15"/>
  <c r="L399" i="15"/>
  <c r="L339" i="15"/>
  <c r="L534" i="15"/>
  <c r="L471" i="15"/>
  <c r="L336" i="15"/>
  <c r="L537" i="15"/>
  <c r="L447" i="15"/>
  <c r="L333" i="15"/>
  <c r="L540" i="15"/>
  <c r="L396" i="15"/>
  <c r="L330" i="15"/>
  <c r="L543" i="15"/>
  <c r="L546" i="15"/>
  <c r="L474" i="15"/>
  <c r="L315" i="15"/>
  <c r="L549" i="15"/>
  <c r="L435" i="15"/>
  <c r="L312" i="15"/>
  <c r="L552" i="15"/>
  <c r="L393" i="15"/>
  <c r="L309" i="15"/>
  <c r="L477" i="15"/>
  <c r="L306" i="15"/>
  <c r="L558" i="15"/>
  <c r="L384" i="15"/>
  <c r="L303" i="15"/>
  <c r="L561" i="15"/>
  <c r="L426" i="15"/>
  <c r="L300" i="15"/>
  <c r="L564" i="15"/>
  <c r="L417" i="15"/>
  <c r="L297" i="15"/>
  <c r="L570" i="15"/>
  <c r="L381" i="15"/>
  <c r="L294" i="15"/>
  <c r="L573" i="15"/>
  <c r="L480" i="15"/>
  <c r="L291" i="15"/>
  <c r="L576" i="15"/>
  <c r="L441" i="15"/>
  <c r="L288" i="15"/>
  <c r="L579" i="15"/>
  <c r="L378" i="15"/>
  <c r="L285" i="15"/>
  <c r="L582" i="15"/>
  <c r="L483" i="15"/>
  <c r="L585" i="15"/>
  <c r="L282" i="15"/>
  <c r="L387" i="15"/>
  <c r="L414" i="15"/>
  <c r="L279" i="15"/>
  <c r="L450" i="15"/>
  <c r="L375" i="15"/>
  <c r="L276" i="15"/>
  <c r="L522" i="15"/>
  <c r="L318" i="15"/>
  <c r="L273" i="15"/>
  <c r="L267" i="15"/>
  <c r="L432" i="15"/>
  <c r="L603" i="15"/>
  <c r="L270" i="15"/>
  <c r="L390" i="15"/>
  <c r="L612" i="15"/>
  <c r="L615" i="15"/>
  <c r="L501" i="15"/>
  <c r="L618" i="15"/>
  <c r="L423" i="15"/>
  <c r="L621" i="15"/>
  <c r="L360" i="15"/>
  <c r="L486" i="15"/>
  <c r="L525" i="15"/>
  <c r="L555" i="15"/>
  <c r="L567" i="15"/>
  <c r="L588" i="15"/>
  <c r="L600" i="15"/>
  <c r="L606" i="15"/>
  <c r="L609" i="15"/>
  <c r="L504" i="15"/>
  <c r="L408" i="15"/>
  <c r="L357" i="15"/>
  <c r="L507" i="15"/>
  <c r="L462" i="15"/>
  <c r="L354" i="15"/>
  <c r="L510" i="15"/>
  <c r="L444" i="15"/>
  <c r="L351" i="15"/>
  <c r="L405" i="15"/>
  <c r="L624" i="15"/>
  <c r="L627" i="15"/>
  <c r="L630" i="15"/>
  <c r="L633" i="15"/>
  <c r="L597" i="15"/>
  <c r="L636" i="15"/>
  <c r="L372" i="15"/>
  <c r="L594" i="15"/>
  <c r="L639" i="15"/>
  <c r="L321" i="15"/>
  <c r="L591" i="15"/>
  <c r="L429" i="15"/>
  <c r="L369" i="15"/>
  <c r="L495" i="15"/>
  <c r="L411" i="15"/>
  <c r="L366" i="15"/>
  <c r="L519" i="15"/>
  <c r="L498" i="15"/>
  <c r="L489" i="15"/>
  <c r="L456" i="15"/>
  <c r="L453" i="15"/>
  <c r="L363" i="15"/>
  <c r="L10" i="15"/>
  <c r="L7" i="15"/>
  <c r="L4" i="15"/>
  <c r="L13" i="15"/>
  <c r="L16" i="15"/>
  <c r="L11" i="15"/>
  <c r="L19" i="15"/>
  <c r="L17" i="15"/>
  <c r="L14" i="15"/>
  <c r="L21" i="15"/>
  <c r="L12" i="15"/>
  <c r="L8" i="15"/>
  <c r="L5" i="15"/>
  <c r="L18" i="15"/>
  <c r="L15" i="15"/>
  <c r="L9" i="15"/>
  <c r="L6" i="15"/>
  <c r="L3" i="15"/>
  <c r="H16" i="2"/>
  <c r="H17" i="2"/>
  <c r="H18" i="2"/>
  <c r="H19" i="2"/>
  <c r="H20" i="2"/>
  <c r="I16" i="2"/>
  <c r="I17" i="2"/>
  <c r="I18" i="2"/>
  <c r="I19" i="2"/>
  <c r="I20" i="2"/>
  <c r="J16" i="2"/>
  <c r="J17" i="2"/>
  <c r="J18" i="2"/>
  <c r="J19" i="2"/>
  <c r="J20" i="2"/>
  <c r="H57" i="2" l="1"/>
  <c r="H58" i="2"/>
  <c r="H59" i="2"/>
  <c r="H60" i="2"/>
  <c r="I57" i="2"/>
  <c r="I58" i="2"/>
  <c r="I59" i="2"/>
  <c r="I60" i="2"/>
  <c r="J57" i="2"/>
  <c r="J58" i="2"/>
  <c r="J59" i="2"/>
  <c r="J60" i="2"/>
  <c r="H54" i="2"/>
  <c r="H55" i="2"/>
  <c r="H56" i="2"/>
  <c r="H61" i="2"/>
  <c r="I54" i="2"/>
  <c r="I55" i="2"/>
  <c r="I56" i="2"/>
  <c r="I61" i="2"/>
  <c r="J54" i="2"/>
  <c r="J55" i="2"/>
  <c r="J56" i="2"/>
  <c r="J61" i="2"/>
  <c r="H21" i="2" l="1"/>
  <c r="I21" i="2"/>
  <c r="J21" i="2"/>
  <c r="H22" i="2"/>
  <c r="I22" i="2"/>
  <c r="J22" i="2"/>
  <c r="H23" i="2"/>
  <c r="I23" i="2"/>
  <c r="J23" i="2"/>
  <c r="H24" i="2"/>
  <c r="I24" i="2"/>
  <c r="J24" i="2"/>
  <c r="H25" i="2"/>
  <c r="I25" i="2"/>
  <c r="J25" i="2"/>
  <c r="H26" i="2"/>
  <c r="I26" i="2"/>
  <c r="J26" i="2"/>
  <c r="H27" i="2"/>
  <c r="I27" i="2"/>
  <c r="J27" i="2"/>
  <c r="H28" i="2"/>
  <c r="I28" i="2"/>
  <c r="J28" i="2"/>
  <c r="H30" i="2"/>
  <c r="I30" i="2"/>
  <c r="J30" i="2"/>
  <c r="H31" i="2"/>
  <c r="I31" i="2"/>
  <c r="J31" i="2"/>
  <c r="H45" i="2"/>
  <c r="I45" i="2"/>
  <c r="J45" i="2"/>
  <c r="H46" i="2"/>
  <c r="I46" i="2"/>
  <c r="J46" i="2"/>
  <c r="H47" i="2"/>
  <c r="I47" i="2"/>
  <c r="J47" i="2"/>
  <c r="H48" i="2"/>
  <c r="I48" i="2"/>
  <c r="J48" i="2"/>
  <c r="H51" i="2"/>
  <c r="I51" i="2"/>
  <c r="J51" i="2"/>
  <c r="H52" i="2"/>
  <c r="I52" i="2"/>
  <c r="J52" i="2"/>
  <c r="H53" i="2"/>
  <c r="I53" i="2"/>
  <c r="J53" i="2"/>
  <c r="H73" i="2"/>
  <c r="I73" i="2"/>
  <c r="J73" i="2"/>
  <c r="H74" i="2"/>
  <c r="I74" i="2"/>
  <c r="J74" i="2"/>
  <c r="H75" i="2"/>
  <c r="I75" i="2"/>
  <c r="J75" i="2"/>
  <c r="H78" i="2"/>
  <c r="I78" i="2"/>
  <c r="J78" i="2"/>
  <c r="H79" i="2"/>
  <c r="I79" i="2"/>
  <c r="J79" i="2"/>
  <c r="H80" i="2"/>
  <c r="I80" i="2"/>
  <c r="J80" i="2"/>
  <c r="H82" i="2"/>
  <c r="I82" i="2"/>
  <c r="J82" i="2"/>
  <c r="H83" i="2"/>
  <c r="I83" i="2"/>
  <c r="J83" i="2"/>
  <c r="H84" i="2"/>
  <c r="I84" i="2"/>
  <c r="J84" i="2"/>
  <c r="H86" i="2"/>
  <c r="I86" i="2"/>
  <c r="J86" i="2"/>
  <c r="H88" i="2"/>
  <c r="I88" i="2"/>
  <c r="J88" i="2"/>
  <c r="H89" i="2"/>
  <c r="I89" i="2"/>
  <c r="J89" i="2"/>
  <c r="H90" i="2"/>
  <c r="I90" i="2"/>
  <c r="J90" i="2"/>
  <c r="H91" i="2"/>
  <c r="I91" i="2"/>
  <c r="J91" i="2"/>
  <c r="H92" i="2"/>
  <c r="I92" i="2"/>
  <c r="J92" i="2"/>
  <c r="H93" i="2"/>
  <c r="I93" i="2"/>
  <c r="J93" i="2"/>
  <c r="H94" i="2"/>
  <c r="I94" i="2"/>
  <c r="J94" i="2"/>
  <c r="H95" i="2"/>
  <c r="I95" i="2"/>
  <c r="J95" i="2"/>
  <c r="H96" i="2"/>
  <c r="I96" i="2"/>
  <c r="J96" i="2"/>
  <c r="H97" i="2"/>
  <c r="I97" i="2"/>
  <c r="J97" i="2"/>
  <c r="H98" i="2"/>
  <c r="I98" i="2"/>
  <c r="J98" i="2"/>
  <c r="H99" i="2"/>
  <c r="I99" i="2"/>
  <c r="J99" i="2"/>
  <c r="H100" i="2"/>
  <c r="I100" i="2"/>
  <c r="J100" i="2"/>
  <c r="H101" i="2"/>
  <c r="I101" i="2"/>
  <c r="J101" i="2"/>
  <c r="H102" i="2"/>
  <c r="I102" i="2"/>
  <c r="J102" i="2"/>
  <c r="H103" i="2"/>
  <c r="I103" i="2"/>
  <c r="J103" i="2"/>
  <c r="H104" i="2"/>
  <c r="I104" i="2"/>
  <c r="J104" i="2"/>
  <c r="H105" i="2"/>
  <c r="I105" i="2"/>
  <c r="J105" i="2"/>
  <c r="H106" i="2"/>
  <c r="I106" i="2"/>
  <c r="J106" i="2"/>
  <c r="H107" i="2"/>
  <c r="I107" i="2"/>
  <c r="J107" i="2"/>
  <c r="H108" i="2"/>
  <c r="I108" i="2"/>
  <c r="J108" i="2"/>
  <c r="H109" i="2"/>
  <c r="I109" i="2"/>
  <c r="J109" i="2"/>
  <c r="H112" i="2"/>
  <c r="I112" i="2"/>
  <c r="J112" i="2"/>
  <c r="H113" i="2"/>
  <c r="I113" i="2"/>
  <c r="J113" i="2"/>
  <c r="H114" i="2"/>
  <c r="I114" i="2"/>
  <c r="J114" i="2"/>
  <c r="H115" i="2"/>
  <c r="I115" i="2"/>
  <c r="J115" i="2"/>
  <c r="H116" i="2"/>
  <c r="I116" i="2"/>
  <c r="J116" i="2"/>
  <c r="H117" i="2"/>
  <c r="I117" i="2"/>
  <c r="J117" i="2"/>
  <c r="H118" i="2"/>
  <c r="I118" i="2"/>
  <c r="J118" i="2"/>
  <c r="H119" i="2"/>
  <c r="I119" i="2"/>
  <c r="J119" i="2"/>
  <c r="H120" i="2"/>
  <c r="I120" i="2"/>
  <c r="J120" i="2"/>
  <c r="H121" i="2"/>
  <c r="I121" i="2"/>
  <c r="J121" i="2"/>
  <c r="H122" i="2"/>
  <c r="I122" i="2"/>
  <c r="J122" i="2"/>
  <c r="H129" i="2"/>
  <c r="I129" i="2"/>
  <c r="J129" i="2"/>
  <c r="H130" i="2"/>
  <c r="I130" i="2"/>
  <c r="J130" i="2"/>
  <c r="H131" i="2"/>
  <c r="I131" i="2"/>
  <c r="J131" i="2"/>
  <c r="H132" i="2"/>
  <c r="I132" i="2"/>
  <c r="J132" i="2"/>
  <c r="H133" i="2"/>
  <c r="I133" i="2"/>
  <c r="J133" i="2"/>
  <c r="H134" i="2"/>
  <c r="I134" i="2"/>
  <c r="J134" i="2"/>
  <c r="H135" i="2"/>
  <c r="I135" i="2"/>
  <c r="J135" i="2"/>
  <c r="H136" i="2"/>
  <c r="I136" i="2"/>
  <c r="J136" i="2"/>
  <c r="H137" i="2"/>
  <c r="I137" i="2"/>
  <c r="J137" i="2"/>
  <c r="H138" i="2"/>
  <c r="I138" i="2"/>
  <c r="J138" i="2"/>
  <c r="H144" i="2"/>
  <c r="I144" i="2"/>
  <c r="J144" i="2"/>
  <c r="H145" i="2"/>
  <c r="I145" i="2"/>
  <c r="J145" i="2"/>
  <c r="H146" i="2"/>
  <c r="I146" i="2"/>
  <c r="J146" i="2"/>
  <c r="H147" i="2"/>
  <c r="I147" i="2"/>
  <c r="J147" i="2"/>
  <c r="H148" i="2"/>
  <c r="I148" i="2"/>
  <c r="J148" i="2"/>
  <c r="H149" i="2"/>
  <c r="I149" i="2"/>
  <c r="J149" i="2"/>
  <c r="H150" i="2"/>
  <c r="I150" i="2"/>
  <c r="J150" i="2"/>
  <c r="H151" i="2"/>
  <c r="I151" i="2"/>
  <c r="J151" i="2"/>
  <c r="H152" i="2"/>
  <c r="I152" i="2"/>
  <c r="J152" i="2"/>
  <c r="H153" i="2"/>
  <c r="I153" i="2"/>
  <c r="J153" i="2"/>
  <c r="H154" i="2"/>
  <c r="I154" i="2"/>
  <c r="J154" i="2"/>
  <c r="H155" i="2"/>
  <c r="I155" i="2"/>
  <c r="J155" i="2"/>
  <c r="H162" i="2"/>
  <c r="I162" i="2"/>
  <c r="J162" i="2"/>
  <c r="H163" i="2"/>
  <c r="I163" i="2"/>
  <c r="J163" i="2"/>
  <c r="H164" i="2"/>
  <c r="I164" i="2"/>
  <c r="J164" i="2"/>
  <c r="H165" i="2"/>
  <c r="I165" i="2"/>
  <c r="J165" i="2"/>
  <c r="H166" i="2"/>
  <c r="I166" i="2"/>
  <c r="J166" i="2"/>
  <c r="H167" i="2"/>
  <c r="I167" i="2"/>
  <c r="J167" i="2"/>
  <c r="H168" i="2"/>
  <c r="I168" i="2"/>
  <c r="J168" i="2"/>
  <c r="H169" i="2"/>
  <c r="I169" i="2"/>
  <c r="J169" i="2"/>
  <c r="H170" i="2"/>
  <c r="I170" i="2"/>
  <c r="J170" i="2"/>
  <c r="H171" i="2"/>
  <c r="I171" i="2"/>
  <c r="J171" i="2"/>
  <c r="H172" i="2"/>
  <c r="I172" i="2"/>
  <c r="J172" i="2"/>
  <c r="H173" i="2"/>
  <c r="I173" i="2"/>
  <c r="J173" i="2"/>
  <c r="H175" i="2"/>
  <c r="I175" i="2"/>
  <c r="J175" i="2"/>
  <c r="H176" i="2"/>
  <c r="I176" i="2"/>
  <c r="J176" i="2"/>
  <c r="H177" i="2"/>
  <c r="I177" i="2"/>
  <c r="J177" i="2"/>
  <c r="H3" i="2"/>
  <c r="I3" i="2"/>
  <c r="J3" i="2"/>
  <c r="H4" i="2"/>
  <c r="I4" i="2"/>
  <c r="J4" i="2"/>
  <c r="H5" i="2"/>
  <c r="I5" i="2"/>
  <c r="J5" i="2"/>
  <c r="H6" i="2"/>
  <c r="I6" i="2"/>
  <c r="J6" i="2"/>
  <c r="H7" i="2"/>
  <c r="I7" i="2"/>
  <c r="J7" i="2"/>
  <c r="H14" i="2"/>
  <c r="I14" i="2"/>
  <c r="J14" i="2"/>
  <c r="H15" i="2"/>
  <c r="I15" i="2"/>
  <c r="J15" i="2"/>
  <c r="J2" i="2"/>
  <c r="I2" i="2"/>
  <c r="H2" i="2"/>
  <c r="B8" i="7" l="1"/>
  <c r="D8" i="7" s="1"/>
  <c r="B7" i="7"/>
  <c r="B4" i="7"/>
  <c r="B3" i="7"/>
  <c r="D7" i="7" l="1"/>
  <c r="C7" i="7"/>
  <c r="D4" i="7"/>
  <c r="M10" i="1"/>
  <c r="M9" i="1"/>
  <c r="G9" i="1" s="1"/>
  <c r="M8" i="1"/>
  <c r="G8" i="1" s="1"/>
  <c r="M198" i="1"/>
  <c r="G198" i="1" s="1"/>
  <c r="B6" i="7"/>
  <c r="M206" i="1"/>
  <c r="M207" i="1"/>
  <c r="M208" i="1"/>
  <c r="M209" i="1"/>
  <c r="D5" i="7"/>
  <c r="M106" i="1"/>
  <c r="M13" i="1"/>
  <c r="D3" i="7"/>
  <c r="M167" i="1"/>
  <c r="G167" i="1" s="1"/>
  <c r="M104" i="1"/>
  <c r="G104" i="1" s="1"/>
  <c r="M102" i="1"/>
  <c r="G102" i="1" s="1"/>
  <c r="M25" i="1"/>
  <c r="G25" i="1" s="1"/>
  <c r="C8" i="7"/>
  <c r="M35" i="1"/>
  <c r="M130" i="1"/>
  <c r="G130" i="1" s="1"/>
  <c r="M131" i="1"/>
  <c r="G131" i="1" s="1"/>
  <c r="M132" i="1"/>
  <c r="G132" i="1" s="1"/>
  <c r="M133" i="1"/>
  <c r="G133" i="1" s="1"/>
  <c r="M117" i="1"/>
  <c r="G117" i="1" s="1"/>
  <c r="C5" i="7"/>
  <c r="M72" i="1"/>
  <c r="G10" i="1"/>
  <c r="M126" i="1"/>
  <c r="G126" i="1" s="1"/>
  <c r="C4" i="7"/>
  <c r="M118" i="1"/>
  <c r="G118" i="1" s="1"/>
  <c r="C3" i="7"/>
  <c r="M202" i="1"/>
  <c r="G202" i="1" s="1"/>
  <c r="M197" i="1"/>
  <c r="G197" i="1" s="1"/>
  <c r="M153" i="1"/>
  <c r="M55" i="1"/>
  <c r="M97" i="1"/>
  <c r="G97" i="1" s="1"/>
  <c r="M156" i="1"/>
  <c r="G156" i="1" s="1"/>
  <c r="M61" i="1"/>
  <c r="G61" i="1" s="1"/>
  <c r="M28" i="1"/>
  <c r="M12" i="1"/>
  <c r="M184" i="1"/>
  <c r="M185" i="1"/>
  <c r="M186" i="1"/>
  <c r="M14" i="1"/>
  <c r="G14" i="1" s="1"/>
  <c r="M177" i="1"/>
  <c r="G177" i="1" s="1"/>
  <c r="M183" i="1"/>
  <c r="G183" i="1" s="1"/>
  <c r="M182" i="1"/>
  <c r="G182" i="1" s="1"/>
  <c r="M76" i="1"/>
  <c r="G76" i="1" s="1"/>
  <c r="M189" i="1"/>
  <c r="M154" i="1"/>
  <c r="M29" i="1"/>
  <c r="M196" i="1"/>
  <c r="M26" i="1"/>
  <c r="M170" i="1"/>
  <c r="M27" i="1"/>
  <c r="M152" i="1"/>
  <c r="M150" i="1"/>
  <c r="M193" i="1"/>
  <c r="M192" i="1"/>
  <c r="M94" i="1"/>
  <c r="M93" i="1"/>
  <c r="M95" i="1"/>
  <c r="M49" i="1"/>
  <c r="M191" i="1"/>
  <c r="M56" i="1"/>
  <c r="M190" i="1"/>
  <c r="M87" i="1"/>
  <c r="G87" i="1" s="1"/>
  <c r="M109" i="1"/>
  <c r="G109" i="1" s="1"/>
  <c r="M73" i="1"/>
  <c r="G73" i="1" s="1"/>
  <c r="M174" i="1"/>
  <c r="G174" i="1" s="1"/>
  <c r="M171" i="1"/>
  <c r="G171" i="1" s="1"/>
  <c r="M127" i="1"/>
  <c r="G127" i="1" s="1"/>
  <c r="M176" i="1"/>
  <c r="G176" i="1" s="1"/>
  <c r="M107" i="1"/>
  <c r="G107" i="1" s="1"/>
  <c r="M151" i="1"/>
  <c r="G151" i="1" s="1"/>
  <c r="M125" i="1"/>
  <c r="G125" i="1" s="1"/>
  <c r="M146" i="1"/>
  <c r="G146" i="1" s="1"/>
  <c r="M175" i="1"/>
  <c r="G175" i="1" s="1"/>
  <c r="M24" i="1"/>
  <c r="G24" i="1" s="1"/>
  <c r="M147" i="1"/>
  <c r="G147" i="1" s="1"/>
  <c r="M108" i="1"/>
  <c r="G108" i="1" s="1"/>
  <c r="M173" i="1"/>
  <c r="G173" i="1" s="1"/>
  <c r="M172" i="1"/>
  <c r="G172" i="1" s="1"/>
  <c r="M74" i="1"/>
  <c r="G74" i="1" s="1"/>
  <c r="M96" i="1"/>
  <c r="G96" i="1" s="1"/>
  <c r="M11" i="1"/>
  <c r="G11" i="1" s="1"/>
  <c r="M70" i="1"/>
  <c r="G70" i="1" s="1"/>
  <c r="M23" i="1"/>
  <c r="G23" i="1" s="1"/>
  <c r="M3" i="1"/>
  <c r="M21" i="1"/>
  <c r="G21" i="1" s="1"/>
  <c r="M33" i="1"/>
  <c r="G33" i="1" s="1"/>
  <c r="M5" i="1"/>
  <c r="G5" i="1" s="1"/>
  <c r="M135" i="1"/>
  <c r="G135" i="1" s="1"/>
  <c r="M60" i="1"/>
  <c r="G60" i="1" s="1"/>
  <c r="M2" i="1"/>
  <c r="G2" i="1" s="1"/>
  <c r="M34" i="1"/>
  <c r="G34" i="1" s="1"/>
  <c r="M112" i="1"/>
  <c r="G112" i="1" s="1"/>
  <c r="M20" i="1"/>
  <c r="G20" i="1" s="1"/>
  <c r="M36" i="1"/>
  <c r="G36" i="1" s="1"/>
  <c r="M58" i="1"/>
  <c r="G58" i="1" s="1"/>
  <c r="M98" i="1"/>
  <c r="G98" i="1" s="1"/>
  <c r="M37" i="1"/>
  <c r="M100" i="1"/>
  <c r="G100" i="1" s="1"/>
  <c r="M75" i="1"/>
  <c r="G75" i="1" s="1"/>
  <c r="M68" i="1"/>
  <c r="G68" i="1" s="1"/>
  <c r="M137" i="1"/>
  <c r="G137" i="1" s="1"/>
  <c r="M169" i="1"/>
  <c r="G169" i="1" s="1"/>
  <c r="M114" i="1"/>
  <c r="G114" i="1" s="1"/>
  <c r="M111" i="1"/>
  <c r="G111" i="1" s="1"/>
  <c r="M32" i="1"/>
  <c r="G32" i="1" s="1"/>
  <c r="M113" i="1"/>
  <c r="G113" i="1" s="1"/>
  <c r="M6" i="1"/>
  <c r="G6" i="1" s="1"/>
  <c r="M136" i="1"/>
  <c r="G136" i="1" s="1"/>
  <c r="M63" i="1"/>
  <c r="G63" i="1" s="1"/>
  <c r="M178" i="1"/>
  <c r="G178" i="1" s="1"/>
  <c r="M103" i="1"/>
  <c r="G103" i="1" s="1"/>
  <c r="M110" i="1"/>
  <c r="G110" i="1" s="1"/>
  <c r="M101" i="1"/>
  <c r="G101" i="1" s="1"/>
  <c r="M121" i="1"/>
  <c r="G121" i="1" s="1"/>
  <c r="M128" i="1"/>
  <c r="G128" i="1" s="1"/>
  <c r="M138" i="1"/>
  <c r="G138" i="1" s="1"/>
  <c r="M122" i="1"/>
  <c r="G122" i="1" s="1"/>
  <c r="M69" i="1"/>
  <c r="G69" i="1" s="1"/>
  <c r="M168" i="1"/>
  <c r="G168" i="1" s="1"/>
  <c r="M123" i="1"/>
  <c r="G123" i="1" s="1"/>
  <c r="M166" i="1"/>
  <c r="G166" i="1" s="1"/>
  <c r="M30" i="1"/>
  <c r="G30" i="1" s="1"/>
  <c r="M210" i="1"/>
  <c r="G210" i="1" s="1"/>
  <c r="M134" i="1"/>
  <c r="G134" i="1" s="1"/>
  <c r="M4" i="1"/>
  <c r="G4" i="1" s="1"/>
  <c r="M64" i="1"/>
  <c r="G64" i="1" s="1"/>
  <c r="M62" i="1"/>
  <c r="G62" i="1" s="1"/>
  <c r="M38" i="1"/>
  <c r="G38" i="1" s="1"/>
  <c r="M7" i="1"/>
  <c r="G7" i="1" s="1"/>
  <c r="M57" i="1"/>
  <c r="G57" i="1" s="1"/>
  <c r="M99" i="1"/>
  <c r="G99" i="1" s="1"/>
  <c r="M31" i="1"/>
  <c r="G31" i="1" s="1"/>
  <c r="M139" i="1"/>
  <c r="G139" i="1" s="1"/>
  <c r="M155" i="1"/>
  <c r="G155" i="1" s="1"/>
  <c r="M59" i="1"/>
  <c r="G59" i="1" s="1"/>
  <c r="M204" i="1"/>
  <c r="G204" i="1" s="1"/>
  <c r="M71" i="1"/>
  <c r="G71" i="1" s="1"/>
  <c r="M145" i="1"/>
  <c r="G145" i="1" s="1"/>
  <c r="M22" i="1"/>
  <c r="G22" i="1" s="1"/>
  <c r="M120" i="1"/>
  <c r="G120" i="1" s="1"/>
  <c r="M129" i="1"/>
  <c r="G129" i="1" s="1"/>
  <c r="A8" i="7"/>
  <c r="A7" i="7"/>
  <c r="A5" i="7"/>
  <c r="A4" i="7"/>
  <c r="A3" i="7"/>
  <c r="A2" i="7"/>
  <c r="G5" i="7"/>
  <c r="G13" i="1" l="1"/>
  <c r="C6" i="7"/>
  <c r="L193" i="1" s="1" a="1"/>
  <c r="D6" i="7"/>
  <c r="L106" i="1" a="1"/>
  <c r="L35" i="1" a="1"/>
  <c r="L72" i="1" a="1"/>
  <c r="L55" i="1" a="1"/>
  <c r="L28" i="1" a="1"/>
  <c r="L12" i="1" a="1"/>
  <c r="L184" i="1" a="1"/>
  <c r="L185" i="1" a="1"/>
  <c r="L186" i="1" a="1"/>
  <c r="L29" i="1" a="1"/>
  <c r="L196" i="1" a="1"/>
  <c r="L26" i="1" a="1"/>
  <c r="L27" i="1" a="1"/>
  <c r="L152" i="1" a="1"/>
  <c r="L150" i="1" a="1"/>
  <c r="L192" i="1" a="1"/>
  <c r="L94" i="1" a="1"/>
  <c r="L93" i="1" a="1"/>
  <c r="L95" i="1" a="1"/>
  <c r="L49" i="1" a="1"/>
  <c r="L191" i="1" a="1"/>
  <c r="L56" i="1" a="1"/>
  <c r="L190" i="1" a="1"/>
  <c r="L52" i="1" a="1"/>
  <c r="L51" i="1" a="1"/>
  <c r="L54" i="1" a="1"/>
  <c r="L53" i="1" a="1"/>
  <c r="L158" i="1" a="1"/>
  <c r="L46" i="1" a="1"/>
  <c r="L201" i="1" a="1"/>
  <c r="L159" i="1" a="1"/>
  <c r="L149" i="1" a="1"/>
  <c r="L105" i="1" a="1"/>
  <c r="L80" i="1" a="1"/>
  <c r="L92" i="1" a="1"/>
  <c r="L144" i="1" a="1"/>
  <c r="L163" i="1" a="1"/>
  <c r="L157" i="1" a="1"/>
  <c r="L43" i="1" a="1"/>
  <c r="L85" i="1" a="1"/>
  <c r="L164" i="1" a="1"/>
  <c r="L15" i="1" a="1"/>
  <c r="L188" i="1" a="1"/>
  <c r="L187" i="1" a="1"/>
  <c r="L86" i="1" a="1"/>
  <c r="L205" i="1" a="1"/>
  <c r="L143" i="1" a="1"/>
  <c r="L203" i="1" a="1"/>
  <c r="L142" i="1" a="1"/>
  <c r="L124" i="1" a="1"/>
  <c r="L19" i="1" a="1"/>
  <c r="L162" i="1" a="1"/>
  <c r="L161" i="1" a="1"/>
  <c r="L160" i="1" a="1"/>
  <c r="L18" i="1" a="1"/>
  <c r="L17" i="1" a="1"/>
  <c r="L200" i="1" a="1"/>
  <c r="L199" i="1" a="1"/>
  <c r="L116" i="1" a="1"/>
  <c r="L115" i="1" a="1"/>
  <c r="L140" i="1" a="1"/>
  <c r="L119" i="1" a="1"/>
  <c r="L141" i="1" a="1"/>
  <c r="L91" i="1" a="1"/>
  <c r="L90" i="1" a="1"/>
  <c r="L16" i="1" a="1"/>
  <c r="L89" i="1" a="1"/>
  <c r="L47" i="1" a="1"/>
  <c r="L84" i="1" a="1"/>
  <c r="L83" i="1" a="1"/>
  <c r="L82" i="1" a="1"/>
  <c r="L181" i="1" a="1"/>
  <c r="L180" i="1" a="1"/>
  <c r="L45" i="1" a="1"/>
  <c r="L44" i="1" a="1"/>
  <c r="L81" i="1" a="1"/>
  <c r="L88" i="1" a="1"/>
  <c r="L148" i="1" a="1"/>
  <c r="L165" i="1" a="1"/>
  <c r="L195" i="1" a="1"/>
  <c r="L67" i="1" a="1"/>
  <c r="L66" i="1" a="1"/>
  <c r="L50" i="1" a="1"/>
  <c r="L48" i="1" a="1"/>
  <c r="L79" i="1" a="1"/>
  <c r="L179" i="1" a="1"/>
  <c r="L78" i="1" a="1"/>
  <c r="L41" i="1" a="1"/>
  <c r="L65" i="1" a="1"/>
  <c r="L40" i="1" a="1"/>
  <c r="L42" i="1" a="1"/>
  <c r="L39" i="1" a="1"/>
  <c r="L77" i="1" a="1"/>
  <c r="L194" i="1" a="1"/>
  <c r="L208" i="1" a="1"/>
  <c r="L209" i="1" a="1"/>
  <c r="L206" i="1" a="1"/>
  <c r="L207" i="1" a="1"/>
  <c r="L8" i="1" a="1"/>
  <c r="L9" i="1" a="1"/>
  <c r="G3" i="1"/>
  <c r="L3" i="1" s="1" a="1"/>
  <c r="G3" i="16"/>
  <c r="L73" i="1" a="1"/>
  <c r="G170" i="1"/>
  <c r="L170" i="1" a="1"/>
  <c r="L153" i="1" a="1"/>
  <c r="L125" i="1" a="1"/>
  <c r="L109" i="1" a="1"/>
  <c r="L108" i="1" a="1"/>
  <c r="L13" i="1" a="1"/>
  <c r="L151" i="1" a="1"/>
  <c r="L126" i="1" a="1"/>
  <c r="L74" i="1" a="1"/>
  <c r="L87" i="1" a="1"/>
  <c r="L14" i="1" a="1"/>
  <c r="L127" i="1" a="1"/>
  <c r="L107" i="1" a="1"/>
  <c r="L96" i="1" a="1"/>
  <c r="L11" i="1" a="1"/>
  <c r="L147" i="1" a="1"/>
  <c r="L154" i="1" a="1"/>
  <c r="L146" i="1" a="1"/>
  <c r="L10" i="1" a="1"/>
  <c r="L33" i="1" a="1"/>
  <c r="L121" i="1" a="1"/>
  <c r="L139" i="1" a="1"/>
  <c r="L117" i="1" a="1"/>
  <c r="L104" i="1" a="1"/>
  <c r="L32" i="1" a="1"/>
  <c r="L69" i="1" a="1"/>
  <c r="L145" i="1" a="1"/>
  <c r="L156" i="1" a="1"/>
  <c r="L171" i="1" a="1"/>
  <c r="L202" i="1" a="1"/>
  <c r="L25" i="1" a="1"/>
  <c r="L60" i="1" a="1"/>
  <c r="L64" i="1" a="1"/>
  <c r="L136" i="1" a="1"/>
  <c r="L173" i="1" a="1"/>
  <c r="L76" i="1" a="1"/>
  <c r="L120" i="1" a="1"/>
  <c r="L71" i="1" a="1"/>
  <c r="L103" i="1" a="1"/>
  <c r="L131" i="1" a="1"/>
  <c r="L135" i="1" a="1"/>
  <c r="L167" i="1" a="1"/>
  <c r="L23" i="1" a="1"/>
  <c r="L98" i="1" a="1"/>
  <c r="L100" i="1" a="1"/>
  <c r="L177" i="1" a="1"/>
  <c r="L37" i="1" a="1"/>
  <c r="L38" i="1" a="1"/>
  <c r="L132" i="1" a="1"/>
  <c r="L7" i="1" a="1"/>
  <c r="L111" i="1" a="1"/>
  <c r="L204" i="1" a="1"/>
  <c r="L128" i="1" a="1"/>
  <c r="L102" i="1" a="1"/>
  <c r="L169" i="1" a="1"/>
  <c r="L30" i="1" a="1"/>
  <c r="L20" i="1" a="1"/>
  <c r="L114" i="1" a="1"/>
  <c r="L97" i="1" a="1"/>
  <c r="L22" i="1" a="1"/>
  <c r="L4" i="1" a="1"/>
  <c r="L68" i="1" a="1"/>
  <c r="L36" i="1" a="1"/>
  <c r="L61" i="1" a="1"/>
  <c r="L5" i="1" a="1"/>
  <c r="L172" i="1" a="1"/>
  <c r="L122" i="1" a="1"/>
  <c r="L63" i="1" a="1"/>
  <c r="L70" i="1" a="1"/>
  <c r="L99" i="1" a="1"/>
  <c r="L155" i="1" a="1"/>
  <c r="L166" i="1" a="1"/>
  <c r="L113" i="1" a="1"/>
  <c r="L168" i="1" a="1"/>
  <c r="L34" i="1" a="1"/>
  <c r="L137" i="1" a="1"/>
  <c r="L175" i="1" a="1"/>
  <c r="L58" i="1" a="1"/>
  <c r="L183" i="1" a="1"/>
  <c r="L130" i="1" a="1"/>
  <c r="L31" i="1" a="1"/>
  <c r="L112" i="1" a="1"/>
  <c r="L197" i="1" a="1"/>
  <c r="L123" i="1" a="1"/>
  <c r="L2" i="1" a="1"/>
  <c r="L138" i="1" a="1"/>
  <c r="L176" i="1" a="1"/>
  <c r="L75" i="1" a="1"/>
  <c r="L101" i="1" a="1"/>
  <c r="L182" i="1" a="1"/>
  <c r="L133" i="1" a="1"/>
  <c r="L178" i="1" a="1"/>
  <c r="L21" i="1" a="1"/>
  <c r="L129" i="1" a="1"/>
  <c r="L174" i="1" a="1"/>
  <c r="L24" i="1" a="1"/>
  <c r="L59" i="1" a="1"/>
  <c r="L57" i="1" a="1"/>
  <c r="L62" i="1" a="1"/>
  <c r="L6" i="1" a="1"/>
  <c r="L110" i="1" a="1"/>
  <c r="L198" i="1" a="1"/>
  <c r="L134" i="1" a="1"/>
  <c r="L118" i="1" a="1"/>
  <c r="L210" i="1" a="1"/>
  <c r="G189" i="1"/>
  <c r="L189" i="1" s="1" a="1"/>
  <c r="B4" i="11" a="1"/>
  <c r="G47" i="11"/>
  <c r="G48" i="11"/>
  <c r="G49" i="11"/>
  <c r="G50" i="11"/>
  <c r="G51" i="11"/>
  <c r="AA3" i="11" a="1"/>
  <c r="I4" i="12" a="1"/>
  <c r="G4" i="12" a="1"/>
  <c r="E4" i="12" a="1"/>
  <c r="F4" i="12" l="1" a="1"/>
  <c r="D4" i="12" a="1"/>
  <c r="K4" i="11" a="1"/>
  <c r="F4" i="11" a="1"/>
  <c r="J4" i="11" a="1"/>
  <c r="I4" i="11" a="1"/>
  <c r="H4" i="11" a="1"/>
  <c r="E4" i="11" a="1"/>
  <c r="D4" i="11" a="1"/>
  <c r="C4" i="11" a="1"/>
  <c r="G43" i="11" l="1"/>
  <c r="G44" i="11"/>
  <c r="G45" i="11"/>
  <c r="G46" i="11"/>
  <c r="G42" i="11"/>
  <c r="G31" i="11"/>
  <c r="G39" i="11"/>
  <c r="G35" i="11"/>
  <c r="G32" i="11"/>
  <c r="G33" i="11"/>
  <c r="G37" i="11"/>
  <c r="G41" i="11"/>
  <c r="G38" i="11"/>
  <c r="G34" i="11"/>
  <c r="G36" i="11"/>
  <c r="G40" i="11"/>
  <c r="G30" i="11"/>
  <c r="G28" i="11"/>
  <c r="G27" i="11"/>
  <c r="G26" i="11"/>
  <c r="G10" i="11"/>
  <c r="G21" i="11"/>
  <c r="G9" i="11"/>
  <c r="G20" i="11"/>
  <c r="G8" i="11"/>
  <c r="G19" i="11"/>
  <c r="G13" i="11"/>
  <c r="G24" i="11"/>
  <c r="G25" i="11"/>
  <c r="G18" i="11"/>
  <c r="G16" i="11"/>
  <c r="G17" i="11"/>
  <c r="G15" i="11"/>
  <c r="G23" i="11"/>
  <c r="G11" i="11"/>
  <c r="G22" i="11"/>
  <c r="G7" i="11"/>
  <c r="G5" i="11"/>
  <c r="G29" i="11"/>
  <c r="G12" i="11"/>
  <c r="G14" i="11"/>
  <c r="G6" i="11"/>
  <c r="H4" i="12" a="1"/>
  <c r="J4" i="12" l="1" a="1"/>
  <c r="C52" i="11" l="1"/>
  <c r="N7" i="11"/>
  <c r="G4" i="11"/>
  <c r="G52" i="11" s="1"/>
  <c r="M6" i="12" a="1"/>
  <c r="M4" i="12" a="1"/>
  <c r="M5" i="12" a="1"/>
  <c r="C63" i="12" a="1"/>
  <c r="N4" i="11"/>
  <c r="N5" i="11"/>
  <c r="N6" i="11"/>
  <c r="E4" i="13" a="1"/>
  <c r="J4" i="13" a="1"/>
  <c r="D4" i="13" a="1"/>
  <c r="B4" i="13" a="1"/>
  <c r="N4" i="13" a="1"/>
  <c r="G4" i="13" a="1"/>
  <c r="M4" i="13" a="1"/>
  <c r="F4" i="13" a="1"/>
  <c r="I4" i="13" a="1"/>
  <c r="C4" i="13" a="1"/>
  <c r="H130" i="13" l="1"/>
  <c r="K130" i="13"/>
  <c r="L130" i="13" s="1"/>
  <c r="Q6" i="13"/>
  <c r="Q4" i="13"/>
  <c r="K67" i="13"/>
  <c r="L67" i="13" s="1"/>
  <c r="K65" i="13"/>
  <c r="L65" i="13" s="1"/>
  <c r="K38" i="13"/>
  <c r="L38" i="13" s="1"/>
  <c r="K41" i="13"/>
  <c r="L41" i="13" s="1"/>
  <c r="K8" i="13"/>
  <c r="L8" i="13" s="1"/>
  <c r="K14" i="13"/>
  <c r="L14" i="13" s="1"/>
  <c r="K7" i="13"/>
  <c r="L7" i="13" s="1"/>
  <c r="K35" i="13"/>
  <c r="L35" i="13" s="1"/>
  <c r="K62" i="13"/>
  <c r="L62" i="13" s="1"/>
  <c r="K53" i="13"/>
  <c r="L53" i="13" s="1"/>
  <c r="K12" i="13"/>
  <c r="L12" i="13" s="1"/>
  <c r="K21" i="13"/>
  <c r="L21" i="13" s="1"/>
  <c r="K27" i="13"/>
  <c r="L27" i="13" s="1"/>
  <c r="K86" i="13"/>
  <c r="L86" i="13" s="1"/>
  <c r="K81" i="13"/>
  <c r="L81" i="13" s="1"/>
  <c r="K66" i="13"/>
  <c r="L66" i="13" s="1"/>
  <c r="K59" i="13"/>
  <c r="L59" i="13" s="1"/>
  <c r="K50" i="13"/>
  <c r="L50" i="13" s="1"/>
  <c r="K71" i="13"/>
  <c r="L71" i="13" s="1"/>
  <c r="K9" i="13"/>
  <c r="L9" i="13" s="1"/>
  <c r="K56" i="13"/>
  <c r="L56" i="13" s="1"/>
  <c r="K10" i="13"/>
  <c r="L10" i="13" s="1"/>
  <c r="K70" i="13"/>
  <c r="L70" i="13" s="1"/>
  <c r="K37" i="13"/>
  <c r="L37" i="13" s="1"/>
  <c r="K47" i="13"/>
  <c r="L47" i="13" s="1"/>
  <c r="K46" i="13"/>
  <c r="L46" i="13" s="1"/>
  <c r="K58" i="13"/>
  <c r="L58" i="13" s="1"/>
  <c r="K84" i="13"/>
  <c r="L84" i="13" s="1"/>
  <c r="K83" i="13"/>
  <c r="L83" i="13" s="1"/>
  <c r="K73" i="13"/>
  <c r="L73" i="13" s="1"/>
  <c r="K48" i="13"/>
  <c r="L48" i="13" s="1"/>
  <c r="K6" i="13"/>
  <c r="L6" i="13" s="1"/>
  <c r="K30" i="13"/>
  <c r="L30" i="13" s="1"/>
  <c r="K43" i="13"/>
  <c r="L43" i="13" s="1"/>
  <c r="K57" i="13"/>
  <c r="L57" i="13" s="1"/>
  <c r="K31" i="13"/>
  <c r="L31" i="13" s="1"/>
  <c r="K51" i="13"/>
  <c r="L51" i="13" s="1"/>
  <c r="K34" i="13"/>
  <c r="L34" i="13" s="1"/>
  <c r="K23" i="13"/>
  <c r="L23" i="13" s="1"/>
  <c r="K52" i="13"/>
  <c r="L52" i="13" s="1"/>
  <c r="K49" i="13"/>
  <c r="L49" i="13" s="1"/>
  <c r="K20" i="13"/>
  <c r="L20" i="13" s="1"/>
  <c r="K33" i="13"/>
  <c r="L33" i="13" s="1"/>
  <c r="K32" i="13"/>
  <c r="L32" i="13" s="1"/>
  <c r="K55" i="13"/>
  <c r="L55" i="13" s="1"/>
  <c r="K5" i="13"/>
  <c r="L5" i="13" s="1"/>
  <c r="K75" i="13"/>
  <c r="L75" i="13" s="1"/>
  <c r="K18" i="13"/>
  <c r="L18" i="13" s="1"/>
  <c r="K13" i="13"/>
  <c r="L13" i="13" s="1"/>
  <c r="K85" i="13"/>
  <c r="L85" i="13" s="1"/>
  <c r="K82" i="13"/>
  <c r="L82" i="13" s="1"/>
  <c r="K45" i="13"/>
  <c r="L45" i="13" s="1"/>
  <c r="K29" i="13"/>
  <c r="L29" i="13" s="1"/>
  <c r="K28" i="13"/>
  <c r="L28" i="13" s="1"/>
  <c r="K15" i="13"/>
  <c r="L15" i="13" s="1"/>
  <c r="K26" i="13"/>
  <c r="L26" i="13" s="1"/>
  <c r="K16" i="13"/>
  <c r="L16" i="13" s="1"/>
  <c r="K17" i="13"/>
  <c r="L17" i="13" s="1"/>
  <c r="K72" i="13"/>
  <c r="L72" i="13" s="1"/>
  <c r="K68" i="13"/>
  <c r="L68" i="13" s="1"/>
  <c r="K69" i="13"/>
  <c r="L69" i="13" s="1"/>
  <c r="K36" i="13"/>
  <c r="L36" i="13" s="1"/>
  <c r="K24" i="13"/>
  <c r="L24" i="13" s="1"/>
  <c r="K22" i="13"/>
  <c r="L22" i="13" s="1"/>
  <c r="K63" i="13"/>
  <c r="L63" i="13" s="1"/>
  <c r="K61" i="13"/>
  <c r="L61" i="13" s="1"/>
  <c r="K11" i="13"/>
  <c r="L11" i="13" s="1"/>
  <c r="K64" i="13"/>
  <c r="L64" i="13" s="1"/>
  <c r="K40" i="13"/>
  <c r="L40" i="13" s="1"/>
  <c r="K19" i="13"/>
  <c r="L19" i="13" s="1"/>
  <c r="K74" i="13"/>
  <c r="L74" i="13" s="1"/>
  <c r="K44" i="13"/>
  <c r="L44" i="13" s="1"/>
  <c r="K42" i="13"/>
  <c r="L42" i="13" s="1"/>
  <c r="K60" i="13"/>
  <c r="L60" i="13" s="1"/>
  <c r="K39" i="13"/>
  <c r="L39" i="13" s="1"/>
  <c r="K25" i="13"/>
  <c r="L25" i="13" s="1"/>
  <c r="K54" i="13"/>
  <c r="L54" i="13" s="1"/>
  <c r="K4" i="13"/>
  <c r="L4" i="13" s="1"/>
  <c r="C131" i="13"/>
  <c r="Q5" i="13" s="1"/>
  <c r="Q7" i="13"/>
  <c r="H4" i="13" a="1"/>
  <c r="H131" i="13" l="1"/>
  <c r="L131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<sst xmlns="http://schemas.openxmlformats.org/spreadsheetml/2006/main" count="9334" uniqueCount="1120">
  <si>
    <t>Finca</t>
  </si>
  <si>
    <t>Qty</t>
  </si>
  <si>
    <t>Type of Box</t>
  </si>
  <si>
    <t>Cantidad_Min</t>
  </si>
  <si>
    <t>Cantidad_QB</t>
  </si>
  <si>
    <t>Variedad</t>
  </si>
  <si>
    <t>Nombre</t>
  </si>
  <si>
    <t>Color</t>
  </si>
  <si>
    <t>Cost</t>
  </si>
  <si>
    <t>Markup</t>
  </si>
  <si>
    <t>Precio</t>
  </si>
  <si>
    <t>Guia</t>
  </si>
  <si>
    <t>FechaEntrega</t>
  </si>
  <si>
    <t>Duties</t>
  </si>
  <si>
    <t>Origen</t>
  </si>
  <si>
    <t>Box</t>
  </si>
  <si>
    <t>img</t>
  </si>
  <si>
    <t>Transport</t>
  </si>
  <si>
    <t>Largo2</t>
  </si>
  <si>
    <t>Ancho</t>
  </si>
  <si>
    <t>Alto</t>
  </si>
  <si>
    <t>Volumen</t>
  </si>
  <si>
    <t>Transport2</t>
  </si>
  <si>
    <t>Import Duties</t>
  </si>
  <si>
    <t>Total</t>
  </si>
  <si>
    <t>FincaID</t>
  </si>
  <si>
    <t>Inventarios</t>
  </si>
  <si>
    <t>SendEmail</t>
  </si>
  <si>
    <t>Comments</t>
  </si>
  <si>
    <t>Standing Orders</t>
  </si>
  <si>
    <t>Agrirose</t>
  </si>
  <si>
    <t>EB</t>
  </si>
  <si>
    <t>Ranunculus/Anemones</t>
  </si>
  <si>
    <t>Y</t>
  </si>
  <si>
    <t>Agrocoex</t>
  </si>
  <si>
    <t>QB</t>
  </si>
  <si>
    <t>Larkspur</t>
  </si>
  <si>
    <t>Agrogana</t>
  </si>
  <si>
    <t>Hannas Mix</t>
  </si>
  <si>
    <t>Natalias Mix</t>
  </si>
  <si>
    <t>1 Fausto [Florist in the Garden WA]</t>
  </si>
  <si>
    <t>Royal Mix</t>
  </si>
  <si>
    <t>Summer Vibes</t>
  </si>
  <si>
    <t>Florist Mix</t>
  </si>
  <si>
    <t>Agroprim</t>
  </si>
  <si>
    <t>Sunflower Select</t>
  </si>
  <si>
    <t>1 Ralph [Flowers by Zsuzsana]</t>
  </si>
  <si>
    <t>1 Paul []</t>
  </si>
  <si>
    <t>Betel Flowers</t>
  </si>
  <si>
    <t>Pin Cushion 30/35cm</t>
  </si>
  <si>
    <t>1 Ralph (*Par) [Wine &amp; Blooms]</t>
  </si>
  <si>
    <t>Campos de Aroma</t>
  </si>
  <si>
    <t>Vincents Choice (T/F)</t>
  </si>
  <si>
    <t>Sunflower Mix</t>
  </si>
  <si>
    <t>Ceres Farms</t>
  </si>
  <si>
    <t>Roses 50cm</t>
  </si>
  <si>
    <t>0 Cesar [John - Bliss Point Floral Design GA]</t>
  </si>
  <si>
    <t>Christopher Flowers</t>
  </si>
  <si>
    <t>Stock Super 70cm</t>
  </si>
  <si>
    <t>1 Tefa [Nags Head NC]</t>
  </si>
  <si>
    <t>1 Paul (*Par) [A Wild Flower Shop]</t>
  </si>
  <si>
    <t>Coop Farms</t>
  </si>
  <si>
    <t>Delphinium Mix</t>
  </si>
  <si>
    <t>1 Fausto [Grande Flowers Shorewood WI]</t>
  </si>
  <si>
    <t>1 Joss [Eugene s Flower Home OR]</t>
  </si>
  <si>
    <t xml:space="preserve">Delphinium Mix </t>
  </si>
  <si>
    <t>1 Joss (*Impar) [The Possie Shoppe]</t>
  </si>
  <si>
    <t>1 Majo [The Florist at Moana NV];1 Majo [United Family Flower NY]</t>
  </si>
  <si>
    <t>Cultivos del Norte</t>
  </si>
  <si>
    <t>QB2</t>
  </si>
  <si>
    <t>CDN 70cm</t>
  </si>
  <si>
    <t>Eden</t>
  </si>
  <si>
    <t>Garden Roses 40/50cm</t>
  </si>
  <si>
    <t>Flodecol</t>
  </si>
  <si>
    <t>Gypsophilia Xlence</t>
  </si>
  <si>
    <t>250g. (T/F)</t>
  </si>
  <si>
    <t>2 Ben (*Impar) [The Bloom Flowery WA]</t>
  </si>
  <si>
    <t>Seawaltz/Skywaltz (T/F)</t>
  </si>
  <si>
    <t>20 Seawaltz/50 Skywaltz (T/F)</t>
  </si>
  <si>
    <t>1 John [Summer Breeze GA]</t>
  </si>
  <si>
    <t>Delphinium 70/80cm</t>
  </si>
  <si>
    <t>1 John [Filers Florsit OH]</t>
  </si>
  <si>
    <t>1 John [Summer Breeze GA];1 John [Summer Breeze GA];1 John [Summer Breeze GA];</t>
  </si>
  <si>
    <t>1 Ralph [Christys Floral and Gift Shop]</t>
  </si>
  <si>
    <t>1 Joss (*Par) [Bartlet]</t>
  </si>
  <si>
    <t>Florecal</t>
  </si>
  <si>
    <t>EC Designer Mix</t>
  </si>
  <si>
    <t>1 Ralph [Floral Cottage MT]</t>
  </si>
  <si>
    <t>1 Tefa [Mays Floral NV]</t>
  </si>
  <si>
    <t>Roses 60cm</t>
  </si>
  <si>
    <t>1 Joss [The Possie Shoppe]</t>
  </si>
  <si>
    <t>1 Paul [Rose Al Floral]</t>
  </si>
  <si>
    <t xml:space="preserve">1 Tefa [Isabellas Flowers &amp; Designs GA] </t>
  </si>
  <si>
    <t>HB</t>
  </si>
  <si>
    <t>1 Daniel [Country Squire Florist]</t>
  </si>
  <si>
    <t>Garden Roses 50cm</t>
  </si>
  <si>
    <t>12 Kings Cross // 12 Mayras Bridal ó Princess Crown ó Mademoiselle // 12 Mayras Peach ó Peach Xpression // 12 Tiptop ó Antonia ó Louis</t>
  </si>
  <si>
    <t>1 Joss [Auburn]</t>
  </si>
  <si>
    <t>25 Hearts // 25 Cold Brew // 25  Nexus ó Aloha // 25 Faith ó Shimmer</t>
  </si>
  <si>
    <t>Garden Spray Roses 50cm</t>
  </si>
  <si>
    <t>1 John [Fancy Floral ID]</t>
  </si>
  <si>
    <t xml:space="preserve">Roses 50cm </t>
  </si>
  <si>
    <t>1 Fausto (*Par) [Floristeria Gonzalez AL]</t>
  </si>
  <si>
    <t>50 Explorer/25 Mondial/25 Pink Love/25 Orange Crush (T/F)</t>
  </si>
  <si>
    <t>0 Cesar (*Par) []</t>
  </si>
  <si>
    <t>1 Ben (*Impar) [Ariz Flowers SC]</t>
  </si>
  <si>
    <t>Roses 50/60cm</t>
  </si>
  <si>
    <t>Fortune (T/F)</t>
  </si>
  <si>
    <t>Freedom (T/F)</t>
  </si>
  <si>
    <t>Redvolution (T/F)</t>
  </si>
  <si>
    <t>Garden Victorian 40cm</t>
  </si>
  <si>
    <t>Piano (T/F)</t>
  </si>
  <si>
    <t>Wedding Mix 40/50cm</t>
  </si>
  <si>
    <t>25 Playa Blanca/25 Quicksand/25 Barista/25 Symbol/25 Cold Brew (T/F)</t>
  </si>
  <si>
    <t xml:space="preserve">Garden Victorian 40cm </t>
  </si>
  <si>
    <t>Garden Spray Roses 40cm</t>
  </si>
  <si>
    <t>Roses Mix 40/50cm</t>
  </si>
  <si>
    <t>Florecot</t>
  </si>
  <si>
    <t>Hypericum</t>
  </si>
  <si>
    <t xml:space="preserve"> </t>
  </si>
  <si>
    <t>Florequisa</t>
  </si>
  <si>
    <t>Carnations Minami</t>
  </si>
  <si>
    <t>1 Joss (*Impar) [Bartlett Flowers and Gifts]</t>
  </si>
  <si>
    <t>Mini Carnations</t>
  </si>
  <si>
    <t>Carnations Mix</t>
  </si>
  <si>
    <t>1 Majo [The Florist at Moana NV]</t>
  </si>
  <si>
    <t>Flores Verdes</t>
  </si>
  <si>
    <t>Verdun Mix</t>
  </si>
  <si>
    <t>12 Roses + 3 Fillers (T/F)</t>
  </si>
  <si>
    <t>3 bu 12 Red + 1 Euc + 2 Sta // 2 bu 12 Orange + 1 Euc + 2 Sta // 2 bu 12 Yellow + 1 Euc + 2 Sta // 2 bu 12 Lavender + 1 Euc + 2 Sta // 3 bu 12 Pink + 1 Euc + 2 Sta // 1 bu 12 Purple  + 1 Euc + 2 Sta // 1 bu 12 Cream  + 1 Euc + 2 Sta // 1 bu 12 White + 1 Euc + 2 Sta</t>
  </si>
  <si>
    <t>1 Daniel []</t>
  </si>
  <si>
    <t>Roses 40/50cm</t>
  </si>
  <si>
    <t>25 Free Spirit 40cm/25 Think Pink 50cm/25 Explorer 50cm/25 Hot Explorer 50cm/25 White 50cm</t>
  </si>
  <si>
    <t>1 Fausto [The Flower Bar WA]</t>
  </si>
  <si>
    <t>Statice Select</t>
  </si>
  <si>
    <t>1 Ralph (*Impar) [Wishing Well];1 Ralph (*Par) [Floral Cottage MT]</t>
  </si>
  <si>
    <t>1 Ralph [Uptown Blossoms AK]</t>
  </si>
  <si>
    <t>1 Vero [The Wylde Rose CA]</t>
  </si>
  <si>
    <t>1 Paul  [Boise At it’s Best Flowers]</t>
  </si>
  <si>
    <t>1 Daniel [The Flower Market]</t>
  </si>
  <si>
    <t xml:space="preserve">1 Ralph [Floral Cottage MT] </t>
  </si>
  <si>
    <t>Spray Roses 50cm</t>
  </si>
  <si>
    <t>1 David [Monroe Floral WA]</t>
  </si>
  <si>
    <t>1 Ralph [Wishing Well Floral]</t>
  </si>
  <si>
    <t>Special Mix x96</t>
  </si>
  <si>
    <t>1 Fausto [Moshannon PA]</t>
  </si>
  <si>
    <t>1 Ralph (*Par) [Willow Rose ME]</t>
  </si>
  <si>
    <t xml:space="preserve">Special Mix x144 </t>
  </si>
  <si>
    <t>1 Ralph (*Par) [Something Special]</t>
  </si>
  <si>
    <t>Explorer (T/F)</t>
  </si>
  <si>
    <t>12 Ashley/12 White Ashley/12 Ohara/12 White Ohara (T/F)</t>
  </si>
  <si>
    <t>Florisol</t>
  </si>
  <si>
    <t>Bliss Box</t>
  </si>
  <si>
    <t>60 Alstro/20 Gypso/20 Ruscus/10 Ortientals/10 Roselilies x 120 (T/F)</t>
  </si>
  <si>
    <t>1QB x120: 50 Alstro (Lavender/White/Light PInk/Hot Pink/Salmon) / 20 Gypso Xcelenc / 10 Glaminis / 20 Ruscus / 10 Oriental Lilies 3-5 / 10 Roselilies 3-5</t>
  </si>
  <si>
    <t>1 John [Bliss Point Floral]</t>
  </si>
  <si>
    <t>Mums Cremons</t>
  </si>
  <si>
    <t>1 Daniel [Campus Floral]</t>
  </si>
  <si>
    <t>Alstroemeria Select 70/80cm</t>
  </si>
  <si>
    <t>1 Paul [Florafino]</t>
  </si>
  <si>
    <t>Oriental Lilies 3-5 blooms</t>
  </si>
  <si>
    <t>1 Daniel [Country Garden Florist]</t>
  </si>
  <si>
    <t xml:space="preserve">1 Ralph [Allans Flowers and More];1 Ralph [Country Living Florist] </t>
  </si>
  <si>
    <t>1 Daniel [Flower Central];1 Daniel [Country Garden Florist]</t>
  </si>
  <si>
    <t>1 Ralph [Allans Flowers and More]</t>
  </si>
  <si>
    <t xml:space="preserve">Mums Cremons </t>
  </si>
  <si>
    <t>1 Ben [Blooming Box MO]</t>
  </si>
  <si>
    <t>Roses Mix 50/60cm</t>
  </si>
  <si>
    <t>El Light Pink puede ser Be Sweet o Christa</t>
  </si>
  <si>
    <t>1 Joss (*Par) [Paducah]</t>
  </si>
  <si>
    <t>Oriental Lilies Mix</t>
  </si>
  <si>
    <t>1QB x60 Oriental Lilies: 30 White zambesi o Premium blond de 2/3 bl $0.95 /20 Pink sorbonne 3/5 $1.00 /10 Yellow concador 3/5 $1.00</t>
  </si>
  <si>
    <t>1 John (*Par) [RJG flowers CT]</t>
  </si>
  <si>
    <t>Sunny Mix</t>
  </si>
  <si>
    <t>20 Spray roses 50 cm $0.40 // 10 Glaminis Assorted $0.35 // 10 Gypsophilia 250 gr $0,22 // 10 Solidago select $0,20 // 10 Lepidium 70 cm $0,26 // 10 lilies 2-3 bl $0.95 // 10 lilies cualquier color (no blanco) 2-3 bl $0.95</t>
  </si>
  <si>
    <t>0 Cesar (*Par) [Estefany - State Fair Floral MO]</t>
  </si>
  <si>
    <t>1 Fausto (*Impar) [Ninas Flowers]</t>
  </si>
  <si>
    <t xml:space="preserve">Roselilies 3-5 Blooms </t>
  </si>
  <si>
    <t>1 Joss (*Impar) [Eugenes Flowers OR]</t>
  </si>
  <si>
    <t>1 Tefa (*Impar) [Jefferson Florist NC]</t>
  </si>
  <si>
    <t>Oriental Lilies 2-3 Blooms</t>
  </si>
  <si>
    <t>1 Tefa (*Par) [The Orchid Design Florist HI]</t>
  </si>
  <si>
    <t>1 Ralph (*Impar) [Something Special]</t>
  </si>
  <si>
    <t>*Fall Colors: 2 Carolina // 1 Resoucci // 1 Bellavista // 1 Fogata // 2 Totumo // 2 Rossano Orange // 1 Salmon Oefa</t>
  </si>
  <si>
    <t>Solidago 70cm</t>
  </si>
  <si>
    <t>(Florisol Mix) Harmony Box</t>
  </si>
  <si>
    <t>Florisol Mix: 20 Mums Cremon Mix 0,38 // 30 Ruscus Israeli 0,20 // 20 Oriental Lilies 2-3 blooms 0,95 // 10 Roselilies 2-3 blooms 1,40 // 20 Spray Mums 0,34</t>
  </si>
  <si>
    <t>(Piaveri Mix) Be Mine Box</t>
  </si>
  <si>
    <t>Piaveri  Mix: 20 Delphinium Mix 0,50 // 50 Alstro Mix 0,26 // 50 Spray Roses 0,35</t>
  </si>
  <si>
    <t>(Clarivel Mix) Pure Love</t>
  </si>
  <si>
    <t>Clarivel Mix: 40 Lepidium 70cm 0,26 // 40 Solidago 70cm Golden Glory 0,23 // 20 Solidago 80cm Romantic Glory 0,24 // 20 Glaminis Assorted 0,35 // 20 Gypso Xlence 250g 0,22</t>
  </si>
  <si>
    <t>Cremons Magnum</t>
  </si>
  <si>
    <t>(Vincents Choice) Essential Mix</t>
  </si>
  <si>
    <t>Vincents Choice: 20 Alstro 80cm Mix 0,26 // 20 Seawaltz 70cm 0,49 // 20 Spray Roses 50cm Mix 0,35 // 20 Lepidium 0,24 // 20 Gypso Xlence 250g. 0,22 // 20 Soligado 70/80cm Golden Glory  0,23</t>
  </si>
  <si>
    <t>Essential Mix</t>
  </si>
  <si>
    <t>Vincents Choice</t>
  </si>
  <si>
    <t>30 White/20 Pink (T/W)</t>
  </si>
  <si>
    <t>Florsani</t>
  </si>
  <si>
    <t>Eucalyptus Mix</t>
  </si>
  <si>
    <t>Flower Village</t>
  </si>
  <si>
    <t>Hydrangeas Pocket Mix</t>
  </si>
  <si>
    <t>1  Fausto [Ninas Flowers and Gifts]</t>
  </si>
  <si>
    <t xml:space="preserve">1 Ralph [Flowers by Zsuzsana] </t>
  </si>
  <si>
    <t>1 Ralph [Wine and Blooms]</t>
  </si>
  <si>
    <t>6 Tender Love/6 Charm/6 Trophy x 18 (T/F)</t>
  </si>
  <si>
    <t>High Garden</t>
  </si>
  <si>
    <t>Delphinium 70cm</t>
  </si>
  <si>
    <t>1 John (*Impar) [Summer Breeze GA]</t>
  </si>
  <si>
    <t>Hoja Verde</t>
  </si>
  <si>
    <t>Gerberas/Mini Gerberas Mix</t>
  </si>
  <si>
    <t>Assorted Colors</t>
  </si>
  <si>
    <t>Sweet Memory/Playa Blanca/Mamma Mia/Country Blues/Lolita (T/F)</t>
  </si>
  <si>
    <t>1 Daniel [Benjamins Flowers and Gifts]</t>
  </si>
  <si>
    <t>Gerberas</t>
  </si>
  <si>
    <t>1 David  []</t>
  </si>
  <si>
    <t>Mini Gerberas</t>
  </si>
  <si>
    <t>Latina Farms</t>
  </si>
  <si>
    <t>1 Ralph []</t>
  </si>
  <si>
    <t>50 Freedom/25 Light Pink/25 Brighton/25 Jacaranda (M/T)</t>
  </si>
  <si>
    <t>1 Joss (*Par) [Sues Creations]</t>
  </si>
  <si>
    <t>Mystic Flowers</t>
  </si>
  <si>
    <t>Neumann</t>
  </si>
  <si>
    <t>Lilies LA 2-3 Blooms</t>
  </si>
  <si>
    <t xml:space="preserve">Lilies LA 2-3 Blooms </t>
  </si>
  <si>
    <t>1 Daniel [Country Squire]</t>
  </si>
  <si>
    <t>1 Ralph (*Impar) [Uptown Blossoms AK]</t>
  </si>
  <si>
    <t>Plazoleta</t>
  </si>
  <si>
    <t>EB2</t>
  </si>
  <si>
    <t>Alstroemeria Perfection</t>
  </si>
  <si>
    <t>1 Fausto [The Flower Bar WA];1 Fausto [Ninas Flowers CA]</t>
  </si>
  <si>
    <t>2 Ralph [Wishing Well];1 Ralph [Uptown Blossoms AK];1 Ralph [Floral Cottage MT]</t>
  </si>
  <si>
    <t>Snapdragon Perfection</t>
  </si>
  <si>
    <t xml:space="preserve">Snapdragon Perfection </t>
  </si>
  <si>
    <t>1 Daniel (*Par) [Endless Creations]</t>
  </si>
  <si>
    <t xml:space="preserve">Alstroemeria Perfection </t>
  </si>
  <si>
    <t>1 Joss (*Par) [AM Floral and Gifts MI]</t>
  </si>
  <si>
    <t>Star Roses</t>
  </si>
  <si>
    <t>0 Cesar [Joss - Filogonia Lopez]</t>
  </si>
  <si>
    <t>1 Joss (*Par) [B Tulips de LU]</t>
  </si>
  <si>
    <t>1 Joss (*Impar) [B Tulips de LU]</t>
  </si>
  <si>
    <t>75 Rhoslyn/25 Fortune (T/F)</t>
  </si>
  <si>
    <t>75 Mondial/25 Fortune (T/F)</t>
  </si>
  <si>
    <t>0 Cesar (*Impar) []</t>
  </si>
  <si>
    <t>75 Jessika/25 Explore/25 Tibet (T/F)</t>
  </si>
  <si>
    <t>50 Freedom/25 Mondial/25 Jessica/25 Brighton (T/F)</t>
  </si>
  <si>
    <t>Tumbabirro</t>
  </si>
  <si>
    <t>Lisianthus 70cm</t>
  </si>
  <si>
    <t>20 Pink/20 White/20 Purple (T/F)</t>
  </si>
  <si>
    <t>1 Majo []</t>
  </si>
  <si>
    <t>1 Ralph [Wishing Well]</t>
  </si>
  <si>
    <t>20 White/10 Purple/10 Peach/10 Yellow/10 Pink</t>
  </si>
  <si>
    <t>1 Majo (*Par) []</t>
  </si>
  <si>
    <t>1 John (*Impar) [RJG flowers CT]</t>
  </si>
  <si>
    <t>1 Paul (*Impar) []</t>
  </si>
  <si>
    <t>1 Majo (*Par) [The Florist at Moana NV]</t>
  </si>
  <si>
    <t>Valleflor</t>
  </si>
  <si>
    <t>Alstroemeria Florinca</t>
  </si>
  <si>
    <t>Minimo 3 Colores</t>
  </si>
  <si>
    <t>Valley Mix</t>
  </si>
  <si>
    <t>30 Helleborous/30 Mini Callas/40 Coprosma x 100 stems</t>
  </si>
  <si>
    <t>Colores Assortados</t>
  </si>
  <si>
    <t>Highland Mix</t>
  </si>
  <si>
    <t>50 Green Crown/50 Echinacea Bubble Gum</t>
  </si>
  <si>
    <t>Delphinium Paramo Elatum 80cm</t>
  </si>
  <si>
    <t>Carnival Mix</t>
  </si>
  <si>
    <t>12 Aster Petit Carnival Lavender/5 Aster Duplo Carnival White/5 Aster Carnival Purple Caytlin/10 Limonium Carnival Kansas/10 Statice Carnival Purple Mystic Blue Bird/10 Statice Carnival White Starlight/5 Solidago Carnival Gold</t>
  </si>
  <si>
    <t>1 Ralph [Country Living Florist]</t>
  </si>
  <si>
    <t>Largo</t>
  </si>
  <si>
    <t>Peso</t>
  </si>
  <si>
    <t>Aprobado</t>
  </si>
  <si>
    <t>Ancho2</t>
  </si>
  <si>
    <t>Alto2</t>
  </si>
  <si>
    <t>Peso Pulgadas</t>
  </si>
  <si>
    <t>40cm</t>
  </si>
  <si>
    <t>50cm</t>
  </si>
  <si>
    <t>60cm</t>
  </si>
  <si>
    <t>70cm</t>
  </si>
  <si>
    <t>80cm</t>
  </si>
  <si>
    <t>90cm</t>
  </si>
  <si>
    <t>100cm</t>
  </si>
  <si>
    <t>Seguro</t>
  </si>
  <si>
    <t>SB</t>
  </si>
  <si>
    <t>SB UK</t>
  </si>
  <si>
    <t>EB UK</t>
  </si>
  <si>
    <t>QB UK</t>
  </si>
  <si>
    <t>HB UK</t>
  </si>
  <si>
    <t>EB2 UK</t>
  </si>
  <si>
    <t>QB2 UK</t>
  </si>
  <si>
    <t>EC QB 1</t>
  </si>
  <si>
    <t>EC QB 2</t>
  </si>
  <si>
    <t>Anthonela EB 5K</t>
  </si>
  <si>
    <t>Anthonela EB 9K</t>
  </si>
  <si>
    <t>Anthonela QB 13K</t>
  </si>
  <si>
    <t>Anthonela QB 15K</t>
  </si>
  <si>
    <t>Anthonela HB 24K</t>
  </si>
  <si>
    <t>Agrivaldani HB F1</t>
  </si>
  <si>
    <t>18-20</t>
  </si>
  <si>
    <t>16-18</t>
  </si>
  <si>
    <t>14-16</t>
  </si>
  <si>
    <t>12-14</t>
  </si>
  <si>
    <t>10</t>
  </si>
  <si>
    <t>Agrivaldani HB F2</t>
  </si>
  <si>
    <t>10-12</t>
  </si>
  <si>
    <t>8</t>
  </si>
  <si>
    <t>Agrivaldani HB F3</t>
  </si>
  <si>
    <t>12</t>
  </si>
  <si>
    <t>8-10</t>
  </si>
  <si>
    <t>6-8</t>
  </si>
  <si>
    <t>6</t>
  </si>
  <si>
    <t>Agrivaldani QB F4</t>
  </si>
  <si>
    <t>5-6</t>
  </si>
  <si>
    <t>5</t>
  </si>
  <si>
    <t>4</t>
  </si>
  <si>
    <t>Agrivaldani QB F5</t>
  </si>
  <si>
    <t>4-5</t>
  </si>
  <si>
    <t>Agrivaldani QB C1</t>
  </si>
  <si>
    <t>Agrivaldani HB C2</t>
  </si>
  <si>
    <t>24</t>
  </si>
  <si>
    <t>Agrogana SB</t>
  </si>
  <si>
    <t xml:space="preserve">Agrogana EB Auto </t>
  </si>
  <si>
    <t xml:space="preserve">Agrogana EB Ceja </t>
  </si>
  <si>
    <t xml:space="preserve">Agrogana EB Grande </t>
  </si>
  <si>
    <t>Agrogana QB Corto</t>
  </si>
  <si>
    <t>Agrogana QB Largo</t>
  </si>
  <si>
    <t>Agrogana HB Corto</t>
  </si>
  <si>
    <t>Agrogana HB Largo</t>
  </si>
  <si>
    <t>Agroprim EB</t>
  </si>
  <si>
    <t>Agroprim QB Pequeño</t>
  </si>
  <si>
    <t>Agroprim QB Mediano</t>
  </si>
  <si>
    <t>Agroprim QB Grande</t>
  </si>
  <si>
    <t>Agroprim HB</t>
  </si>
  <si>
    <t>Alinatura QB Roses + Stem</t>
  </si>
  <si>
    <t>20 st</t>
  </si>
  <si>
    <t>Alinatura HB Preservadas</t>
  </si>
  <si>
    <t>Betel EB</t>
  </si>
  <si>
    <t>Betel QB</t>
  </si>
  <si>
    <t>Casageo EB</t>
  </si>
  <si>
    <t>Casageo QB</t>
  </si>
  <si>
    <t>Casageo HB</t>
  </si>
  <si>
    <t>Casageo HB Grande</t>
  </si>
  <si>
    <t>Christopher Flowers EB</t>
  </si>
  <si>
    <t>Christopher Flowers QB</t>
  </si>
  <si>
    <t>Cultivos del Norte QB2</t>
  </si>
  <si>
    <t>Cultivos del Norte HB2 1</t>
  </si>
  <si>
    <t>Cultivos del Norte HB2 1 Ruso</t>
  </si>
  <si>
    <t>Ceres EB</t>
  </si>
  <si>
    <t>2</t>
  </si>
  <si>
    <t>Ceres QB Pequeño</t>
  </si>
  <si>
    <t>Ceres QB Mediano</t>
  </si>
  <si>
    <t>Ceres QB Grande</t>
  </si>
  <si>
    <t>Ceres HB 1 Jumbo</t>
  </si>
  <si>
    <t>Ceres HB 2 Extra Jumbo</t>
  </si>
  <si>
    <t>14</t>
  </si>
  <si>
    <t>Ceres HB 3 Super Jumbo</t>
  </si>
  <si>
    <t>22</t>
  </si>
  <si>
    <t>18</t>
  </si>
  <si>
    <t>16</t>
  </si>
  <si>
    <t>Ceres HB 4 Mega Jumbo</t>
  </si>
  <si>
    <t>30</t>
  </si>
  <si>
    <t>20</t>
  </si>
  <si>
    <t>Coop EB</t>
  </si>
  <si>
    <t>Coop QB</t>
  </si>
  <si>
    <t>Coop HB</t>
  </si>
  <si>
    <t>140</t>
  </si>
  <si>
    <t>Cultivos del Norte HB2</t>
  </si>
  <si>
    <t>250</t>
  </si>
  <si>
    <t>Dummen Orange QB</t>
  </si>
  <si>
    <t>Eden QB 1</t>
  </si>
  <si>
    <t>Eden QB 2</t>
  </si>
  <si>
    <t>Eden HB E</t>
  </si>
  <si>
    <t>Eden HB A</t>
  </si>
  <si>
    <t>Eden HB J</t>
  </si>
  <si>
    <t>La Conchita QB2 Alto</t>
  </si>
  <si>
    <t>La Conchita QB2 Normal</t>
  </si>
  <si>
    <t>La Conchita EB2</t>
  </si>
  <si>
    <t>Floraroma QB</t>
  </si>
  <si>
    <t>Floraroma HB Normal</t>
  </si>
  <si>
    <t>Florisol EB</t>
  </si>
  <si>
    <t>Florisol EB Grande</t>
  </si>
  <si>
    <t>Florisol QB Fillers</t>
  </si>
  <si>
    <t>Florisol QB Roses</t>
  </si>
  <si>
    <t>Florisol HB</t>
  </si>
  <si>
    <t>Florisol HB2</t>
  </si>
  <si>
    <t>Florecal EB Pequeño</t>
  </si>
  <si>
    <t>Florecal EB Grande</t>
  </si>
  <si>
    <t>Florecal QB Pequeño</t>
  </si>
  <si>
    <t>Florecal QB Grande</t>
  </si>
  <si>
    <t>Florecal HB 1</t>
  </si>
  <si>
    <t>Florecal HB 2 Jumbo</t>
  </si>
  <si>
    <t>Flores Verdes EB</t>
  </si>
  <si>
    <t>Flores Verdes QB Corta</t>
  </si>
  <si>
    <t>Flores Verdes QB Larga</t>
  </si>
  <si>
    <t>Flores Verdes HB 1</t>
  </si>
  <si>
    <t>Flores Verdes HB 2 Jumbo</t>
  </si>
  <si>
    <t>Florecot EB</t>
  </si>
  <si>
    <t>Florecot QB</t>
  </si>
  <si>
    <t>Florsani EB</t>
  </si>
  <si>
    <t>Florsani QB</t>
  </si>
  <si>
    <t>Florsani QBJ</t>
  </si>
  <si>
    <t>Florsani HB</t>
  </si>
  <si>
    <t>Florsani HB HE</t>
  </si>
  <si>
    <t>Florsani HB HJ</t>
  </si>
  <si>
    <t>Flower Village EB</t>
  </si>
  <si>
    <t>Flower Village QB Pequeño</t>
  </si>
  <si>
    <t>Flower Village QB Grande</t>
  </si>
  <si>
    <t>Flower Village HB Pequeño</t>
  </si>
  <si>
    <t>Flower Village HB Mediano</t>
  </si>
  <si>
    <t>Flower Village HB Grande</t>
  </si>
  <si>
    <t>Flower Party EB</t>
  </si>
  <si>
    <t>Flowers Party QB</t>
  </si>
  <si>
    <t>High Garden EB</t>
  </si>
  <si>
    <t>High Garden QB</t>
  </si>
  <si>
    <t>Hoja Verde EB</t>
  </si>
  <si>
    <t>Hoja Verde QB 96</t>
  </si>
  <si>
    <t>Hoja Verde QB 104</t>
  </si>
  <si>
    <t>3</t>
  </si>
  <si>
    <t>Hoja Verde QB 120</t>
  </si>
  <si>
    <t>Hoja Verde HB 25</t>
  </si>
  <si>
    <t>6-5</t>
  </si>
  <si>
    <t>Hoja Verde HB 30</t>
  </si>
  <si>
    <t>Hoja Verde HB 35</t>
  </si>
  <si>
    <t>Hoja Verde HB 40</t>
  </si>
  <si>
    <t>Hoja Verde HB 120</t>
  </si>
  <si>
    <t>Ikebana EB</t>
  </si>
  <si>
    <t>La Conchita HB2</t>
  </si>
  <si>
    <t>La Conchita HB2 Telestropic</t>
  </si>
  <si>
    <t>Latina Farms QB</t>
  </si>
  <si>
    <t>Latina Farms HB 100</t>
  </si>
  <si>
    <t>Latina Farms HB 110</t>
  </si>
  <si>
    <t>Latina Farms HB 120</t>
  </si>
  <si>
    <t>Latina Farms HB 130</t>
  </si>
  <si>
    <t>Lulu Display QB</t>
  </si>
  <si>
    <t>Lulu Master Box HB</t>
  </si>
  <si>
    <t>Lulu EB</t>
  </si>
  <si>
    <t>Lulu QB</t>
  </si>
  <si>
    <t>Lulu HB</t>
  </si>
  <si>
    <t>Luxus QB 104</t>
  </si>
  <si>
    <t>Luxus QB 105</t>
  </si>
  <si>
    <t>Luxus HB USA 112</t>
  </si>
  <si>
    <t>Luxus HB Jumbo 120</t>
  </si>
  <si>
    <t>Luxus HB Super Jumbo 130</t>
  </si>
  <si>
    <t>Naranjo Preserved QB</t>
  </si>
  <si>
    <t>Naranjo EB</t>
  </si>
  <si>
    <t>Naranjo QB Angeflor</t>
  </si>
  <si>
    <t>Naranjo QB Pequeño</t>
  </si>
  <si>
    <t>Naranjo QB Grande</t>
  </si>
  <si>
    <t>Naranjo HB P Angeflor</t>
  </si>
  <si>
    <t>Naranjo HB M Angeflor</t>
  </si>
  <si>
    <t>Naranjo HB Pequeña</t>
  </si>
  <si>
    <t>Naranjo HB Mediana</t>
  </si>
  <si>
    <t>Nranajo HB Grande</t>
  </si>
  <si>
    <t>Naranjo HB Extra Grande</t>
  </si>
  <si>
    <t>Naranjo HB Preserved 2</t>
  </si>
  <si>
    <t>Nivalia QB</t>
  </si>
  <si>
    <t>Nivalia HB</t>
  </si>
  <si>
    <t>Nivalia HB J</t>
  </si>
  <si>
    <t>Optimum Roses + Stem QB</t>
  </si>
  <si>
    <t>Proteas Sol Andino QB</t>
  </si>
  <si>
    <t>Proteas Sol Andino HB</t>
  </si>
  <si>
    <t>San Luis EB Pequeño</t>
  </si>
  <si>
    <t>San Luis EB Grande</t>
  </si>
  <si>
    <t>San Luis QB Pequeño</t>
  </si>
  <si>
    <t>San Luis QB Grande</t>
  </si>
  <si>
    <t>San Luis HB 1</t>
  </si>
  <si>
    <t>San Luis HB 2</t>
  </si>
  <si>
    <t>San Luis HB 3</t>
  </si>
  <si>
    <t>Star Roses EB</t>
  </si>
  <si>
    <t>Star Roses QB Kraft</t>
  </si>
  <si>
    <t>Star Roses QB Grande</t>
  </si>
  <si>
    <t xml:space="preserve">Star Roses HB USA </t>
  </si>
  <si>
    <t>Star Roses HB Rusa Corta</t>
  </si>
  <si>
    <t>Treasure Flowers QB</t>
  </si>
  <si>
    <t>Tumbabiro EB</t>
  </si>
  <si>
    <t>Tumbabiro QB</t>
  </si>
  <si>
    <t>Aumentos:</t>
  </si>
  <si>
    <t>Ranunculus Mix</t>
  </si>
  <si>
    <t>1 Joss (*Impar) [Bartlet]</t>
  </si>
  <si>
    <t>Seawaltz/Skywaltz</t>
  </si>
  <si>
    <t>1 Tefa []</t>
  </si>
  <si>
    <t>Greenery Mix N15</t>
  </si>
  <si>
    <t>*Eucalipthus Mix</t>
  </si>
  <si>
    <t>Eucalyptus Baby Blue 45cm 2bu 0.30 // Eucalyptus Cinerea 50cm Blue 2bu 0.30 // Eucalyptus Parvifolia 50-60cm 2bu 0.30 // Hebes 2bu 40CM 0.30 // Lepidum Green Dragon 70cm 2bu 0.45 // Smilax GARLAND 120 cm 2bu  3.50</t>
  </si>
  <si>
    <t>Día</t>
  </si>
  <si>
    <t>Fecha</t>
  </si>
  <si>
    <t>Vuelos</t>
  </si>
  <si>
    <t>Entrega</t>
  </si>
  <si>
    <t>Ecuador</t>
  </si>
  <si>
    <t>Colombia</t>
  </si>
  <si>
    <t>Llegada</t>
  </si>
  <si>
    <t>Fragmento</t>
  </si>
  <si>
    <t>ID</t>
  </si>
  <si>
    <t>Semana</t>
  </si>
  <si>
    <t>Open Market</t>
  </si>
  <si>
    <t>Size</t>
  </si>
  <si>
    <t>Season</t>
  </si>
  <si>
    <t>Colors</t>
  </si>
  <si>
    <t>Category</t>
  </si>
  <si>
    <t>(M/T)</t>
  </si>
  <si>
    <t>Andrés Baquero</t>
  </si>
  <si>
    <t>Andres</t>
  </si>
  <si>
    <t>abaquero</t>
  </si>
  <si>
    <t>10cm</t>
  </si>
  <si>
    <t>New Year</t>
  </si>
  <si>
    <t>White</t>
  </si>
  <si>
    <t>Ageratum</t>
  </si>
  <si>
    <t>(T/W)</t>
  </si>
  <si>
    <t>Benjamin Aspiazu</t>
  </si>
  <si>
    <t>Ben</t>
  </si>
  <si>
    <t>baspiazu</t>
  </si>
  <si>
    <t>20cm</t>
  </si>
  <si>
    <t>Valentines Day</t>
  </si>
  <si>
    <t>Cream</t>
  </si>
  <si>
    <t>Amaranthus Hanging</t>
  </si>
  <si>
    <t>(W/T)</t>
  </si>
  <si>
    <t>César Aguilar</t>
  </si>
  <si>
    <t>Cesar</t>
  </si>
  <si>
    <t>caguilar</t>
  </si>
  <si>
    <t>30cm</t>
  </si>
  <si>
    <t>Mothers Day</t>
  </si>
  <si>
    <t>Sand</t>
  </si>
  <si>
    <t>Amarathus Upright</t>
  </si>
  <si>
    <t>Joss Mera</t>
  </si>
  <si>
    <t>Joss</t>
  </si>
  <si>
    <t>cmera</t>
  </si>
  <si>
    <t>Producto</t>
  </si>
  <si>
    <t>Fathers Day</t>
  </si>
  <si>
    <t>Yellow</t>
  </si>
  <si>
    <t>Ammi Majus</t>
  </si>
  <si>
    <t>Sabado B</t>
  </si>
  <si>
    <t>(T/F)</t>
  </si>
  <si>
    <t>David Enriquez</t>
  </si>
  <si>
    <t>David</t>
  </si>
  <si>
    <t>denriquez</t>
  </si>
  <si>
    <t>Yellow Flowers</t>
  </si>
  <si>
    <t>Light Pink</t>
  </si>
  <si>
    <t>Anemones</t>
  </si>
  <si>
    <t>Daniel Valencia</t>
  </si>
  <si>
    <t>Daniel</t>
  </si>
  <si>
    <t>dvalencia</t>
  </si>
  <si>
    <t>Ordenes Fijas</t>
  </si>
  <si>
    <t>American Holiday</t>
  </si>
  <si>
    <t>Peach</t>
  </si>
  <si>
    <t>Astrantias</t>
  </si>
  <si>
    <t>-</t>
  </si>
  <si>
    <t>(F)</t>
  </si>
  <si>
    <t>Estefany Orces</t>
  </si>
  <si>
    <t>Tefa</t>
  </si>
  <si>
    <t>eorces</t>
  </si>
  <si>
    <t>Fincas</t>
  </si>
  <si>
    <t>Saint Patrick</t>
  </si>
  <si>
    <t>Light Blue</t>
  </si>
  <si>
    <t>Bells of Ireland</t>
  </si>
  <si>
    <t>Fausto Paramo</t>
  </si>
  <si>
    <t>Fausto</t>
  </si>
  <si>
    <t>fparamo</t>
  </si>
  <si>
    <t>Clientes</t>
  </si>
  <si>
    <t>Easter</t>
  </si>
  <si>
    <t>Mustard</t>
  </si>
  <si>
    <t>Butterfly Lilies</t>
  </si>
  <si>
    <t>Francisco Valencia</t>
  </si>
  <si>
    <t>Fran</t>
  </si>
  <si>
    <t>fvalencia</t>
  </si>
  <si>
    <t>PO</t>
  </si>
  <si>
    <t>Fall</t>
  </si>
  <si>
    <t>Coral</t>
  </si>
  <si>
    <t>Button</t>
  </si>
  <si>
    <t>Julieta Gonzales</t>
  </si>
  <si>
    <t>Juli</t>
  </si>
  <si>
    <t>jgonzalez</t>
  </si>
  <si>
    <t>Halloween</t>
  </si>
  <si>
    <t>Orange</t>
  </si>
  <si>
    <t>Campanulas</t>
  </si>
  <si>
    <t>John Ochoa</t>
  </si>
  <si>
    <t>John</t>
  </si>
  <si>
    <t>jochoa</t>
  </si>
  <si>
    <t>Thanksgiving</t>
  </si>
  <si>
    <t>Medium Pink</t>
  </si>
  <si>
    <t>Carnations</t>
  </si>
  <si>
    <t>Kevin Ruiz</t>
  </si>
  <si>
    <t>Kevin</t>
  </si>
  <si>
    <t>kruiz</t>
  </si>
  <si>
    <t> </t>
  </si>
  <si>
    <t>Navidad</t>
  </si>
  <si>
    <t>Lavender</t>
  </si>
  <si>
    <t>Chrysanthemum</t>
  </si>
  <si>
    <t>María Jose Cabrera</t>
  </si>
  <si>
    <t>Majo</t>
  </si>
  <si>
    <t>mcabrera</t>
  </si>
  <si>
    <t>Spring</t>
  </si>
  <si>
    <t>Combo Box</t>
  </si>
  <si>
    <t>Paul Bodley</t>
  </si>
  <si>
    <t>Paul</t>
  </si>
  <si>
    <t>pbodley</t>
  </si>
  <si>
    <t>Reporte Fincas</t>
  </si>
  <si>
    <t>Green</t>
  </si>
  <si>
    <t>Craspedias</t>
  </si>
  <si>
    <t>Rafael Baquero</t>
  </si>
  <si>
    <t>Ralph</t>
  </si>
  <si>
    <t>rbaquero</t>
  </si>
  <si>
    <t>Cantidad</t>
  </si>
  <si>
    <t>Hot Pink</t>
  </si>
  <si>
    <t>Cushion</t>
  </si>
  <si>
    <t>Veronica Calero</t>
  </si>
  <si>
    <t>Vero</t>
  </si>
  <si>
    <t>vcalero</t>
  </si>
  <si>
    <t>Bronze</t>
  </si>
  <si>
    <t>Daisy</t>
  </si>
  <si>
    <t>Cliente</t>
  </si>
  <si>
    <t>Red</t>
  </si>
  <si>
    <t>David Austin Garden Rose</t>
  </si>
  <si>
    <t>Burgundy</t>
  </si>
  <si>
    <t>Delphinium</t>
  </si>
  <si>
    <t>Purple</t>
  </si>
  <si>
    <t>Dianthus</t>
  </si>
  <si>
    <t>Blue</t>
  </si>
  <si>
    <t>Dubium</t>
  </si>
  <si>
    <t>Earth</t>
  </si>
  <si>
    <t>Eryngium</t>
  </si>
  <si>
    <t>Bicolor</t>
  </si>
  <si>
    <t>Football Mum</t>
  </si>
  <si>
    <t>Compositions</t>
  </si>
  <si>
    <t>Garden Alike Rose</t>
  </si>
  <si>
    <t>Valentines</t>
  </si>
  <si>
    <t>Garden Rose</t>
  </si>
  <si>
    <t>Garden Spray Rose</t>
  </si>
  <si>
    <t>American</t>
  </si>
  <si>
    <t>Gerbera</t>
  </si>
  <si>
    <t>Greenery</t>
  </si>
  <si>
    <t>Gypsophila</t>
  </si>
  <si>
    <t>Hydrangeas</t>
  </si>
  <si>
    <t>Christmas</t>
  </si>
  <si>
    <t>Tinited</t>
  </si>
  <si>
    <t>LA Lilies</t>
  </si>
  <si>
    <t>Rainbow</t>
  </si>
  <si>
    <t>Lepidium</t>
  </si>
  <si>
    <t>Lisianthus</t>
  </si>
  <si>
    <t>Fuchsia</t>
  </si>
  <si>
    <t>Mums Disbud Balls</t>
  </si>
  <si>
    <t>Blush</t>
  </si>
  <si>
    <t>Novelty</t>
  </si>
  <si>
    <t>Oriental Lilies</t>
  </si>
  <si>
    <t>OT Lilies</t>
  </si>
  <si>
    <t>Pompom</t>
  </si>
  <si>
    <t>Roselilies</t>
  </si>
  <si>
    <t>Spider Mum</t>
  </si>
  <si>
    <t>Spray Rose</t>
  </si>
  <si>
    <t>Standard Rose</t>
  </si>
  <si>
    <t>Stock Super</t>
  </si>
  <si>
    <t>Sunflower</t>
  </si>
  <si>
    <t>Sweet Pea</t>
  </si>
  <si>
    <t>Tweedia</t>
  </si>
  <si>
    <t>Victorian Garden Rose</t>
  </si>
  <si>
    <t>Agencia</t>
  </si>
  <si>
    <t>Notas</t>
  </si>
  <si>
    <t>Florana</t>
  </si>
  <si>
    <t>n</t>
  </si>
  <si>
    <t>Bellarosa</t>
  </si>
  <si>
    <t>Holex</t>
  </si>
  <si>
    <t>y</t>
  </si>
  <si>
    <t>Fedex - UPS</t>
  </si>
  <si>
    <t>Rose Conection</t>
  </si>
  <si>
    <t>Lupita Flowers</t>
  </si>
  <si>
    <t>Petaloz</t>
  </si>
  <si>
    <t>Calla Flowers</t>
  </si>
  <si>
    <t>Sande Flowers</t>
  </si>
  <si>
    <t>US Greens</t>
  </si>
  <si>
    <t>Hanna Gardens</t>
  </si>
  <si>
    <t>Welyflor</t>
  </si>
  <si>
    <t>Bloomhaus</t>
  </si>
  <si>
    <t>Floraroma</t>
  </si>
  <si>
    <t>Magic Flowers</t>
  </si>
  <si>
    <t>Flowers Party</t>
  </si>
  <si>
    <t>Nelpo</t>
  </si>
  <si>
    <t xml:space="preserve">Flor Eterna </t>
  </si>
  <si>
    <t xml:space="preserve">ECUADORUNIQUE </t>
  </si>
  <si>
    <t>Olimpo Flowers</t>
  </si>
  <si>
    <t>Bloomlink</t>
  </si>
  <si>
    <t>Merinoroses</t>
  </si>
  <si>
    <t>Hydra Farms</t>
  </si>
  <si>
    <t>Feel Flowers</t>
  </si>
  <si>
    <t>GalaxyTrade Corp</t>
  </si>
  <si>
    <t>Loma Linda</t>
  </si>
  <si>
    <t>FLORSEL</t>
  </si>
  <si>
    <t>Agroflora</t>
  </si>
  <si>
    <t>Stampsybox</t>
  </si>
  <si>
    <t>Flormare</t>
  </si>
  <si>
    <t>Kiara Preserved</t>
  </si>
  <si>
    <t>Agrinag</t>
  </si>
  <si>
    <t>Ecoador Floral</t>
  </si>
  <si>
    <t>Joysgarden</t>
  </si>
  <si>
    <t>Benitflor</t>
  </si>
  <si>
    <t>La Toscana Farms</t>
  </si>
  <si>
    <t>Montebello Roses</t>
  </si>
  <si>
    <t>Finca la Abuela</t>
  </si>
  <si>
    <t>Florisol Clarivel</t>
  </si>
  <si>
    <t>Florisol Piaveri</t>
  </si>
  <si>
    <t>Vabagro</t>
  </si>
  <si>
    <t>Aj Flowers</t>
  </si>
  <si>
    <t>Clarivel</t>
  </si>
  <si>
    <t>Jardin Piaveri</t>
  </si>
  <si>
    <t>Sunrite Farms</t>
  </si>
  <si>
    <t>Alinatura</t>
  </si>
  <si>
    <t>Angosacha Flowers</t>
  </si>
  <si>
    <t>Lavender World</t>
  </si>
  <si>
    <t>UPS</t>
  </si>
  <si>
    <t>Flowers and Co</t>
  </si>
  <si>
    <t>Summer Bouquet</t>
  </si>
  <si>
    <t>Fedex</t>
  </si>
  <si>
    <t>Star Roses 1</t>
  </si>
  <si>
    <t>Star Roses 2</t>
  </si>
  <si>
    <t>Star Roses 3</t>
  </si>
  <si>
    <t>Ikebana</t>
  </si>
  <si>
    <t>St Monica</t>
  </si>
  <si>
    <t>Anthonela Farms</t>
  </si>
  <si>
    <t xml:space="preserve">Optimum Flowers </t>
  </si>
  <si>
    <t>San Luis</t>
  </si>
  <si>
    <t>Rosas del Corazon</t>
  </si>
  <si>
    <t>Treasure Flowers</t>
  </si>
  <si>
    <t>HydranFlowers</t>
  </si>
  <si>
    <t>Alexandra Farms</t>
  </si>
  <si>
    <t>Premium Garden Roses</t>
  </si>
  <si>
    <t>Coordinacion</t>
  </si>
  <si>
    <t>Circasia SAS</t>
  </si>
  <si>
    <t>Vuelven SAS</t>
  </si>
  <si>
    <t>Matina</t>
  </si>
  <si>
    <t xml:space="preserve">Naranjo </t>
  </si>
  <si>
    <t>Casageo</t>
  </si>
  <si>
    <t>La Conchita</t>
  </si>
  <si>
    <t>Megaflor</t>
  </si>
  <si>
    <t>Agrivaldani</t>
  </si>
  <si>
    <t>Dummen Orange</t>
  </si>
  <si>
    <t>Luxus Blumen</t>
  </si>
  <si>
    <t>Jet Fresh</t>
  </si>
  <si>
    <t>Nivalia</t>
  </si>
  <si>
    <t>Lista Actualizada 4/Sep/2026</t>
  </si>
  <si>
    <t>Categoría</t>
  </si>
  <si>
    <t>Composición</t>
  </si>
  <si>
    <t>Color 1</t>
  </si>
  <si>
    <t>Color 2</t>
  </si>
  <si>
    <t>Temp</t>
  </si>
  <si>
    <t>IMG</t>
  </si>
  <si>
    <t>Caja EC</t>
  </si>
  <si>
    <t>Op</t>
  </si>
  <si>
    <t>Caja Finca</t>
  </si>
  <si>
    <t>Total Tallos</t>
  </si>
  <si>
    <t>Compra</t>
  </si>
  <si>
    <t>Venta</t>
  </si>
  <si>
    <t>Caja UK</t>
  </si>
  <si>
    <t>Op UK</t>
  </si>
  <si>
    <t>Compra UK</t>
  </si>
  <si>
    <t>Markup UK</t>
  </si>
  <si>
    <t>Venta UK</t>
  </si>
  <si>
    <t>Cabaret</t>
  </si>
  <si>
    <t>Reddish Purple</t>
  </si>
  <si>
    <t>Molucella</t>
  </si>
  <si>
    <t>Frescolita</t>
  </si>
  <si>
    <t>Amor Turpial</t>
  </si>
  <si>
    <t>Rio</t>
  </si>
  <si>
    <t>Show</t>
  </si>
  <si>
    <t>Show Red</t>
  </si>
  <si>
    <t>Amor Light Mint</t>
  </si>
  <si>
    <t>Ribbon</t>
  </si>
  <si>
    <t>Colorado Springs</t>
  </si>
  <si>
    <t>Gagarin</t>
  </si>
  <si>
    <t>Georgia</t>
  </si>
  <si>
    <t>Andrea</t>
  </si>
  <si>
    <t>Andrea Red</t>
  </si>
  <si>
    <t>Whoopy</t>
  </si>
  <si>
    <t>Veronica</t>
  </si>
  <si>
    <t>Superstar</t>
  </si>
  <si>
    <t>Msigni</t>
  </si>
  <si>
    <t>Veronica Bronce</t>
  </si>
  <si>
    <t>Cooper</t>
  </si>
  <si>
    <t>Rock</t>
  </si>
  <si>
    <t>Olaf</t>
  </si>
  <si>
    <t>Bumble Bee</t>
  </si>
  <si>
    <t>Celia pink</t>
  </si>
  <si>
    <t>Whatsapp</t>
  </si>
  <si>
    <t>Peptalk</t>
  </si>
  <si>
    <t>Lexy</t>
  </si>
  <si>
    <t>Red Lexy</t>
  </si>
  <si>
    <t>White Secret</t>
  </si>
  <si>
    <t>Monserrate</t>
  </si>
  <si>
    <t>Solaris</t>
  </si>
  <si>
    <t>Smashing</t>
  </si>
  <si>
    <t>Adele</t>
  </si>
  <si>
    <t>Adele Bronze</t>
  </si>
  <si>
    <t>Savannah</t>
  </si>
  <si>
    <t>Bone</t>
  </si>
  <si>
    <t>Carezza</t>
  </si>
  <si>
    <t>Rise and Shine</t>
  </si>
  <si>
    <t>Shocking Blue</t>
  </si>
  <si>
    <t>The Pearl</t>
  </si>
  <si>
    <t>Think Pink</t>
  </si>
  <si>
    <t>Ascot</t>
  </si>
  <si>
    <t>Barista</t>
  </si>
  <si>
    <t>Champagner</t>
  </si>
  <si>
    <t>Cold Brew</t>
  </si>
  <si>
    <t>Golden Mustard</t>
  </si>
  <si>
    <t>Joy</t>
  </si>
  <si>
    <t>Pink Puma</t>
  </si>
  <si>
    <t>Playa Blanca</t>
  </si>
  <si>
    <t>Snow Ballet</t>
  </si>
  <si>
    <t>Symbol</t>
  </si>
  <si>
    <t>Tutle</t>
  </si>
  <si>
    <t>Absolute in Pink</t>
  </si>
  <si>
    <t>Aloha</t>
  </si>
  <si>
    <t>Atlas</t>
  </si>
  <si>
    <t>Black Baccara</t>
  </si>
  <si>
    <t>Brighton</t>
  </si>
  <si>
    <t>Bromo</t>
  </si>
  <si>
    <t>Cadillac</t>
  </si>
  <si>
    <t>Carnelian</t>
  </si>
  <si>
    <t>Explorer</t>
  </si>
  <si>
    <t>Fortune</t>
  </si>
  <si>
    <t>Free Spirit</t>
  </si>
  <si>
    <t>Goldfinch</t>
  </si>
  <si>
    <t>Govinda</t>
  </si>
  <si>
    <t>Hot Explorer</t>
  </si>
  <si>
    <t>Jacaranda</t>
  </si>
  <si>
    <t>Jet Set</t>
  </si>
  <si>
    <t>Lola</t>
  </si>
  <si>
    <t>Magic Times</t>
  </si>
  <si>
    <t>Matilda</t>
  </si>
  <si>
    <t>Menta</t>
  </si>
  <si>
    <t>Momentum</t>
  </si>
  <si>
    <t>Mondial</t>
  </si>
  <si>
    <t>Moody Blues</t>
  </si>
  <si>
    <t>Moonstone</t>
  </si>
  <si>
    <t>Nexus</t>
  </si>
  <si>
    <t>Orange Crush</t>
  </si>
  <si>
    <t>Phoenix</t>
  </si>
  <si>
    <t>Pink Amaretto</t>
  </si>
  <si>
    <t>Pink Floyd</t>
  </si>
  <si>
    <t>Pink Love</t>
  </si>
  <si>
    <t>Pink Mondial</t>
  </si>
  <si>
    <t>Quicksand</t>
  </si>
  <si>
    <t>Red Panther</t>
  </si>
  <si>
    <t>Redvolution</t>
  </si>
  <si>
    <t>Remembrance</t>
  </si>
  <si>
    <t>Selfie</t>
  </si>
  <si>
    <t>Serenade</t>
  </si>
  <si>
    <t>Shimmer</t>
  </si>
  <si>
    <t>Star Platinum</t>
  </si>
  <si>
    <t>Sweet 4 Love</t>
  </si>
  <si>
    <t>VIPink</t>
  </si>
  <si>
    <t>Violet Hill</t>
  </si>
  <si>
    <t>Blueberry</t>
  </si>
  <si>
    <t>Breathless</t>
  </si>
  <si>
    <t>Deep Purple</t>
  </si>
  <si>
    <t>Enjoy</t>
  </si>
  <si>
    <t>Escimo</t>
  </si>
  <si>
    <t>Esperance</t>
  </si>
  <si>
    <t>Faith</t>
  </si>
  <si>
    <t>Faith Baccara</t>
  </si>
  <si>
    <t>Freedom</t>
  </si>
  <si>
    <t>Frutteto</t>
  </si>
  <si>
    <t>Geraldine</t>
  </si>
  <si>
    <t>High and Magic</t>
  </si>
  <si>
    <t>Highlight</t>
  </si>
  <si>
    <t>Hot Party</t>
  </si>
  <si>
    <t>Impact</t>
  </si>
  <si>
    <t>Inocencia</t>
  </si>
  <si>
    <t>Lemonade</t>
  </si>
  <si>
    <t>Lighthouse</t>
  </si>
  <si>
    <t>Martina</t>
  </si>
  <si>
    <t>Nuage</t>
  </si>
  <si>
    <t>Mother of Pearl</t>
  </si>
  <si>
    <t>Nina</t>
  </si>
  <si>
    <t>Queenberry</t>
  </si>
  <si>
    <t>Scandal</t>
  </si>
  <si>
    <t>Secret Garden</t>
  </si>
  <si>
    <t>Sweet Escimo</t>
  </si>
  <si>
    <t>Sweet Unique</t>
  </si>
  <si>
    <t>Sweetness</t>
  </si>
  <si>
    <t>Tibet</t>
  </si>
  <si>
    <t>Vendela</t>
  </si>
  <si>
    <t>Regular Cut White</t>
  </si>
  <si>
    <t>Regular Cut Purple</t>
  </si>
  <si>
    <t>Regular Cut Peach</t>
  </si>
  <si>
    <t>Regular Cut Misty Blue</t>
  </si>
  <si>
    <t>Regular Cut Yellow</t>
  </si>
  <si>
    <t>Regular Cut Light Pink</t>
  </si>
  <si>
    <t>Open Cut White</t>
  </si>
  <si>
    <t>Open Cut Purple</t>
  </si>
  <si>
    <t>Open Cut Peach</t>
  </si>
  <si>
    <t>Open Cut Misty Blue</t>
  </si>
  <si>
    <t>Open Cut Yellow</t>
  </si>
  <si>
    <t>Week:</t>
  </si>
  <si>
    <t>Orden:</t>
  </si>
  <si>
    <t>Order</t>
  </si>
  <si>
    <t>Frequency</t>
  </si>
  <si>
    <t>Client</t>
  </si>
  <si>
    <t>Arriving</t>
  </si>
  <si>
    <t>Price</t>
  </si>
  <si>
    <t>Farm</t>
  </si>
  <si>
    <t>Reporte por Cajas</t>
  </si>
  <si>
    <t>Farm:</t>
  </si>
  <si>
    <t xml:space="preserve">Week: </t>
  </si>
  <si>
    <t>Qty.</t>
  </si>
  <si>
    <t>Pkg.</t>
  </si>
  <si>
    <t>Length</t>
  </si>
  <si>
    <t>Stems</t>
  </si>
  <si>
    <t>Comment</t>
  </si>
  <si>
    <t>Orden Fija</t>
  </si>
  <si>
    <t>TALLOS</t>
  </si>
  <si>
    <t xml:space="preserve">     Open Market Preview</t>
  </si>
  <si>
    <t>Finca:</t>
  </si>
  <si>
    <t>Orden</t>
  </si>
  <si>
    <t>Per Box</t>
  </si>
  <si>
    <t>Reporte de Cajas</t>
  </si>
  <si>
    <t>PO107362</t>
  </si>
  <si>
    <t>PO107154</t>
  </si>
  <si>
    <t>PO107155</t>
  </si>
  <si>
    <t>PO107156</t>
  </si>
  <si>
    <t>PO107157</t>
  </si>
  <si>
    <t>PO107158</t>
  </si>
  <si>
    <t>PO107159</t>
  </si>
  <si>
    <t>PO107160</t>
  </si>
  <si>
    <t>PO107161</t>
  </si>
  <si>
    <t>PO107162</t>
  </si>
  <si>
    <t>PO107163</t>
  </si>
  <si>
    <t>PO107164</t>
  </si>
  <si>
    <t>PO107165</t>
  </si>
  <si>
    <t>PO107166</t>
  </si>
  <si>
    <t>PO107167</t>
  </si>
  <si>
    <t>PO107168</t>
  </si>
  <si>
    <t>PO107169</t>
  </si>
  <si>
    <t>PO107170</t>
  </si>
  <si>
    <t>PO107171</t>
  </si>
  <si>
    <t>PO107172</t>
  </si>
  <si>
    <t>PO107173</t>
  </si>
  <si>
    <t>PO107174</t>
  </si>
  <si>
    <t>PO107175</t>
  </si>
  <si>
    <t>PO107176</t>
  </si>
  <si>
    <t>PO107177</t>
  </si>
  <si>
    <t>PO107178</t>
  </si>
  <si>
    <t>PO107179</t>
  </si>
  <si>
    <t>PO107180</t>
  </si>
  <si>
    <t>PO107181</t>
  </si>
  <si>
    <t>PO107182</t>
  </si>
  <si>
    <t>PO107183</t>
  </si>
  <si>
    <t>PO107184</t>
  </si>
  <si>
    <t>PO107185</t>
  </si>
  <si>
    <t>PO107186</t>
  </si>
  <si>
    <t>PO107187</t>
  </si>
  <si>
    <t>PO107188</t>
  </si>
  <si>
    <t>PO107189</t>
  </si>
  <si>
    <t>PO107190</t>
  </si>
  <si>
    <t>PO107191</t>
  </si>
  <si>
    <t>PO107192</t>
  </si>
  <si>
    <t>PO107193</t>
  </si>
  <si>
    <t>PO107194</t>
  </si>
  <si>
    <t>PO107195</t>
  </si>
  <si>
    <t>PO107196</t>
  </si>
  <si>
    <t>PO107197</t>
  </si>
  <si>
    <t>PO107198</t>
  </si>
  <si>
    <t>PO107199</t>
  </si>
  <si>
    <t>PO107200</t>
  </si>
  <si>
    <t>PO107201</t>
  </si>
  <si>
    <t>PO107202</t>
  </si>
  <si>
    <t>PO107203</t>
  </si>
  <si>
    <t>PO107204</t>
  </si>
  <si>
    <t>PO107205</t>
  </si>
  <si>
    <t>PO107206</t>
  </si>
  <si>
    <t>PO107207</t>
  </si>
  <si>
    <t>PO107208</t>
  </si>
  <si>
    <t>PO107209</t>
  </si>
  <si>
    <t>PO107210</t>
  </si>
  <si>
    <t>PO107211</t>
  </si>
  <si>
    <t>PO107212</t>
  </si>
  <si>
    <t>PO107213</t>
  </si>
  <si>
    <t>PO107214</t>
  </si>
  <si>
    <t>PO107215</t>
  </si>
  <si>
    <t>PO107216</t>
  </si>
  <si>
    <t>PO107217</t>
  </si>
  <si>
    <t>PO107218</t>
  </si>
  <si>
    <t>PO107219</t>
  </si>
  <si>
    <t>PO107220</t>
  </si>
  <si>
    <t>PO107221</t>
  </si>
  <si>
    <t>PO107222</t>
  </si>
  <si>
    <t>PO107223</t>
  </si>
  <si>
    <t>PO107224</t>
  </si>
  <si>
    <t>PO107225</t>
  </si>
  <si>
    <t>PO107226</t>
  </si>
  <si>
    <t>PO107227</t>
  </si>
  <si>
    <t>PO107228</t>
  </si>
  <si>
    <t>PO107229</t>
  </si>
  <si>
    <t>PO107230</t>
  </si>
  <si>
    <t>PO107231</t>
  </si>
  <si>
    <t>PO107232</t>
  </si>
  <si>
    <t>PO107233</t>
  </si>
  <si>
    <t>PO107234</t>
  </si>
  <si>
    <t>PO107235</t>
  </si>
  <si>
    <t>PO107236</t>
  </si>
  <si>
    <t>PO107237</t>
  </si>
  <si>
    <t>PO107238</t>
  </si>
  <si>
    <t>PO107239</t>
  </si>
  <si>
    <t>PO107240</t>
  </si>
  <si>
    <t>PO107241</t>
  </si>
  <si>
    <t>PO107242</t>
  </si>
  <si>
    <t>PO107243</t>
  </si>
  <si>
    <t>PO107244</t>
  </si>
  <si>
    <t>PO107245</t>
  </si>
  <si>
    <t>PO107246</t>
  </si>
  <si>
    <t>PO107247</t>
  </si>
  <si>
    <t>PO107248</t>
  </si>
  <si>
    <t>PO107249</t>
  </si>
  <si>
    <t>PO107250</t>
  </si>
  <si>
    <t>PO107251</t>
  </si>
  <si>
    <t>PO107252</t>
  </si>
  <si>
    <t>PO107253</t>
  </si>
  <si>
    <t>PO107254</t>
  </si>
  <si>
    <t>PO107255</t>
  </si>
  <si>
    <t>PO107256</t>
  </si>
  <si>
    <t>PO107257</t>
  </si>
  <si>
    <t>PO107258</t>
  </si>
  <si>
    <t>PO107259</t>
  </si>
  <si>
    <t>PO107260</t>
  </si>
  <si>
    <t>PO107261</t>
  </si>
  <si>
    <t>PO107262</t>
  </si>
  <si>
    <t>PO107263</t>
  </si>
  <si>
    <t>PO107264</t>
  </si>
  <si>
    <t>PO107265</t>
  </si>
  <si>
    <t>PO107266</t>
  </si>
  <si>
    <t>PO107267</t>
  </si>
  <si>
    <t>PO107268</t>
  </si>
  <si>
    <t>PO107269</t>
  </si>
  <si>
    <t>PO107270</t>
  </si>
  <si>
    <t>PO107271</t>
  </si>
  <si>
    <t>PO107272</t>
  </si>
  <si>
    <t>PO107273</t>
  </si>
  <si>
    <t>PO107274</t>
  </si>
  <si>
    <t>PO107275</t>
  </si>
  <si>
    <t>PO107276</t>
  </si>
  <si>
    <t>PO107277</t>
  </si>
  <si>
    <t>PO107278</t>
  </si>
  <si>
    <t>PO107279</t>
  </si>
  <si>
    <t>PO107280</t>
  </si>
  <si>
    <t>PO107281</t>
  </si>
  <si>
    <t>PO107282</t>
  </si>
  <si>
    <t>PO107283</t>
  </si>
  <si>
    <t>PO107284</t>
  </si>
  <si>
    <t>PO107285</t>
  </si>
  <si>
    <t>PO107286</t>
  </si>
  <si>
    <t>PO107287</t>
  </si>
  <si>
    <t>PO107288</t>
  </si>
  <si>
    <t>PO107289</t>
  </si>
  <si>
    <t>PO107290</t>
  </si>
  <si>
    <t>PO107291</t>
  </si>
  <si>
    <t>PO107292</t>
  </si>
  <si>
    <t>PO107293</t>
  </si>
  <si>
    <t>PO107294</t>
  </si>
  <si>
    <t>PO107295</t>
  </si>
  <si>
    <t>PO107296</t>
  </si>
  <si>
    <t>PO107297</t>
  </si>
  <si>
    <t>PO107298</t>
  </si>
  <si>
    <t>PO107299</t>
  </si>
  <si>
    <t>PO107300</t>
  </si>
  <si>
    <t>PO107301</t>
  </si>
  <si>
    <t>PO107302</t>
  </si>
  <si>
    <t>PO107303</t>
  </si>
  <si>
    <t>PO107304</t>
  </si>
  <si>
    <t>PO107305</t>
  </si>
  <si>
    <t>PO107306</t>
  </si>
  <si>
    <t>PO107307</t>
  </si>
  <si>
    <t>PO107308</t>
  </si>
  <si>
    <t>PO107309</t>
  </si>
  <si>
    <t>PO107310</t>
  </si>
  <si>
    <t>PO107311</t>
  </si>
  <si>
    <t>PO107312</t>
  </si>
  <si>
    <t>PO107313</t>
  </si>
  <si>
    <t>PO107314</t>
  </si>
  <si>
    <t>PO107315</t>
  </si>
  <si>
    <t>PO107316</t>
  </si>
  <si>
    <t>PO107317</t>
  </si>
  <si>
    <t>PO107318</t>
  </si>
  <si>
    <t>PO107319</t>
  </si>
  <si>
    <t>PO107320</t>
  </si>
  <si>
    <t>PO107321</t>
  </si>
  <si>
    <t>PO107322</t>
  </si>
  <si>
    <t>PO107323</t>
  </si>
  <si>
    <t>PO107324</t>
  </si>
  <si>
    <t>PO107325</t>
  </si>
  <si>
    <t>PO107326</t>
  </si>
  <si>
    <t>PO107327</t>
  </si>
  <si>
    <t>PO107328</t>
  </si>
  <si>
    <t>PO107329</t>
  </si>
  <si>
    <t>PO107330</t>
  </si>
  <si>
    <t>PO107331</t>
  </si>
  <si>
    <t>PO107332</t>
  </si>
  <si>
    <t>PO107333</t>
  </si>
  <si>
    <t>PO107334</t>
  </si>
  <si>
    <t>PO107335</t>
  </si>
  <si>
    <t>PO107336</t>
  </si>
  <si>
    <t>PO107337</t>
  </si>
  <si>
    <t>PO107338</t>
  </si>
  <si>
    <t>PO107339</t>
  </si>
  <si>
    <t>PO107340</t>
  </si>
  <si>
    <t>PO107341</t>
  </si>
  <si>
    <t>PO107342</t>
  </si>
  <si>
    <t>PO107343</t>
  </si>
  <si>
    <t>PO107344</t>
  </si>
  <si>
    <t>PO107345</t>
  </si>
  <si>
    <t>PO107346</t>
  </si>
  <si>
    <t>PO107347</t>
  </si>
  <si>
    <t>PO107348</t>
  </si>
  <si>
    <t>PO107349</t>
  </si>
  <si>
    <t>PO107350</t>
  </si>
  <si>
    <t>PO107351</t>
  </si>
  <si>
    <t>PO107352</t>
  </si>
  <si>
    <t>PO107353</t>
  </si>
  <si>
    <t>PO107354</t>
  </si>
  <si>
    <t>PO107355</t>
  </si>
  <si>
    <t>PO107356</t>
  </si>
  <si>
    <t>PO107357</t>
  </si>
  <si>
    <t>PO107358</t>
  </si>
  <si>
    <t>PO107359</t>
  </si>
  <si>
    <t>PO107360</t>
  </si>
  <si>
    <t>PO107361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</si>
</sst>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&quot;$&quot;* #,##0.00_-;\-&quot;$&quot;* #,##0.00_-;_-&quot;$&quot;* &quot;-&quot;??_-;_-@_-"/>
    <numFmt numFmtId="165" formatCode="0.0000"/>
    <numFmt numFmtId="166" formatCode="yyyy\-mm\-dd;@"/>
    <numFmt numFmtId="167" formatCode="[$-C0A]dddd\ dd/mm/yyyy"/>
    <numFmt numFmtId="168" formatCode="&quot;$&quot;#,##0.00"/>
    <numFmt numFmtId="169" formatCode="[$-80A]dddd\,\ dd&quot; de &quot;mmmm&quot; de &quot;yyyy;@"/>
    <numFmt numFmtId="170" formatCode="0\ &quot;cm&quot;"/>
    <numFmt numFmtId="171" formatCode="[$£-809]#,##0.0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DA251C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A0A0A"/>
      <name val="Calibri"/>
      <family val="2"/>
      <scheme val="minor"/>
    </font>
    <font>
      <b/>
      <sz val="11"/>
      <color rgb="FFFFFFFF"/>
      <name val="Calibri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31B35B"/>
        <bgColor indexed="64"/>
      </patternFill>
    </fill>
    <fill>
      <patternFill patternType="solid">
        <fgColor rgb="FFF98FC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98FC4"/>
        <bgColor rgb="FF000000"/>
      </patternFill>
    </fill>
    <fill>
      <patternFill patternType="solid">
        <fgColor rgb="FFFFE1FF"/>
        <bgColor rgb="FF000000"/>
      </patternFill>
    </fill>
    <fill>
      <patternFill patternType="solid">
        <fgColor rgb="FFE04390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074C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C143C"/>
        <bgColor indexed="64"/>
      </patternFill>
    </fill>
    <fill>
      <patternFill patternType="solid">
        <fgColor rgb="FF002868"/>
        <bgColor indexed="64"/>
      </patternFill>
    </fill>
    <fill>
      <patternFill patternType="solid">
        <fgColor theme="9" tint="-0.249977111117893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/>
      <top style="thin">
        <color rgb="FF5B9BD5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6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88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18" fillId="35" borderId="17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0" xfId="0" applyBorder="1"/>
    <xf numFmtId="0" fontId="18" fillId="0" borderId="23" xfId="0" applyFont="1" applyBorder="1" applyAlignment="1">
      <alignment horizontal="center"/>
    </xf>
    <xf numFmtId="0" fontId="0" fillId="39" borderId="27" xfId="0" applyFill="1" applyBorder="1" applyAlignment="1">
      <alignment horizontal="center"/>
    </xf>
    <xf numFmtId="2" fontId="18" fillId="35" borderId="17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2" fontId="18" fillId="0" borderId="14" xfId="0" applyNumberFormat="1" applyFont="1" applyBorder="1" applyAlignment="1">
      <alignment horizontal="center"/>
    </xf>
    <xf numFmtId="2" fontId="18" fillId="0" borderId="0" xfId="0" applyNumberFormat="1" applyFont="1" applyAlignment="1">
      <alignment horizontal="center"/>
    </xf>
    <xf numFmtId="2" fontId="22" fillId="0" borderId="14" xfId="0" applyNumberFormat="1" applyFont="1" applyBorder="1" applyAlignment="1">
      <alignment horizontal="center"/>
    </xf>
    <xf numFmtId="0" fontId="21" fillId="0" borderId="13" xfId="0" applyFont="1" applyBorder="1"/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0" fillId="0" borderId="34" xfId="0" applyBorder="1" applyAlignment="1">
      <alignment horizontal="left"/>
    </xf>
    <xf numFmtId="0" fontId="0" fillId="0" borderId="34" xfId="0" applyBorder="1" applyAlignment="1">
      <alignment horizontal="center"/>
    </xf>
    <xf numFmtId="0" fontId="24" fillId="40" borderId="27" xfId="0" applyFont="1" applyFill="1" applyBorder="1"/>
    <xf numFmtId="0" fontId="24" fillId="0" borderId="33" xfId="0" applyFont="1" applyBorder="1"/>
    <xf numFmtId="0" fontId="24" fillId="41" borderId="33" xfId="0" applyFont="1" applyFill="1" applyBorder="1"/>
    <xf numFmtId="0" fontId="24" fillId="41" borderId="29" xfId="0" applyFont="1" applyFill="1" applyBorder="1"/>
    <xf numFmtId="0" fontId="24" fillId="0" borderId="0" xfId="0" applyFont="1"/>
    <xf numFmtId="0" fontId="24" fillId="42" borderId="27" xfId="0" applyFont="1" applyFill="1" applyBorder="1"/>
    <xf numFmtId="0" fontId="24" fillId="43" borderId="33" xfId="0" applyFont="1" applyFill="1" applyBorder="1"/>
    <xf numFmtId="0" fontId="24" fillId="43" borderId="29" xfId="0" applyFont="1" applyFill="1" applyBorder="1"/>
    <xf numFmtId="0" fontId="24" fillId="44" borderId="27" xfId="0" applyFont="1" applyFill="1" applyBorder="1"/>
    <xf numFmtId="0" fontId="24" fillId="45" borderId="33" xfId="0" applyFont="1" applyFill="1" applyBorder="1"/>
    <xf numFmtId="166" fontId="18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left"/>
    </xf>
    <xf numFmtId="10" fontId="28" fillId="0" borderId="0" xfId="42" applyNumberFormat="1" applyFont="1" applyFill="1" applyBorder="1"/>
    <xf numFmtId="0" fontId="29" fillId="0" borderId="0" xfId="0" applyFont="1"/>
    <xf numFmtId="0" fontId="30" fillId="35" borderId="10" xfId="0" applyFont="1" applyFill="1" applyBorder="1" applyAlignment="1">
      <alignment horizontal="left" vertical="center"/>
    </xf>
    <xf numFmtId="0" fontId="30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/>
    </xf>
    <xf numFmtId="0" fontId="18" fillId="35" borderId="10" xfId="0" applyFont="1" applyFill="1" applyBorder="1" applyAlignment="1">
      <alignment horizontal="right" vertical="center"/>
    </xf>
    <xf numFmtId="0" fontId="0" fillId="36" borderId="34" xfId="0" applyFill="1" applyBorder="1" applyAlignment="1">
      <alignment horizontal="center"/>
    </xf>
    <xf numFmtId="2" fontId="18" fillId="36" borderId="46" xfId="0" applyNumberFormat="1" applyFont="1" applyFill="1" applyBorder="1" applyAlignment="1">
      <alignment horizontal="center"/>
    </xf>
    <xf numFmtId="0" fontId="0" fillId="36" borderId="0" xfId="0" applyFill="1" applyAlignment="1">
      <alignment horizontal="center"/>
    </xf>
    <xf numFmtId="2" fontId="18" fillId="36" borderId="0" xfId="0" applyNumberFormat="1" applyFont="1" applyFill="1" applyAlignment="1">
      <alignment horizontal="center"/>
    </xf>
    <xf numFmtId="0" fontId="0" fillId="36" borderId="42" xfId="0" applyFill="1" applyBorder="1" applyAlignment="1">
      <alignment horizontal="center"/>
    </xf>
    <xf numFmtId="2" fontId="18" fillId="36" borderId="43" xfId="0" applyNumberFormat="1" applyFont="1" applyFill="1" applyBorder="1" applyAlignment="1">
      <alignment horizontal="center"/>
    </xf>
    <xf numFmtId="0" fontId="18" fillId="35" borderId="28" xfId="0" applyFont="1" applyFill="1" applyBorder="1" applyAlignment="1">
      <alignment horizontal="center"/>
    </xf>
    <xf numFmtId="0" fontId="0" fillId="0" borderId="48" xfId="0" applyBorder="1"/>
    <xf numFmtId="0" fontId="0" fillId="0" borderId="37" xfId="0" applyBorder="1"/>
    <xf numFmtId="0" fontId="0" fillId="0" borderId="38" xfId="0" applyBorder="1"/>
    <xf numFmtId="0" fontId="2" fillId="33" borderId="0" xfId="0" applyFont="1" applyFill="1"/>
    <xf numFmtId="0" fontId="2" fillId="33" borderId="0" xfId="0" applyFont="1" applyFill="1" applyAlignment="1">
      <alignment horizontal="center"/>
    </xf>
    <xf numFmtId="167" fontId="2" fillId="33" borderId="0" xfId="0" applyNumberFormat="1" applyFont="1" applyFill="1" applyAlignment="1">
      <alignment horizontal="center"/>
    </xf>
    <xf numFmtId="0" fontId="31" fillId="33" borderId="0" xfId="0" applyFont="1" applyFill="1" applyAlignment="1">
      <alignment horizontal="center"/>
    </xf>
    <xf numFmtId="0" fontId="2" fillId="0" borderId="0" xfId="0" applyFont="1"/>
    <xf numFmtId="0" fontId="32" fillId="33" borderId="13" xfId="0" applyFont="1" applyFill="1" applyBorder="1" applyAlignment="1">
      <alignment vertical="center"/>
    </xf>
    <xf numFmtId="0" fontId="32" fillId="33" borderId="10" xfId="0" applyFont="1" applyFill="1" applyBorder="1" applyAlignment="1">
      <alignment vertical="center"/>
    </xf>
    <xf numFmtId="0" fontId="32" fillId="33" borderId="14" xfId="0" applyFont="1" applyFill="1" applyBorder="1" applyAlignment="1">
      <alignment vertical="center"/>
    </xf>
    <xf numFmtId="0" fontId="33" fillId="34" borderId="16" xfId="0" applyFont="1" applyFill="1" applyBorder="1" applyAlignment="1">
      <alignment horizontal="center" vertical="center"/>
    </xf>
    <xf numFmtId="0" fontId="33" fillId="34" borderId="16" xfId="0" applyFont="1" applyFill="1" applyBorder="1" applyAlignment="1">
      <alignment horizontal="left" vertical="center"/>
    </xf>
    <xf numFmtId="9" fontId="33" fillId="34" borderId="16" xfId="0" applyNumberFormat="1" applyFont="1" applyFill="1" applyBorder="1" applyAlignment="1">
      <alignment horizontal="center" vertical="center"/>
    </xf>
    <xf numFmtId="168" fontId="33" fillId="34" borderId="16" xfId="0" applyNumberFormat="1" applyFont="1" applyFill="1" applyBorder="1" applyAlignment="1">
      <alignment horizontal="center" vertical="center"/>
    </xf>
    <xf numFmtId="167" fontId="33" fillId="34" borderId="16" xfId="0" applyNumberFormat="1" applyFont="1" applyFill="1" applyBorder="1" applyAlignment="1">
      <alignment horizontal="center" vertical="center"/>
    </xf>
    <xf numFmtId="0" fontId="34" fillId="33" borderId="32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9" fontId="2" fillId="0" borderId="0" xfId="0" applyNumberFormat="1" applyFont="1"/>
    <xf numFmtId="168" fontId="31" fillId="0" borderId="0" xfId="0" applyNumberFormat="1" applyFont="1"/>
    <xf numFmtId="0" fontId="32" fillId="33" borderId="10" xfId="0" applyFont="1" applyFill="1" applyBorder="1" applyAlignment="1">
      <alignment horizontal="center" vertical="center"/>
    </xf>
    <xf numFmtId="0" fontId="34" fillId="33" borderId="16" xfId="0" applyFont="1" applyFill="1" applyBorder="1" applyAlignment="1">
      <alignment horizontal="center"/>
    </xf>
    <xf numFmtId="0" fontId="35" fillId="46" borderId="42" xfId="0" applyFont="1" applyFill="1" applyBorder="1" applyAlignment="1">
      <alignment horizontal="right" vertical="center"/>
    </xf>
    <xf numFmtId="0" fontId="18" fillId="0" borderId="0" xfId="0" applyFont="1"/>
    <xf numFmtId="9" fontId="1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36" fillId="0" borderId="0" xfId="0" applyNumberFormat="1" applyFont="1" applyAlignment="1">
      <alignment horizontal="center"/>
    </xf>
    <xf numFmtId="0" fontId="0" fillId="0" borderId="42" xfId="0" applyBorder="1" applyAlignment="1">
      <alignment horizontal="left"/>
    </xf>
    <xf numFmtId="0" fontId="0" fillId="0" borderId="42" xfId="0" applyBorder="1" applyAlignment="1">
      <alignment horizontal="center"/>
    </xf>
    <xf numFmtId="9" fontId="0" fillId="36" borderId="34" xfId="0" applyNumberFormat="1" applyFill="1" applyBorder="1" applyAlignment="1">
      <alignment horizontal="center"/>
    </xf>
    <xf numFmtId="9" fontId="18" fillId="35" borderId="17" xfId="0" applyNumberFormat="1" applyFont="1" applyFill="1" applyBorder="1" applyAlignment="1">
      <alignment horizontal="center" vertical="center"/>
    </xf>
    <xf numFmtId="9" fontId="21" fillId="0" borderId="10" xfId="0" applyNumberFormat="1" applyFon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36" borderId="0" xfId="0" applyNumberFormat="1" applyFill="1" applyAlignment="1">
      <alignment horizontal="center"/>
    </xf>
    <xf numFmtId="9" fontId="0" fillId="36" borderId="42" xfId="0" applyNumberForma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18" fillId="46" borderId="34" xfId="0" applyFont="1" applyFill="1" applyBorder="1" applyAlignment="1">
      <alignment horizontal="center"/>
    </xf>
    <xf numFmtId="0" fontId="30" fillId="33" borderId="10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 vertical="center"/>
    </xf>
    <xf numFmtId="0" fontId="15" fillId="46" borderId="16" xfId="0" applyFont="1" applyFill="1" applyBorder="1" applyAlignment="1">
      <alignment horizontal="center" vertical="center"/>
    </xf>
    <xf numFmtId="167" fontId="15" fillId="46" borderId="16" xfId="0" applyNumberFormat="1" applyFont="1" applyFill="1" applyBorder="1" applyAlignment="1">
      <alignment horizontal="center" vertical="center"/>
    </xf>
    <xf numFmtId="0" fontId="15" fillId="46" borderId="17" xfId="0" applyFont="1" applyFill="1" applyBorder="1" applyAlignment="1">
      <alignment horizontal="center" vertical="center"/>
    </xf>
    <xf numFmtId="0" fontId="15" fillId="46" borderId="28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18" fillId="47" borderId="27" xfId="0" applyFont="1" applyFill="1" applyBorder="1"/>
    <xf numFmtId="0" fontId="18" fillId="33" borderId="2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  <xf numFmtId="0" fontId="15" fillId="46" borderId="42" xfId="0" applyFont="1" applyFill="1" applyBorder="1" applyAlignment="1">
      <alignment horizontal="center" vertical="center"/>
    </xf>
    <xf numFmtId="0" fontId="19" fillId="46" borderId="42" xfId="0" applyFont="1" applyFill="1" applyBorder="1" applyAlignment="1">
      <alignment horizontal="center" vertical="center"/>
    </xf>
    <xf numFmtId="0" fontId="18" fillId="46" borderId="42" xfId="0" applyFont="1" applyFill="1" applyBorder="1" applyAlignment="1">
      <alignment horizontal="center"/>
    </xf>
    <xf numFmtId="0" fontId="18" fillId="33" borderId="0" xfId="0" applyFont="1" applyFill="1" applyAlignment="1">
      <alignment horizontal="center"/>
    </xf>
    <xf numFmtId="0" fontId="21" fillId="34" borderId="19" xfId="0" applyFont="1" applyFill="1" applyBorder="1"/>
    <xf numFmtId="0" fontId="21" fillId="34" borderId="16" xfId="0" applyFont="1" applyFill="1" applyBorder="1"/>
    <xf numFmtId="0" fontId="21" fillId="34" borderId="16" xfId="0" applyFont="1" applyFill="1" applyBorder="1" applyAlignment="1">
      <alignment horizontal="center"/>
    </xf>
    <xf numFmtId="0" fontId="21" fillId="34" borderId="16" xfId="0" applyFont="1" applyFill="1" applyBorder="1" applyAlignment="1">
      <alignment horizontal="left"/>
    </xf>
    <xf numFmtId="9" fontId="21" fillId="34" borderId="16" xfId="0" applyNumberFormat="1" applyFont="1" applyFill="1" applyBorder="1"/>
    <xf numFmtId="168" fontId="22" fillId="34" borderId="16" xfId="0" applyNumberFormat="1" applyFont="1" applyFill="1" applyBorder="1"/>
    <xf numFmtId="167" fontId="21" fillId="34" borderId="16" xfId="0" applyNumberFormat="1" applyFont="1" applyFill="1" applyBorder="1" applyAlignment="1">
      <alignment horizontal="center"/>
    </xf>
    <xf numFmtId="0" fontId="22" fillId="34" borderId="16" xfId="0" applyFont="1" applyFill="1" applyBorder="1" applyAlignment="1">
      <alignment horizontal="center"/>
    </xf>
    <xf numFmtId="0" fontId="21" fillId="34" borderId="20" xfId="0" applyFont="1" applyFill="1" applyBorder="1"/>
    <xf numFmtId="0" fontId="21" fillId="34" borderId="21" xfId="0" applyFont="1" applyFill="1" applyBorder="1"/>
    <xf numFmtId="168" fontId="18" fillId="0" borderId="13" xfId="0" applyNumberFormat="1" applyFont="1" applyBorder="1" applyAlignment="1">
      <alignment horizontal="right" vertical="center"/>
    </xf>
    <xf numFmtId="0" fontId="18" fillId="33" borderId="13" xfId="0" applyFont="1" applyFill="1" applyBorder="1" applyAlignment="1">
      <alignment horizontal="right" vertical="center"/>
    </xf>
    <xf numFmtId="0" fontId="21" fillId="34" borderId="24" xfId="0" applyFont="1" applyFill="1" applyBorder="1"/>
    <xf numFmtId="0" fontId="18" fillId="48" borderId="27" xfId="0" applyFont="1" applyFill="1" applyBorder="1" applyAlignment="1">
      <alignment horizontal="center"/>
    </xf>
    <xf numFmtId="168" fontId="18" fillId="33" borderId="10" xfId="0" applyNumberFormat="1" applyFont="1" applyFill="1" applyBorder="1" applyAlignment="1">
      <alignment horizontal="center" vertical="center"/>
    </xf>
    <xf numFmtId="0" fontId="18" fillId="33" borderId="30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48" borderId="27" xfId="0" applyFont="1" applyFill="1" applyBorder="1"/>
    <xf numFmtId="0" fontId="18" fillId="33" borderId="31" xfId="0" applyFont="1" applyFill="1" applyBorder="1" applyAlignment="1">
      <alignment horizontal="center" vertical="center"/>
    </xf>
    <xf numFmtId="168" fontId="18" fillId="33" borderId="16" xfId="0" applyNumberFormat="1" applyFont="1" applyFill="1" applyBorder="1" applyAlignment="1">
      <alignment horizontal="center" vertical="center"/>
    </xf>
    <xf numFmtId="0" fontId="18" fillId="33" borderId="20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/>
    </xf>
    <xf numFmtId="0" fontId="21" fillId="34" borderId="22" xfId="0" applyFont="1" applyFill="1" applyBorder="1"/>
    <xf numFmtId="0" fontId="22" fillId="34" borderId="12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left" vertical="center"/>
    </xf>
    <xf numFmtId="0" fontId="20" fillId="34" borderId="12" xfId="0" applyFont="1" applyFill="1" applyBorder="1" applyAlignment="1">
      <alignment horizontal="right" vertical="center"/>
    </xf>
    <xf numFmtId="3" fontId="22" fillId="34" borderId="12" xfId="0" applyNumberFormat="1" applyFont="1" applyFill="1" applyBorder="1" applyAlignment="1">
      <alignment horizontal="center" vertical="center"/>
    </xf>
    <xf numFmtId="9" fontId="22" fillId="34" borderId="12" xfId="0" applyNumberFormat="1" applyFont="1" applyFill="1" applyBorder="1" applyAlignment="1">
      <alignment horizontal="center" vertical="center"/>
    </xf>
    <xf numFmtId="168" fontId="22" fillId="34" borderId="12" xfId="0" applyNumberFormat="1" applyFont="1" applyFill="1" applyBorder="1" applyAlignment="1">
      <alignment horizontal="center" vertical="center"/>
    </xf>
    <xf numFmtId="167" fontId="21" fillId="34" borderId="12" xfId="0" applyNumberFormat="1" applyFont="1" applyFill="1" applyBorder="1" applyAlignment="1">
      <alignment horizontal="center"/>
    </xf>
    <xf numFmtId="0" fontId="22" fillId="34" borderId="12" xfId="0" applyFont="1" applyFill="1" applyBorder="1" applyAlignment="1">
      <alignment horizontal="center"/>
    </xf>
    <xf numFmtId="0" fontId="21" fillId="34" borderId="15" xfId="0" applyFont="1" applyFill="1" applyBorder="1"/>
    <xf numFmtId="2" fontId="18" fillId="0" borderId="0" xfId="43" applyNumberFormat="1" applyFont="1" applyFill="1" applyBorder="1"/>
    <xf numFmtId="0" fontId="15" fillId="46" borderId="16" xfId="0" applyFont="1" applyFill="1" applyBorder="1" applyAlignment="1">
      <alignment horizontal="left" vertical="center"/>
    </xf>
    <xf numFmtId="0" fontId="18" fillId="33" borderId="14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left" vertical="center"/>
    </xf>
    <xf numFmtId="0" fontId="18" fillId="33" borderId="16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left"/>
    </xf>
    <xf numFmtId="168" fontId="18" fillId="0" borderId="0" xfId="0" applyNumberFormat="1" applyFont="1"/>
    <xf numFmtId="0" fontId="18" fillId="0" borderId="23" xfId="0" applyFont="1" applyBorder="1"/>
    <xf numFmtId="0" fontId="0" fillId="0" borderId="4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4" xfId="0" applyBorder="1" applyAlignment="1">
      <alignment horizontal="center"/>
    </xf>
    <xf numFmtId="2" fontId="0" fillId="35" borderId="33" xfId="0" applyNumberFormat="1" applyFill="1" applyBorder="1" applyAlignment="1">
      <alignment horizontal="center"/>
    </xf>
    <xf numFmtId="2" fontId="0" fillId="35" borderId="28" xfId="0" applyNumberFormat="1" applyFill="1" applyBorder="1" applyAlignment="1">
      <alignment horizontal="center"/>
    </xf>
    <xf numFmtId="2" fontId="0" fillId="35" borderId="29" xfId="0" applyNumberFormat="1" applyFill="1" applyBorder="1" applyAlignment="1">
      <alignment horizontal="center"/>
    </xf>
    <xf numFmtId="0" fontId="18" fillId="49" borderId="40" xfId="0" applyFont="1" applyFill="1" applyBorder="1" applyAlignment="1">
      <alignment horizontal="center"/>
    </xf>
    <xf numFmtId="0" fontId="18" fillId="49" borderId="0" xfId="0" applyFont="1" applyFill="1" applyAlignment="1">
      <alignment horizontal="center"/>
    </xf>
    <xf numFmtId="0" fontId="18" fillId="50" borderId="0" xfId="0" applyFont="1" applyFill="1" applyAlignment="1">
      <alignment horizontal="center"/>
    </xf>
    <xf numFmtId="2" fontId="21" fillId="34" borderId="40" xfId="0" applyNumberFormat="1" applyFont="1" applyFill="1" applyBorder="1" applyAlignment="1">
      <alignment horizontal="center"/>
    </xf>
    <xf numFmtId="166" fontId="37" fillId="0" borderId="0" xfId="42" applyNumberFormat="1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9" fillId="52" borderId="0" xfId="0" applyFont="1" applyFill="1"/>
    <xf numFmtId="0" fontId="25" fillId="52" borderId="0" xfId="0" applyFont="1" applyFill="1" applyAlignment="1">
      <alignment horizontal="center"/>
    </xf>
    <xf numFmtId="0" fontId="29" fillId="53" borderId="0" xfId="0" applyFont="1" applyFill="1"/>
    <xf numFmtId="0" fontId="25" fillId="53" borderId="0" xfId="0" applyFont="1" applyFill="1" applyAlignment="1">
      <alignment horizontal="center"/>
    </xf>
    <xf numFmtId="0" fontId="25" fillId="53" borderId="27" xfId="0" applyFont="1" applyFill="1" applyBorder="1" applyAlignment="1">
      <alignment horizontal="center"/>
    </xf>
    <xf numFmtId="0" fontId="1" fillId="0" borderId="0" xfId="0" applyFont="1"/>
    <xf numFmtId="0" fontId="21" fillId="34" borderId="12" xfId="0" applyFont="1" applyFill="1" applyBorder="1"/>
    <xf numFmtId="0" fontId="22" fillId="34" borderId="0" xfId="0" applyFont="1" applyFill="1" applyAlignment="1">
      <alignment horizontal="center"/>
    </xf>
    <xf numFmtId="0" fontId="42" fillId="33" borderId="32" xfId="0" applyFont="1" applyFill="1" applyBorder="1" applyAlignment="1">
      <alignment horizontal="center"/>
    </xf>
    <xf numFmtId="0" fontId="43" fillId="33" borderId="30" xfId="0" applyFont="1" applyFill="1" applyBorder="1" applyAlignment="1">
      <alignment horizontal="center" vertical="center"/>
    </xf>
    <xf numFmtId="0" fontId="43" fillId="33" borderId="31" xfId="0" applyFont="1" applyFill="1" applyBorder="1" applyAlignment="1">
      <alignment horizontal="center" vertical="center"/>
    </xf>
    <xf numFmtId="0" fontId="43" fillId="33" borderId="13" xfId="0" applyFont="1" applyFill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" fillId="46" borderId="39" xfId="0" applyFont="1" applyFill="1" applyBorder="1"/>
    <xf numFmtId="0" fontId="1" fillId="46" borderId="34" xfId="0" applyFont="1" applyFill="1" applyBorder="1"/>
    <xf numFmtId="0" fontId="1" fillId="46" borderId="34" xfId="0" applyFont="1" applyFill="1" applyBorder="1" applyAlignment="1">
      <alignment horizontal="center"/>
    </xf>
    <xf numFmtId="0" fontId="1" fillId="46" borderId="34" xfId="0" applyFont="1" applyFill="1" applyBorder="1" applyAlignment="1">
      <alignment horizontal="left"/>
    </xf>
    <xf numFmtId="167" fontId="1" fillId="46" borderId="34" xfId="0" applyNumberFormat="1" applyFont="1" applyFill="1" applyBorder="1" applyAlignment="1">
      <alignment horizontal="center"/>
    </xf>
    <xf numFmtId="0" fontId="1" fillId="46" borderId="36" xfId="0" applyFont="1" applyFill="1" applyBorder="1"/>
    <xf numFmtId="0" fontId="1" fillId="33" borderId="0" xfId="0" applyFont="1" applyFill="1"/>
    <xf numFmtId="0" fontId="1" fillId="46" borderId="40" xfId="0" applyFont="1" applyFill="1" applyBorder="1"/>
    <xf numFmtId="0" fontId="1" fillId="33" borderId="10" xfId="0" applyFont="1" applyFill="1" applyBorder="1"/>
    <xf numFmtId="0" fontId="1" fillId="33" borderId="10" xfId="0" applyFont="1" applyFill="1" applyBorder="1" applyAlignment="1">
      <alignment horizontal="center"/>
    </xf>
    <xf numFmtId="0" fontId="1" fillId="33" borderId="14" xfId="0" applyFont="1" applyFill="1" applyBorder="1" applyAlignment="1">
      <alignment horizontal="left" vertical="center"/>
    </xf>
    <xf numFmtId="0" fontId="1" fillId="46" borderId="0" xfId="0" applyFont="1" applyFill="1"/>
    <xf numFmtId="0" fontId="1" fillId="46" borderId="35" xfId="0" applyFont="1" applyFill="1" applyBorder="1"/>
    <xf numFmtId="0" fontId="1" fillId="33" borderId="10" xfId="0" applyFont="1" applyFill="1" applyBorder="1" applyAlignment="1">
      <alignment horizontal="center" vertical="center"/>
    </xf>
    <xf numFmtId="167" fontId="1" fillId="33" borderId="10" xfId="0" applyNumberFormat="1" applyFont="1" applyFill="1" applyBorder="1" applyAlignment="1">
      <alignment horizontal="center"/>
    </xf>
    <xf numFmtId="0" fontId="1" fillId="33" borderId="17" xfId="0" applyFont="1" applyFill="1" applyBorder="1" applyAlignment="1">
      <alignment horizontal="left"/>
    </xf>
    <xf numFmtId="0" fontId="1" fillId="33" borderId="37" xfId="0" applyFont="1" applyFill="1" applyBorder="1"/>
    <xf numFmtId="0" fontId="1" fillId="33" borderId="10" xfId="0" applyFont="1" applyFill="1" applyBorder="1" applyAlignment="1">
      <alignment horizontal="left" vertical="center"/>
    </xf>
    <xf numFmtId="167" fontId="1" fillId="33" borderId="10" xfId="0" applyNumberFormat="1" applyFont="1" applyFill="1" applyBorder="1" applyAlignment="1">
      <alignment horizontal="center" vertical="center"/>
    </xf>
    <xf numFmtId="0" fontId="1" fillId="33" borderId="17" xfId="0" applyFont="1" applyFill="1" applyBorder="1" applyAlignment="1">
      <alignment horizontal="left" vertical="center"/>
    </xf>
    <xf numFmtId="0" fontId="1" fillId="33" borderId="45" xfId="0" applyFont="1" applyFill="1" applyBorder="1"/>
    <xf numFmtId="0" fontId="1" fillId="33" borderId="16" xfId="0" applyFont="1" applyFill="1" applyBorder="1" applyAlignment="1">
      <alignment horizontal="center" vertical="center"/>
    </xf>
    <xf numFmtId="0" fontId="1" fillId="33" borderId="16" xfId="0" applyFont="1" applyFill="1" applyBorder="1" applyAlignment="1">
      <alignment horizontal="left" vertical="center"/>
    </xf>
    <xf numFmtId="167" fontId="1" fillId="33" borderId="16" xfId="0" applyNumberFormat="1" applyFont="1" applyFill="1" applyBorder="1" applyAlignment="1">
      <alignment horizontal="center" vertical="center"/>
    </xf>
    <xf numFmtId="0" fontId="1" fillId="33" borderId="18" xfId="0" applyFont="1" applyFill="1" applyBorder="1" applyAlignment="1">
      <alignment horizontal="left" vertical="center"/>
    </xf>
    <xf numFmtId="0" fontId="1" fillId="33" borderId="10" xfId="0" applyFont="1" applyFill="1" applyBorder="1" applyAlignment="1">
      <alignment horizontal="left"/>
    </xf>
    <xf numFmtId="0" fontId="1" fillId="46" borderId="41" xfId="0" applyFont="1" applyFill="1" applyBorder="1"/>
    <xf numFmtId="167" fontId="1" fillId="46" borderId="42" xfId="0" applyNumberFormat="1" applyFont="1" applyFill="1" applyBorder="1" applyAlignment="1">
      <alignment horizontal="center"/>
    </xf>
    <xf numFmtId="0" fontId="1" fillId="46" borderId="43" xfId="0" applyFont="1" applyFill="1" applyBorder="1"/>
    <xf numFmtId="0" fontId="1" fillId="46" borderId="44" xfId="0" applyFont="1" applyFill="1" applyBorder="1"/>
    <xf numFmtId="0" fontId="1" fillId="33" borderId="0" xfId="0" applyFont="1" applyFill="1" applyAlignment="1">
      <alignment horizontal="center"/>
    </xf>
    <xf numFmtId="0" fontId="1" fillId="33" borderId="0" xfId="0" applyFont="1" applyFill="1" applyAlignment="1">
      <alignment horizontal="left"/>
    </xf>
    <xf numFmtId="167" fontId="1" fillId="33" borderId="0" xfId="0" applyNumberFormat="1" applyFont="1" applyFill="1" applyAlignment="1">
      <alignment horizontal="center"/>
    </xf>
    <xf numFmtId="0" fontId="1" fillId="33" borderId="10" xfId="0" applyFont="1" applyFill="1" applyBorder="1" applyAlignment="1">
      <alignment vertical="center"/>
    </xf>
    <xf numFmtId="0" fontId="1" fillId="33" borderId="16" xfId="0" applyFont="1" applyFill="1" applyBorder="1" applyAlignment="1">
      <alignment horizontal="center"/>
    </xf>
    <xf numFmtId="9" fontId="1" fillId="33" borderId="10" xfId="0" applyNumberFormat="1" applyFont="1" applyFill="1" applyBorder="1" applyAlignment="1">
      <alignment horizontal="center" vertical="center"/>
    </xf>
    <xf numFmtId="168" fontId="1" fillId="0" borderId="10" xfId="0" applyNumberFormat="1" applyFont="1" applyBorder="1" applyAlignment="1">
      <alignment horizontal="center"/>
    </xf>
    <xf numFmtId="0" fontId="1" fillId="34" borderId="24" xfId="0" applyFont="1" applyFill="1" applyBorder="1"/>
    <xf numFmtId="0" fontId="1" fillId="0" borderId="49" xfId="0" applyFont="1" applyBorder="1"/>
    <xf numFmtId="0" fontId="1" fillId="0" borderId="37" xfId="0" applyFont="1" applyBorder="1"/>
    <xf numFmtId="0" fontId="1" fillId="0" borderId="45" xfId="0" applyFont="1" applyBorder="1"/>
    <xf numFmtId="9" fontId="1" fillId="33" borderId="16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9" fontId="1" fillId="0" borderId="0" xfId="0" applyNumberFormat="1" applyFont="1"/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9" xfId="0" applyBorder="1" applyAlignment="1">
      <alignment horizontal="center"/>
    </xf>
    <xf numFmtId="0" fontId="24" fillId="45" borderId="29" xfId="0" applyFont="1" applyFill="1" applyBorder="1"/>
    <xf numFmtId="0" fontId="25" fillId="54" borderId="27" xfId="0" applyFont="1" applyFill="1" applyBorder="1" applyAlignment="1">
      <alignment horizontal="center"/>
    </xf>
    <xf numFmtId="2" fontId="0" fillId="0" borderId="0" xfId="43" applyNumberFormat="1" applyFont="1" applyFill="1" applyBorder="1" applyAlignment="1">
      <alignment horizontal="center"/>
    </xf>
    <xf numFmtId="2" fontId="0" fillId="0" borderId="0" xfId="43" applyNumberFormat="1" applyFont="1" applyFill="1" applyBorder="1"/>
    <xf numFmtId="0" fontId="0" fillId="33" borderId="16" xfId="0" applyFill="1" applyBorder="1" applyAlignment="1">
      <alignment horizontal="center"/>
    </xf>
    <xf numFmtId="10" fontId="0" fillId="0" borderId="0" xfId="42" applyNumberFormat="1" applyFont="1" applyFill="1" applyBorder="1"/>
    <xf numFmtId="169" fontId="18" fillId="0" borderId="0" xfId="0" applyNumberFormat="1" applyFont="1" applyAlignment="1">
      <alignment horizontal="center"/>
    </xf>
    <xf numFmtId="169" fontId="27" fillId="0" borderId="0" xfId="0" applyNumberFormat="1" applyFont="1" applyAlignment="1">
      <alignment horizontal="center"/>
    </xf>
    <xf numFmtId="169" fontId="27" fillId="0" borderId="0" xfId="0" quotePrefix="1" applyNumberFormat="1" applyFont="1" applyAlignment="1">
      <alignment horizontal="center"/>
    </xf>
    <xf numFmtId="169" fontId="0" fillId="0" borderId="0" xfId="0" applyNumberFormat="1" applyAlignment="1">
      <alignment horizontal="center"/>
    </xf>
    <xf numFmtId="0" fontId="38" fillId="0" borderId="0" xfId="0" applyFont="1"/>
    <xf numFmtId="0" fontId="39" fillId="0" borderId="0" xfId="0" applyFont="1"/>
    <xf numFmtId="0" fontId="40" fillId="0" borderId="0" xfId="0" applyFont="1"/>
    <xf numFmtId="0" fontId="0" fillId="0" borderId="39" xfId="0" applyBorder="1"/>
    <xf numFmtId="0" fontId="0" fillId="0" borderId="34" xfId="0" applyBorder="1"/>
    <xf numFmtId="0" fontId="0" fillId="0" borderId="36" xfId="0" applyBorder="1"/>
    <xf numFmtId="0" fontId="0" fillId="0" borderId="40" xfId="0" applyBorder="1"/>
    <xf numFmtId="0" fontId="0" fillId="0" borderId="35" xfId="0" applyBorder="1"/>
    <xf numFmtId="0" fontId="0" fillId="0" borderId="41" xfId="0" applyBorder="1"/>
    <xf numFmtId="0" fontId="0" fillId="0" borderId="42" xfId="0" applyBorder="1"/>
    <xf numFmtId="0" fontId="0" fillId="0" borderId="44" xfId="0" applyBorder="1"/>
    <xf numFmtId="2" fontId="0" fillId="0" borderId="0" xfId="0" applyNumberFormat="1" applyAlignment="1">
      <alignment horizontal="center"/>
    </xf>
    <xf numFmtId="0" fontId="0" fillId="52" borderId="0" xfId="0" applyFill="1"/>
    <xf numFmtId="0" fontId="0" fillId="53" borderId="0" xfId="0" applyFill="1"/>
    <xf numFmtId="0" fontId="0" fillId="0" borderId="27" xfId="0" applyBorder="1" applyAlignment="1">
      <alignment horizontal="center"/>
    </xf>
    <xf numFmtId="2" fontId="18" fillId="0" borderId="34" xfId="43" applyNumberFormat="1" applyFont="1" applyFill="1" applyBorder="1"/>
    <xf numFmtId="2" fontId="18" fillId="0" borderId="42" xfId="43" applyNumberFormat="1" applyFont="1" applyFill="1" applyBorder="1"/>
    <xf numFmtId="0" fontId="19" fillId="38" borderId="0" xfId="0" applyFont="1" applyFill="1"/>
    <xf numFmtId="0" fontId="19" fillId="38" borderId="0" xfId="0" applyFont="1" applyFill="1" applyAlignment="1">
      <alignment horizontal="center"/>
    </xf>
    <xf numFmtId="166" fontId="0" fillId="0" borderId="0" xfId="0" applyNumberFormat="1"/>
    <xf numFmtId="0" fontId="18" fillId="37" borderId="27" xfId="0" applyFont="1" applyFill="1" applyBorder="1" applyAlignment="1">
      <alignment horizontal="center" vertical="center"/>
    </xf>
    <xf numFmtId="0" fontId="25" fillId="0" borderId="34" xfId="0" applyFont="1" applyBorder="1" applyAlignment="1">
      <alignment horizontal="center"/>
    </xf>
    <xf numFmtId="0" fontId="15" fillId="51" borderId="0" xfId="0" applyFont="1" applyFill="1"/>
    <xf numFmtId="0" fontId="18" fillId="49" borderId="0" xfId="0" applyFont="1" applyFill="1" applyAlignment="1">
      <alignment horizontal="left"/>
    </xf>
    <xf numFmtId="0" fontId="22" fillId="34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4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29" fillId="0" borderId="50" xfId="0" applyFont="1" applyBorder="1" applyAlignment="1">
      <alignment horizontal="center"/>
    </xf>
    <xf numFmtId="0" fontId="29" fillId="0" borderId="0" xfId="0" applyFont="1" applyAlignment="1">
      <alignment horizontal="center"/>
    </xf>
    <xf numFmtId="9" fontId="18" fillId="0" borderId="0" xfId="0" applyNumberFormat="1" applyFont="1"/>
    <xf numFmtId="0" fontId="30" fillId="35" borderId="10" xfId="0" applyFont="1" applyFill="1" applyBorder="1" applyAlignment="1">
      <alignment horizontal="center" vertical="center"/>
    </xf>
    <xf numFmtId="0" fontId="15" fillId="46" borderId="19" xfId="0" applyFont="1" applyFill="1" applyBorder="1" applyAlignment="1">
      <alignment horizontal="center" vertical="center"/>
    </xf>
    <xf numFmtId="0" fontId="0" fillId="36" borderId="34" xfId="0" applyFill="1" applyBorder="1" applyAlignment="1">
      <alignment horizontal="left"/>
    </xf>
    <xf numFmtId="0" fontId="0" fillId="36" borderId="0" xfId="0" applyFill="1" applyAlignment="1">
      <alignment horizontal="left"/>
    </xf>
    <xf numFmtId="0" fontId="43" fillId="0" borderId="13" xfId="0" applyFont="1" applyBorder="1" applyAlignment="1">
      <alignment horizontal="left"/>
    </xf>
    <xf numFmtId="0" fontId="0" fillId="36" borderId="42" xfId="0" applyFill="1" applyBorder="1" applyAlignment="1">
      <alignment horizontal="left"/>
    </xf>
    <xf numFmtId="0" fontId="0" fillId="46" borderId="34" xfId="0" applyFill="1" applyBorder="1"/>
    <xf numFmtId="0" fontId="0" fillId="46" borderId="0" xfId="0" applyFill="1"/>
    <xf numFmtId="0" fontId="43" fillId="33" borderId="19" xfId="0" applyFont="1" applyFill="1" applyBorder="1" applyAlignment="1">
      <alignment horizontal="center"/>
    </xf>
    <xf numFmtId="0" fontId="0" fillId="46" borderId="42" xfId="0" applyFill="1" applyBorder="1"/>
    <xf numFmtId="0" fontId="0" fillId="33" borderId="0" xfId="0" applyFill="1"/>
    <xf numFmtId="0" fontId="0" fillId="55" borderId="0" xfId="0" applyFill="1" applyAlignment="1">
      <alignment horizontal="left"/>
    </xf>
    <xf numFmtId="0" fontId="0" fillId="0" borderId="52" xfId="0" applyBorder="1" applyAlignment="1">
      <alignment horizontal="left"/>
    </xf>
    <xf numFmtId="0" fontId="0" fillId="0" borderId="52" xfId="0" applyBorder="1" applyAlignment="1">
      <alignment horizontal="center"/>
    </xf>
    <xf numFmtId="2" fontId="0" fillId="35" borderId="27" xfId="0" applyNumberFormat="1" applyFill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1" xfId="0" applyBorder="1" applyAlignment="1">
      <alignment horizontal="center"/>
    </xf>
    <xf numFmtId="170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171" fontId="0" fillId="0" borderId="0" xfId="0" applyNumberFormat="1" applyAlignment="1">
      <alignment horizontal="center"/>
    </xf>
    <xf numFmtId="0" fontId="0" fillId="52" borderId="0" xfId="0" applyFill="1" applyAlignment="1">
      <alignment horizontal="left"/>
    </xf>
    <xf numFmtId="168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18" fillId="0" borderId="0" xfId="0" applyNumberFormat="1" applyFont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18" fillId="0" borderId="34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9" fontId="18" fillId="0" borderId="34" xfId="0" applyNumberFormat="1" applyFont="1" applyBorder="1" applyAlignment="1">
      <alignment horizontal="center" vertical="center"/>
    </xf>
    <xf numFmtId="168" fontId="0" fillId="0" borderId="34" xfId="0" applyNumberFormat="1" applyBorder="1" applyAlignment="1">
      <alignment horizontal="center" vertical="center"/>
    </xf>
    <xf numFmtId="9" fontId="18" fillId="0" borderId="34" xfId="0" applyNumberFormat="1" applyFont="1" applyBorder="1" applyAlignment="1">
      <alignment horizontal="center"/>
    </xf>
    <xf numFmtId="171" fontId="0" fillId="0" borderId="34" xfId="0" applyNumberFormat="1" applyBorder="1" applyAlignment="1">
      <alignment horizontal="center"/>
    </xf>
    <xf numFmtId="0" fontId="0" fillId="0" borderId="42" xfId="0" applyBorder="1" applyAlignment="1">
      <alignment horizontal="left" vertical="center"/>
    </xf>
    <xf numFmtId="0" fontId="18" fillId="0" borderId="42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9" fontId="18" fillId="0" borderId="42" xfId="0" applyNumberFormat="1" applyFont="1" applyBorder="1" applyAlignment="1">
      <alignment horizontal="center" vertical="center"/>
    </xf>
    <xf numFmtId="168" fontId="0" fillId="0" borderId="42" xfId="0" applyNumberFormat="1" applyBorder="1" applyAlignment="1">
      <alignment horizontal="center" vertical="center"/>
    </xf>
    <xf numFmtId="9" fontId="18" fillId="0" borderId="42" xfId="0" applyNumberFormat="1" applyFont="1" applyBorder="1" applyAlignment="1">
      <alignment horizontal="center"/>
    </xf>
    <xf numFmtId="171" fontId="0" fillId="0" borderId="42" xfId="0" applyNumberFormat="1" applyBorder="1" applyAlignment="1">
      <alignment horizontal="center"/>
    </xf>
    <xf numFmtId="168" fontId="0" fillId="0" borderId="36" xfId="0" applyNumberFormat="1" applyBorder="1" applyAlignment="1">
      <alignment horizontal="center" vertical="center"/>
    </xf>
    <xf numFmtId="168" fontId="0" fillId="0" borderId="35" xfId="0" applyNumberFormat="1" applyBorder="1" applyAlignment="1">
      <alignment horizontal="center" vertical="center"/>
    </xf>
    <xf numFmtId="168" fontId="0" fillId="0" borderId="44" xfId="0" applyNumberFormat="1" applyBorder="1" applyAlignment="1">
      <alignment horizontal="center" vertical="center"/>
    </xf>
    <xf numFmtId="168" fontId="47" fillId="56" borderId="0" xfId="0" applyNumberFormat="1" applyFont="1" applyFill="1" applyAlignment="1">
      <alignment horizontal="center" vertical="center"/>
    </xf>
    <xf numFmtId="168" fontId="47" fillId="56" borderId="0" xfId="0" applyNumberFormat="1" applyFont="1" applyFill="1" applyAlignment="1">
      <alignment horizontal="left" vertical="center"/>
    </xf>
    <xf numFmtId="171" fontId="47" fillId="56" borderId="0" xfId="0" applyNumberFormat="1" applyFont="1" applyFill="1" applyAlignment="1">
      <alignment horizontal="left" vertical="center"/>
    </xf>
    <xf numFmtId="0" fontId="47" fillId="56" borderId="0" xfId="0" applyFont="1" applyFill="1" applyAlignment="1">
      <alignment horizontal="left" vertical="center"/>
    </xf>
    <xf numFmtId="0" fontId="18" fillId="0" borderId="39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47" fillId="57" borderId="0" xfId="0" applyFont="1" applyFill="1" applyAlignment="1">
      <alignment horizontal="center" vertical="center"/>
    </xf>
    <xf numFmtId="9" fontId="47" fillId="57" borderId="0" xfId="0" applyNumberFormat="1" applyFont="1" applyFill="1" applyAlignment="1">
      <alignment horizontal="center" vertical="center"/>
    </xf>
    <xf numFmtId="168" fontId="47" fillId="57" borderId="0" xfId="0" applyNumberFormat="1" applyFont="1" applyFill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70" fontId="47" fillId="58" borderId="0" xfId="0" applyNumberFormat="1" applyFont="1" applyFill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170" fontId="47" fillId="0" borderId="42" xfId="0" applyNumberFormat="1" applyFont="1" applyBorder="1" applyAlignment="1">
      <alignment horizontal="center" vertical="center"/>
    </xf>
    <xf numFmtId="0" fontId="47" fillId="57" borderId="0" xfId="0" applyFont="1" applyFill="1" applyAlignment="1">
      <alignment horizontal="left" vertical="center"/>
    </xf>
    <xf numFmtId="170" fontId="0" fillId="0" borderId="34" xfId="0" applyNumberFormat="1" applyBorder="1" applyAlignment="1">
      <alignment horizontal="center" vertical="center"/>
    </xf>
    <xf numFmtId="170" fontId="0" fillId="0" borderId="42" xfId="0" applyNumberFormat="1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18" fillId="0" borderId="54" xfId="0" applyFont="1" applyBorder="1" applyAlignment="1">
      <alignment horizontal="center" vertical="center"/>
    </xf>
    <xf numFmtId="170" fontId="0" fillId="0" borderId="54" xfId="0" applyNumberForma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8" fontId="0" fillId="0" borderId="54" xfId="0" applyNumberFormat="1" applyBorder="1" applyAlignment="1">
      <alignment horizontal="center" vertical="center"/>
    </xf>
    <xf numFmtId="9" fontId="18" fillId="0" borderId="54" xfId="0" applyNumberFormat="1" applyFont="1" applyBorder="1" applyAlignment="1">
      <alignment horizontal="center" vertical="center"/>
    </xf>
    <xf numFmtId="168" fontId="0" fillId="0" borderId="56" xfId="0" applyNumberFormat="1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0" fontId="18" fillId="0" borderId="57" xfId="0" applyFont="1" applyBorder="1" applyAlignment="1">
      <alignment horizontal="center" vertical="center"/>
    </xf>
    <xf numFmtId="170" fontId="0" fillId="0" borderId="57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168" fontId="0" fillId="0" borderId="57" xfId="0" applyNumberFormat="1" applyBorder="1" applyAlignment="1">
      <alignment horizontal="center" vertical="center"/>
    </xf>
    <xf numFmtId="9" fontId="18" fillId="0" borderId="57" xfId="0" applyNumberFormat="1" applyFont="1" applyBorder="1" applyAlignment="1">
      <alignment horizontal="center" vertical="center"/>
    </xf>
    <xf numFmtId="168" fontId="0" fillId="0" borderId="59" xfId="0" applyNumberFormat="1" applyBorder="1" applyAlignment="1">
      <alignment horizontal="center" vertical="center"/>
    </xf>
    <xf numFmtId="0" fontId="0" fillId="0" borderId="10" xfId="0" applyBorder="1" applyAlignment="1">
      <alignment horizontal="left"/>
    </xf>
    <xf numFmtId="2" fontId="18" fillId="0" borderId="0" xfId="43" applyNumberFormat="1" applyFont="1" applyBorder="1"/>
    <xf numFmtId="0" fontId="29" fillId="0" borderId="52" xfId="0" applyFont="1" applyBorder="1"/>
    <xf numFmtId="0" fontId="25" fillId="0" borderId="52" xfId="0" applyFont="1" applyBorder="1" applyAlignment="1">
      <alignment horizontal="center"/>
    </xf>
    <xf numFmtId="0" fontId="0" fillId="0" borderId="52" xfId="0" applyBorder="1"/>
    <xf numFmtId="2" fontId="0" fillId="0" borderId="52" xfId="0" applyNumberFormat="1" applyBorder="1" applyAlignment="1">
      <alignment horizontal="center"/>
    </xf>
    <xf numFmtId="9" fontId="18" fillId="0" borderId="52" xfId="0" applyNumberFormat="1" applyFont="1" applyBorder="1" applyAlignment="1">
      <alignment horizontal="center"/>
    </xf>
    <xf numFmtId="2" fontId="18" fillId="0" borderId="52" xfId="43" applyNumberFormat="1" applyFont="1" applyFill="1" applyBorder="1"/>
    <xf numFmtId="1" fontId="26" fillId="0" borderId="52" xfId="0" applyNumberFormat="1" applyFont="1" applyBorder="1" applyAlignment="1">
      <alignment horizontal="center"/>
    </xf>
    <xf numFmtId="166" fontId="37" fillId="0" borderId="52" xfId="42" applyNumberFormat="1" applyFont="1" applyFill="1" applyBorder="1" applyAlignment="1">
      <alignment horizontal="center"/>
    </xf>
    <xf numFmtId="2" fontId="0" fillId="0" borderId="52" xfId="43" applyNumberFormat="1" applyFont="1" applyFill="1" applyBorder="1" applyAlignment="1">
      <alignment horizontal="center"/>
    </xf>
    <xf numFmtId="2" fontId="0" fillId="0" borderId="52" xfId="43" applyNumberFormat="1" applyFont="1" applyFill="1" applyBorder="1"/>
    <xf numFmtId="10" fontId="0" fillId="0" borderId="52" xfId="42" applyNumberFormat="1" applyFont="1" applyFill="1" applyBorder="1"/>
    <xf numFmtId="2" fontId="0" fillId="0" borderId="52" xfId="0" applyNumberFormat="1" applyBorder="1"/>
    <xf numFmtId="0" fontId="39" fillId="0" borderId="52" xfId="0" applyFont="1" applyBorder="1"/>
    <xf numFmtId="0" fontId="29" fillId="35" borderId="34" xfId="0" applyFont="1" applyFill="1" applyBorder="1"/>
    <xf numFmtId="0" fontId="25" fillId="35" borderId="34" xfId="0" applyFont="1" applyFill="1" applyBorder="1" applyAlignment="1">
      <alignment horizontal="center"/>
    </xf>
    <xf numFmtId="0" fontId="0" fillId="35" borderId="34" xfId="0" applyFill="1" applyBorder="1"/>
    <xf numFmtId="2" fontId="0" fillId="0" borderId="34" xfId="0" applyNumberFormat="1" applyBorder="1" applyAlignment="1">
      <alignment horizontal="center"/>
    </xf>
    <xf numFmtId="1" fontId="26" fillId="0" borderId="34" xfId="0" applyNumberFormat="1" applyFont="1" applyBorder="1" applyAlignment="1">
      <alignment horizontal="center"/>
    </xf>
    <xf numFmtId="166" fontId="37" fillId="0" borderId="34" xfId="42" applyNumberFormat="1" applyFont="1" applyFill="1" applyBorder="1" applyAlignment="1">
      <alignment horizontal="center"/>
    </xf>
    <xf numFmtId="2" fontId="0" fillId="0" borderId="34" xfId="43" applyNumberFormat="1" applyFont="1" applyFill="1" applyBorder="1" applyAlignment="1">
      <alignment horizontal="center"/>
    </xf>
    <xf numFmtId="2" fontId="0" fillId="0" borderId="34" xfId="43" applyNumberFormat="1" applyFont="1" applyFill="1" applyBorder="1"/>
    <xf numFmtId="10" fontId="0" fillId="0" borderId="34" xfId="42" applyNumberFormat="1" applyFont="1" applyFill="1" applyBorder="1"/>
    <xf numFmtId="2" fontId="0" fillId="0" borderId="34" xfId="0" applyNumberFormat="1" applyBorder="1"/>
    <xf numFmtId="0" fontId="38" fillId="0" borderId="34" xfId="0" applyFont="1" applyBorder="1"/>
    <xf numFmtId="1" fontId="26" fillId="0" borderId="0" xfId="0" applyNumberFormat="1" applyFont="1" applyAlignment="1">
      <alignment horizontal="center"/>
    </xf>
    <xf numFmtId="2" fontId="0" fillId="0" borderId="0" xfId="0" applyNumberFormat="1"/>
    <xf numFmtId="0" fontId="29" fillId="0" borderId="42" xfId="0" applyFont="1" applyBorder="1"/>
    <xf numFmtId="0" fontId="25" fillId="0" borderId="42" xfId="0" applyFon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1" fontId="26" fillId="0" borderId="42" xfId="0" applyNumberFormat="1" applyFont="1" applyBorder="1" applyAlignment="1">
      <alignment horizontal="center"/>
    </xf>
    <xf numFmtId="166" fontId="37" fillId="0" borderId="42" xfId="42" applyNumberFormat="1" applyFont="1" applyFill="1" applyBorder="1" applyAlignment="1">
      <alignment horizontal="center"/>
    </xf>
    <xf numFmtId="2" fontId="0" fillId="0" borderId="42" xfId="43" applyNumberFormat="1" applyFont="1" applyFill="1" applyBorder="1" applyAlignment="1">
      <alignment horizontal="center"/>
    </xf>
    <xf numFmtId="2" fontId="0" fillId="0" borderId="42" xfId="43" applyNumberFormat="1" applyFont="1" applyFill="1" applyBorder="1"/>
    <xf numFmtId="10" fontId="0" fillId="0" borderId="42" xfId="42" applyNumberFormat="1" applyFont="1" applyFill="1" applyBorder="1"/>
    <xf numFmtId="2" fontId="0" fillId="0" borderId="42" xfId="0" applyNumberFormat="1" applyBorder="1"/>
    <xf numFmtId="0" fontId="39" fillId="0" borderId="42" xfId="0" applyFont="1" applyBorder="1"/>
    <xf numFmtId="0" fontId="39" fillId="0" borderId="34" xfId="0" applyFont="1" applyBorder="1"/>
    <xf numFmtId="0" fontId="29" fillId="35" borderId="42" xfId="0" applyFont="1" applyFill="1" applyBorder="1"/>
    <xf numFmtId="0" fontId="25" fillId="35" borderId="42" xfId="0" applyFont="1" applyFill="1" applyBorder="1" applyAlignment="1">
      <alignment horizontal="center"/>
    </xf>
    <xf numFmtId="0" fontId="0" fillId="35" borderId="42" xfId="0" applyFill="1" applyBorder="1"/>
    <xf numFmtId="0" fontId="29" fillId="52" borderId="34" xfId="0" applyFont="1" applyFill="1" applyBorder="1"/>
    <xf numFmtId="0" fontId="25" fillId="52" borderId="34" xfId="0" applyFont="1" applyFill="1" applyBorder="1" applyAlignment="1">
      <alignment horizontal="center"/>
    </xf>
    <xf numFmtId="0" fontId="0" fillId="52" borderId="34" xfId="0" applyFill="1" applyBorder="1"/>
    <xf numFmtId="0" fontId="18" fillId="0" borderId="34" xfId="0" applyFont="1" applyBorder="1" applyAlignment="1">
      <alignment horizontal="left"/>
    </xf>
    <xf numFmtId="0" fontId="29" fillId="0" borderId="34" xfId="0" applyFont="1" applyBorder="1"/>
    <xf numFmtId="0" fontId="18" fillId="0" borderId="34" xfId="0" applyFont="1" applyBorder="1"/>
    <xf numFmtId="0" fontId="41" fillId="0" borderId="0" xfId="0" applyFont="1"/>
    <xf numFmtId="0" fontId="18" fillId="0" borderId="42" xfId="0" applyFont="1" applyBorder="1" applyAlignment="1">
      <alignment horizontal="left"/>
    </xf>
    <xf numFmtId="0" fontId="41" fillId="0" borderId="42" xfId="0" applyFont="1" applyBorder="1"/>
    <xf numFmtId="0" fontId="29" fillId="35" borderId="0" xfId="0" applyFont="1" applyFill="1"/>
    <xf numFmtId="0" fontId="25" fillId="35" borderId="0" xfId="0" applyFont="1" applyFill="1" applyAlignment="1">
      <alignment horizontal="center"/>
    </xf>
    <xf numFmtId="0" fontId="0" fillId="35" borderId="0" xfId="0" applyFill="1"/>
    <xf numFmtId="0" fontId="29" fillId="52" borderId="42" xfId="0" applyFont="1" applyFill="1" applyBorder="1"/>
    <xf numFmtId="0" fontId="25" fillId="52" borderId="42" xfId="0" applyFont="1" applyFill="1" applyBorder="1" applyAlignment="1">
      <alignment horizontal="center"/>
    </xf>
    <xf numFmtId="0" fontId="0" fillId="52" borderId="42" xfId="0" applyFill="1" applyBorder="1"/>
    <xf numFmtId="2" fontId="18" fillId="0" borderId="42" xfId="43" applyNumberFormat="1" applyFont="1" applyBorder="1"/>
    <xf numFmtId="2" fontId="0" fillId="0" borderId="42" xfId="43" applyNumberFormat="1" applyFont="1" applyBorder="1" applyAlignment="1">
      <alignment horizontal="center"/>
    </xf>
    <xf numFmtId="2" fontId="0" fillId="0" borderId="42" xfId="43" applyNumberFormat="1" applyFont="1" applyBorder="1"/>
    <xf numFmtId="0" fontId="38" fillId="0" borderId="42" xfId="0" applyFont="1" applyBorder="1"/>
    <xf numFmtId="0" fontId="25" fillId="0" borderId="0" xfId="0" applyFont="1"/>
    <xf numFmtId="0" fontId="28" fillId="0" borderId="0" xfId="0" applyFont="1"/>
    <xf numFmtId="2" fontId="28" fillId="0" borderId="0" xfId="0" applyNumberFormat="1" applyFont="1"/>
    <xf numFmtId="2" fontId="0" fillId="0" borderId="0" xfId="43" applyNumberFormat="1" applyFont="1" applyBorder="1" applyAlignment="1">
      <alignment horizontal="center"/>
    </xf>
    <xf numFmtId="2" fontId="0" fillId="0" borderId="0" xfId="43" applyNumberFormat="1" applyFont="1" applyBorder="1"/>
    <xf numFmtId="0" fontId="21" fillId="0" borderId="0" xfId="0" applyFont="1" applyAlignment="1">
      <alignment horizontal="left"/>
    </xf>
    <xf numFmtId="0" fontId="21" fillId="52" borderId="0" xfId="0" applyFont="1" applyFill="1"/>
    <xf numFmtId="0" fontId="22" fillId="52" borderId="0" xfId="0" applyFont="1" applyFill="1" applyAlignment="1">
      <alignment horizontal="center"/>
    </xf>
    <xf numFmtId="0" fontId="25" fillId="54" borderId="0" xfId="0" applyFont="1" applyFill="1" applyAlignment="1">
      <alignment horizontal="center"/>
    </xf>
    <xf numFmtId="0" fontId="25" fillId="51" borderId="0" xfId="0" applyFont="1" applyFill="1" applyAlignment="1">
      <alignment horizontal="center"/>
    </xf>
    <xf numFmtId="0" fontId="21" fillId="0" borderId="0" xfId="0" applyFont="1"/>
    <xf numFmtId="0" fontId="22" fillId="0" borderId="0" xfId="0" applyFont="1"/>
    <xf numFmtId="2" fontId="18" fillId="0" borderId="0" xfId="0" applyNumberFormat="1" applyFont="1"/>
    <xf numFmtId="1" fontId="0" fillId="0" borderId="0" xfId="0" applyNumberFormat="1"/>
    <xf numFmtId="166" fontId="22" fillId="0" borderId="0" xfId="0" applyNumberFormat="1" applyFont="1" applyAlignment="1">
      <alignment horizontal="center"/>
    </xf>
    <xf numFmtId="165" fontId="0" fillId="0" borderId="0" xfId="0" applyNumberFormat="1"/>
    <xf numFmtId="0" fontId="21" fillId="0" borderId="52" xfId="0" applyFont="1" applyBorder="1" applyAlignment="1">
      <alignment horizontal="left"/>
    </xf>
    <xf numFmtId="0" fontId="18" fillId="0" borderId="42" xfId="0" applyFont="1" applyBorder="1"/>
    <xf numFmtId="0" fontId="29" fillId="53" borderId="34" xfId="0" applyFont="1" applyFill="1" applyBorder="1"/>
    <xf numFmtId="0" fontId="25" fillId="53" borderId="34" xfId="0" applyFont="1" applyFill="1" applyBorder="1" applyAlignment="1">
      <alignment horizontal="center"/>
    </xf>
    <xf numFmtId="0" fontId="0" fillId="53" borderId="34" xfId="0" applyFill="1" applyBorder="1"/>
    <xf numFmtId="0" fontId="29" fillId="0" borderId="60" xfId="0" applyFont="1" applyBorder="1"/>
    <xf numFmtId="0" fontId="25" fillId="0" borderId="60" xfId="0" applyFont="1" applyBorder="1" applyAlignment="1">
      <alignment horizontal="center"/>
    </xf>
    <xf numFmtId="0" fontId="0" fillId="0" borderId="60" xfId="0" applyBorder="1"/>
    <xf numFmtId="2" fontId="0" fillId="0" borderId="60" xfId="0" applyNumberFormat="1" applyBorder="1" applyAlignment="1">
      <alignment horizontal="center"/>
    </xf>
    <xf numFmtId="9" fontId="18" fillId="0" borderId="60" xfId="0" applyNumberFormat="1" applyFont="1" applyBorder="1" applyAlignment="1">
      <alignment horizontal="center"/>
    </xf>
    <xf numFmtId="2" fontId="18" fillId="0" borderId="60" xfId="43" applyNumberFormat="1" applyFont="1" applyFill="1" applyBorder="1"/>
    <xf numFmtId="1" fontId="26" fillId="0" borderId="60" xfId="0" applyNumberFormat="1" applyFont="1" applyBorder="1" applyAlignment="1">
      <alignment horizontal="center"/>
    </xf>
    <xf numFmtId="166" fontId="37" fillId="0" borderId="60" xfId="42" applyNumberFormat="1" applyFont="1" applyFill="1" applyBorder="1" applyAlignment="1">
      <alignment horizontal="center"/>
    </xf>
    <xf numFmtId="2" fontId="0" fillId="0" borderId="60" xfId="43" applyNumberFormat="1" applyFont="1" applyFill="1" applyBorder="1" applyAlignment="1">
      <alignment horizontal="center"/>
    </xf>
    <xf numFmtId="2" fontId="0" fillId="0" borderId="60" xfId="43" applyNumberFormat="1" applyFont="1" applyFill="1" applyBorder="1"/>
    <xf numFmtId="10" fontId="0" fillId="0" borderId="60" xfId="42" applyNumberFormat="1" applyFont="1" applyFill="1" applyBorder="1"/>
    <xf numFmtId="2" fontId="0" fillId="0" borderId="60" xfId="0" applyNumberFormat="1" applyBorder="1"/>
    <xf numFmtId="0" fontId="0" fillId="0" borderId="60" xfId="0" applyBorder="1" applyAlignment="1">
      <alignment horizontal="center"/>
    </xf>
    <xf numFmtId="0" fontId="0" fillId="0" borderId="60" xfId="0" applyBorder="1" applyAlignment="1">
      <alignment horizontal="left"/>
    </xf>
    <xf numFmtId="0" fontId="39" fillId="0" borderId="60" xfId="0" applyFont="1" applyBorder="1"/>
    <xf numFmtId="0" fontId="29" fillId="0" borderId="61" xfId="0" applyFont="1" applyBorder="1"/>
    <xf numFmtId="0" fontId="25" fillId="0" borderId="61" xfId="0" applyFont="1" applyBorder="1" applyAlignment="1">
      <alignment horizontal="center"/>
    </xf>
    <xf numFmtId="0" fontId="0" fillId="0" borderId="61" xfId="0" applyBorder="1"/>
    <xf numFmtId="2" fontId="0" fillId="0" borderId="61" xfId="0" applyNumberFormat="1" applyBorder="1" applyAlignment="1">
      <alignment horizontal="center"/>
    </xf>
    <xf numFmtId="9" fontId="18" fillId="0" borderId="61" xfId="0" applyNumberFormat="1" applyFont="1" applyBorder="1" applyAlignment="1">
      <alignment horizontal="center"/>
    </xf>
    <xf numFmtId="2" fontId="18" fillId="0" borderId="61" xfId="43" applyNumberFormat="1" applyFont="1" applyFill="1" applyBorder="1"/>
    <xf numFmtId="1" fontId="26" fillId="0" borderId="61" xfId="0" applyNumberFormat="1" applyFont="1" applyBorder="1" applyAlignment="1">
      <alignment horizontal="center"/>
    </xf>
    <xf numFmtId="166" fontId="37" fillId="0" borderId="61" xfId="42" applyNumberFormat="1" applyFont="1" applyFill="1" applyBorder="1" applyAlignment="1">
      <alignment horizontal="center"/>
    </xf>
    <xf numFmtId="2" fontId="0" fillId="0" borderId="61" xfId="43" applyNumberFormat="1" applyFont="1" applyFill="1" applyBorder="1" applyAlignment="1">
      <alignment horizontal="center"/>
    </xf>
    <xf numFmtId="2" fontId="0" fillId="0" borderId="61" xfId="43" applyNumberFormat="1" applyFont="1" applyFill="1" applyBorder="1"/>
    <xf numFmtId="10" fontId="0" fillId="0" borderId="61" xfId="42" applyNumberFormat="1" applyFont="1" applyFill="1" applyBorder="1"/>
    <xf numFmtId="2" fontId="0" fillId="0" borderId="61" xfId="0" applyNumberFormat="1" applyBorder="1"/>
    <xf numFmtId="0" fontId="0" fillId="0" borderId="61" xfId="0" applyBorder="1" applyAlignment="1">
      <alignment horizontal="center"/>
    </xf>
    <xf numFmtId="0" fontId="0" fillId="0" borderId="61" xfId="0" applyBorder="1" applyAlignment="1">
      <alignment horizontal="left"/>
    </xf>
    <xf numFmtId="0" fontId="39" fillId="0" borderId="61" xfId="0" applyFont="1" applyBorder="1"/>
    <xf numFmtId="0" fontId="29" fillId="35" borderId="60" xfId="0" applyFont="1" applyFill="1" applyBorder="1"/>
    <xf numFmtId="0" fontId="25" fillId="35" borderId="60" xfId="0" applyFont="1" applyFill="1" applyBorder="1" applyAlignment="1">
      <alignment horizontal="center"/>
    </xf>
    <xf numFmtId="0" fontId="0" fillId="35" borderId="60" xfId="0" applyFill="1" applyBorder="1"/>
    <xf numFmtId="0" fontId="29" fillId="35" borderId="62" xfId="0" applyFont="1" applyFill="1" applyBorder="1"/>
    <xf numFmtId="0" fontId="25" fillId="35" borderId="62" xfId="0" applyFont="1" applyFill="1" applyBorder="1" applyAlignment="1">
      <alignment horizontal="center"/>
    </xf>
    <xf numFmtId="0" fontId="0" fillId="35" borderId="62" xfId="0" applyFill="1" applyBorder="1"/>
    <xf numFmtId="0" fontId="0" fillId="0" borderId="62" xfId="0" applyBorder="1"/>
    <xf numFmtId="2" fontId="0" fillId="0" borderId="62" xfId="0" applyNumberFormat="1" applyBorder="1" applyAlignment="1">
      <alignment horizontal="center"/>
    </xf>
    <xf numFmtId="9" fontId="18" fillId="0" borderId="62" xfId="0" applyNumberFormat="1" applyFont="1" applyBorder="1" applyAlignment="1">
      <alignment horizontal="center"/>
    </xf>
    <xf numFmtId="2" fontId="18" fillId="0" borderId="62" xfId="43" applyNumberFormat="1" applyFont="1" applyFill="1" applyBorder="1"/>
    <xf numFmtId="1" fontId="26" fillId="0" borderId="62" xfId="0" applyNumberFormat="1" applyFont="1" applyBorder="1" applyAlignment="1">
      <alignment horizontal="center"/>
    </xf>
    <xf numFmtId="166" fontId="37" fillId="0" borderId="62" xfId="42" applyNumberFormat="1" applyFont="1" applyFill="1" applyBorder="1" applyAlignment="1">
      <alignment horizontal="center"/>
    </xf>
    <xf numFmtId="2" fontId="0" fillId="0" borderId="62" xfId="43" applyNumberFormat="1" applyFont="1" applyFill="1" applyBorder="1" applyAlignment="1">
      <alignment horizontal="center"/>
    </xf>
    <xf numFmtId="2" fontId="0" fillId="0" borderId="62" xfId="43" applyNumberFormat="1" applyFont="1" applyFill="1" applyBorder="1"/>
    <xf numFmtId="10" fontId="0" fillId="0" borderId="62" xfId="42" applyNumberFormat="1" applyFont="1" applyFill="1" applyBorder="1"/>
    <xf numFmtId="2" fontId="0" fillId="0" borderId="62" xfId="0" applyNumberFormat="1" applyBorder="1"/>
    <xf numFmtId="0" fontId="0" fillId="0" borderId="62" xfId="0" applyBorder="1" applyAlignment="1">
      <alignment horizontal="center"/>
    </xf>
    <xf numFmtId="0" fontId="18" fillId="0" borderId="62" xfId="0" applyFont="1" applyBorder="1" applyAlignment="1">
      <alignment horizontal="left"/>
    </xf>
    <xf numFmtId="0" fontId="38" fillId="0" borderId="61" xfId="0" applyFont="1" applyBorder="1"/>
    <xf numFmtId="0" fontId="38" fillId="0" borderId="60" xfId="0" applyFont="1" applyBorder="1"/>
    <xf numFmtId="0" fontId="21" fillId="0" borderId="60" xfId="0" applyFont="1" applyBorder="1" applyAlignment="1">
      <alignment horizontal="left"/>
    </xf>
    <xf numFmtId="0" fontId="29" fillId="52" borderId="61" xfId="0" applyFont="1" applyFill="1" applyBorder="1"/>
    <xf numFmtId="0" fontId="25" fillId="52" borderId="61" xfId="0" applyFont="1" applyFill="1" applyBorder="1" applyAlignment="1">
      <alignment horizontal="center"/>
    </xf>
    <xf numFmtId="0" fontId="0" fillId="52" borderId="61" xfId="0" applyFill="1" applyBorder="1"/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45" fillId="0" borderId="28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6" borderId="36" xfId="0" applyFill="1" applyBorder="1" applyAlignment="1">
      <alignment horizontal="center"/>
    </xf>
    <xf numFmtId="0" fontId="0" fillId="36" borderId="47" xfId="0" applyFill="1" applyBorder="1" applyAlignment="1">
      <alignment horizontal="center"/>
    </xf>
    <xf numFmtId="0" fontId="0" fillId="36" borderId="44" xfId="0" applyFill="1" applyBorder="1" applyAlignment="1">
      <alignment horizontal="center"/>
    </xf>
    <xf numFmtId="0" fontId="0" fillId="36" borderId="39" xfId="0" applyFill="1" applyBorder="1" applyAlignment="1">
      <alignment horizontal="center"/>
    </xf>
    <xf numFmtId="0" fontId="0" fillId="36" borderId="40" xfId="0" applyFill="1" applyBorder="1" applyAlignment="1">
      <alignment horizontal="center"/>
    </xf>
    <xf numFmtId="0" fontId="0" fillId="36" borderId="41" xfId="0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36" borderId="43" xfId="0" applyFill="1" applyBorder="1" applyAlignment="1">
      <alignment horizontal="center"/>
    </xf>
    <xf numFmtId="0" fontId="18" fillId="35" borderId="13" xfId="0" applyFont="1" applyFill="1" applyBorder="1" applyAlignment="1">
      <alignment horizontal="center" vertical="center"/>
    </xf>
    <xf numFmtId="0" fontId="18" fillId="35" borderId="10" xfId="0" applyFont="1" applyFill="1" applyBorder="1" applyAlignment="1">
      <alignment horizontal="center" vertical="center"/>
    </xf>
  </cellXfs>
  <cellStyles count="65">
    <cellStyle name="20% - Accent1" xfId="19" builtinId="30" customBuiltin="1"/>
    <cellStyle name="20% - Accent1 2" xfId="45" xr:uid="{A5803BF1-538D-4892-894B-53E030CDCD15}"/>
    <cellStyle name="20% - Accent2" xfId="23" builtinId="34" customBuiltin="1"/>
    <cellStyle name="20% - Accent2 2" xfId="48" xr:uid="{A67C939F-5FF5-4055-B02A-3C225A32CCD3}"/>
    <cellStyle name="20% - Accent3" xfId="27" builtinId="38" customBuiltin="1"/>
    <cellStyle name="20% - Accent3 2" xfId="51" xr:uid="{C949498C-0BF3-4211-92E1-C0C7B98C072B}"/>
    <cellStyle name="20% - Accent4" xfId="31" builtinId="42" customBuiltin="1"/>
    <cellStyle name="20% - Accent4 2" xfId="54" xr:uid="{45FEBCC9-B190-4814-AC3D-F20AED1DD46A}"/>
    <cellStyle name="20% - Accent5" xfId="35" builtinId="46" customBuiltin="1"/>
    <cellStyle name="20% - Accent5 2" xfId="57" xr:uid="{5F7A7989-609D-4D7E-8C6F-2A43BB07C87F}"/>
    <cellStyle name="20% - Accent6" xfId="39" builtinId="50" customBuiltin="1"/>
    <cellStyle name="20% - Accent6 2" xfId="60" xr:uid="{3BFBC4BC-87AF-4AF2-8E1E-62695DFADC43}"/>
    <cellStyle name="40% - Accent1" xfId="20" builtinId="31" customBuiltin="1"/>
    <cellStyle name="40% - Accent1 2" xfId="46" xr:uid="{CE13CED7-1ADB-408C-BCEC-18C698EEE64F}"/>
    <cellStyle name="40% - Accent2" xfId="24" builtinId="35" customBuiltin="1"/>
    <cellStyle name="40% - Accent2 2" xfId="49" xr:uid="{A2B36403-67D7-4D6D-A127-40DD0FE7D04C}"/>
    <cellStyle name="40% - Accent3" xfId="28" builtinId="39" customBuiltin="1"/>
    <cellStyle name="40% - Accent3 2" xfId="52" xr:uid="{2780C848-01A4-495B-B6AE-344B8F32F2FB}"/>
    <cellStyle name="40% - Accent4" xfId="32" builtinId="43" customBuiltin="1"/>
    <cellStyle name="40% - Accent4 2" xfId="55" xr:uid="{761A1F1F-19DA-4452-9CF0-591ED6D10237}"/>
    <cellStyle name="40% - Accent5" xfId="36" builtinId="47" customBuiltin="1"/>
    <cellStyle name="40% - Accent5 2" xfId="58" xr:uid="{C324E1AC-D7B1-41DA-A967-2D14D5982152}"/>
    <cellStyle name="40% - Accent6" xfId="40" builtinId="51" customBuiltin="1"/>
    <cellStyle name="40% - Accent6 2" xfId="61" xr:uid="{ED11B1DF-13F8-43C3-9276-FD626DC6850A}"/>
    <cellStyle name="60% - Accent1" xfId="21" builtinId="32" customBuiltin="1"/>
    <cellStyle name="60% - Accent1 2" xfId="47" xr:uid="{820A5AE9-2211-46B9-B96F-FEDC4EE84446}"/>
    <cellStyle name="60% - Accent2" xfId="25" builtinId="36" customBuiltin="1"/>
    <cellStyle name="60% - Accent2 2" xfId="50" xr:uid="{6CB1C788-0DF7-4988-B092-0E9CEA834012}"/>
    <cellStyle name="60% - Accent3" xfId="29" builtinId="40" customBuiltin="1"/>
    <cellStyle name="60% - Accent3 2" xfId="53" xr:uid="{C45CDEB2-A4E6-4EF6-9B19-D52D9B892527}"/>
    <cellStyle name="60% - Accent4" xfId="33" builtinId="44" customBuiltin="1"/>
    <cellStyle name="60% - Accent4 2" xfId="56" xr:uid="{F717AC8C-6071-4E44-A8AE-E5CCD464DEEC}"/>
    <cellStyle name="60% - Accent5" xfId="37" builtinId="48" customBuiltin="1"/>
    <cellStyle name="60% - Accent5 2" xfId="59" xr:uid="{13D20162-B19C-446F-A91B-1695463852D1}"/>
    <cellStyle name="60% - Accent6" xfId="41" builtinId="52" customBuiltin="1"/>
    <cellStyle name="60% - Accent6 2" xfId="62" xr:uid="{F1C29AAD-6347-41D1-8486-5561296D1C0A}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Currency 2" xfId="64" xr:uid="{B3054B10-5ECE-4850-AB97-ACBA45D5E8F5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Note 2" xfId="44" xr:uid="{6530F5FA-5EAB-43EB-B105-F21F4FCCF8C6}"/>
    <cellStyle name="Output" xfId="10" builtinId="21" customBuiltin="1"/>
    <cellStyle name="Percent" xfId="42" builtinId="5"/>
    <cellStyle name="Percent 2" xfId="63" xr:uid="{544F91E1-1FD9-40FE-B3B5-252C7B6DE200}"/>
    <cellStyle name="Title" xfId="1" builtinId="15" customBuiltin="1"/>
    <cellStyle name="Total" xfId="17" builtinId="25" customBuiltin="1"/>
    <cellStyle name="Warning Text" xfId="14" builtinId="11" customBuiltin="1"/>
  </cellStyles>
  <dxfs count="114">
    <dxf>
      <fill>
        <patternFill>
          <bgColor rgb="FFFF7C8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DE64"/>
      </font>
      <fill>
        <patternFill>
          <bgColor rgb="FF00DE64"/>
        </patternFill>
      </fill>
    </dxf>
    <dxf>
      <font>
        <color rgb="FFFF4359"/>
      </font>
      <fill>
        <patternFill>
          <bgColor rgb="FFFF4359"/>
        </patternFill>
      </fill>
    </dxf>
    <dxf>
      <font>
        <color rgb="FF00DE64"/>
      </font>
      <fill>
        <patternFill>
          <bgColor rgb="FF00DE64"/>
        </patternFill>
      </fill>
    </dxf>
    <dxf>
      <font>
        <color rgb="FFFF4359"/>
      </font>
      <fill>
        <patternFill>
          <bgColor rgb="FFFF4359"/>
        </patternFill>
      </fill>
    </dxf>
    <dxf>
      <font>
        <color rgb="FFFFC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DE64"/>
      </font>
      <fill>
        <patternFill>
          <bgColor rgb="FF00DE64"/>
        </patternFill>
      </fill>
    </dxf>
    <dxf>
      <font>
        <color rgb="FFFF4359"/>
      </font>
      <fill>
        <patternFill>
          <bgColor rgb="FFFF435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[$£-809]#,##0.00"/>
      <alignment horizontal="center" textRotation="0" wrapText="0" indent="0" justifyLastLine="0" shrinkToFit="0" readingOrder="0"/>
    </dxf>
    <dxf>
      <font>
        <b/>
      </font>
      <alignment horizont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font>
        <b/>
      </font>
      <numFmt numFmtId="13" formatCode="0%"/>
      <alignment horizontal="center" vertical="center" textRotation="0" wrapText="0" indent="0" justifyLastLine="0" shrinkToFit="0" readingOrder="0"/>
    </dxf>
    <dxf>
      <numFmt numFmtId="168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70" formatCode="0\ &quot;cm&quot;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yyyy\-mm\-dd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6" formatCode="yyyy\-mm\-dd;@"/>
      <alignment horizontal="center" vertical="bottom" textRotation="0" wrapText="0" indent="0" justifyLastLine="0" shrinkToFit="0" readingOrder="0"/>
    </dxf>
    <dxf>
      <font>
        <b val="0"/>
      </font>
      <numFmt numFmtId="166" formatCode="yyyy\-mm\-dd;@"/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8" tint="-0.249977111117893"/>
        <name val="Calibri"/>
        <family val="2"/>
        <scheme val="minor"/>
      </font>
      <numFmt numFmtId="169" formatCode="[$-80A]dddd\,\ dd&quot; de &quot;mmmm&quot; de &quot;yy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/>
      </border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/>
        <right style="medium">
          <color auto="1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outline="0">
        <right style="medium">
          <color indexed="64"/>
        </right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family val="2"/>
        <scheme val="minor"/>
      </font>
      <numFmt numFmtId="166" formatCode="yyyy\-mm\-dd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mruColors>
      <color rgb="FFFF4359"/>
      <color rgb="FFFFC7CE"/>
      <color rgb="FFFFDD71"/>
      <color rgb="FF002868"/>
      <color rgb="FFDC143C"/>
      <color rgb="FF00DE64"/>
      <color rgb="FF9C0006"/>
      <color rgb="FFFF9966"/>
      <color rgb="FFFF7C80"/>
      <color rgb="FFD2016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" displayName="Main" ref="A1:AD210" totalsRowShown="0" headerRowDxfId="113" dataDxfId="112">
  <autoFilter ref="A1:AD210" xr:uid="{00000000-000C-0000-FFFF-FFFF00000000}"/>
  <sortState xmlns:xlrd2="http://schemas.microsoft.com/office/spreadsheetml/2017/richdata2" ref="A2:AD224">
    <sortCondition ref="A1:A224"/>
  </sortState>
  <tableColumns count="30">
    <tableColumn id="23" xr3:uid="{00000000-0010-0000-0000-000017000000}" name="Finca" dataDxfId="111"/>
    <tableColumn id="26" xr3:uid="{00000000-0010-0000-0000-00001A000000}" name="Qty" dataDxfId="110"/>
    <tableColumn id="16" xr3:uid="{00000000-0010-0000-0000-000010000000}" name="Type of Box" dataDxfId="109"/>
    <tableColumn id="5" xr3:uid="{00000000-0010-0000-0000-000005000000}" name="Cantidad_Min" dataDxfId="108"/>
    <tableColumn id="6" xr3:uid="{00000000-0010-0000-0000-000006000000}" name="Cantidad_QB" dataDxfId="107"/>
    <tableColumn id="2" xr3:uid="{00000000-0010-0000-0000-000002000000}" name="Variedad" dataDxfId="106"/>
    <tableColumn id="3" xr3:uid="{00000000-0010-0000-0000-000003000000}" name="Nombre" dataDxfId="105"/>
    <tableColumn id="4" xr3:uid="{00000000-0010-0000-0000-000004000000}" name="Color" dataDxfId="104"/>
    <tableColumn id="7" xr3:uid="{00000000-0010-0000-0000-000007000000}" name="Cost" dataDxfId="103"/>
    <tableColumn id="14" xr3:uid="{00000000-0010-0000-0000-00000E000000}" name="Markup" dataDxfId="102">
      <calculatedColumnFormula>_xlfn.LET(
  _xlpm.result, 1-((Main[[#This Row],[Cost]]+Main[[#This Row],[Duties]]+Main[[#This Row],[Transport]])/((Main[[#This Row],[Precio]]*0.96))),
  IF(_xlpm.result&lt;0, "BAJO", IF(_xlpm.result&gt;1, "ALTO", _xlpm.result))
)</calculatedColumnFormula>
    </tableColumn>
    <tableColumn id="8" xr3:uid="{00000000-0010-0000-0000-000008000000}" name="Precio" dataDxfId="101"/>
    <tableColumn id="24" xr3:uid="{00000000-0010-0000-0000-000018000000}" name="Guia" dataDxfId="100">
      <calculatedColumnFormula>IF(ISNA(MATCH(Main[[#This Row],[FechaEntrega]], Guias[Fecha], 0)), "ERROR",
IF(AND(WEEKDAY(Main[[#This Row],[FechaEntrega]],2)=1, OR(Main[[#This Row],[Type of Box]]="QB", Main[[#This Row],[Type of Box]]="EB", Main[[#This Row],[Type of Box]]="HB", Main[[#This Row],[Type of Box]]="SB")), _xlfn.XLOOKUP("Lunes",Guias[Día],Guias[Ecuador]),
  IF(AND(WEEKDAY(Main[[#This Row],[FechaEntrega]],2)=1, OR(Main[[#This Row],[Type of Box]]="QB2", Main[[#This Row],[Type of Box]]="EB2")), _xlfn.XLOOKUP("Lunes",Guias[Día],Guias[Colombia]),
    IF(AND(WEEKDAY(Main[[#This Row],[FechaEntrega]],2)=2, OR(Main[[#This Row],[Type of Box]]="QB", Main[[#This Row],[Type of Box]]="EB", Main[[#This Row],[Type of Box]]="HB", Main[[#This Row],[Type of Box]]="SB")), _xlfn.XLOOKUP("Martes",Guias[Día],Guias[Ecuador]),
      IF(AND(WEEKDAY(Main[[#This Row],[FechaEntrega]],2)=2, OR(Main[[#This Row],[Type of Box]]="QB2", Main[[#This Row],[Type of Box]]="EB2")), _xlfn.XLOOKUP("Lunes",Guias[Día],Guias[Colombia]),
        IF(WEEKDAY(Main[[#This Row],[FechaEntrega]],2)=3, _xlfn.XLOOKUP("Miercoles",Guias[Día],Guias[Ecuador]),
          IF(AND(WEEKDAY(Main[[#This Row],[FechaEntrega]],2)=4, OR(Main[[#This Row],[Type of Box]]="QB", Main[[#This Row],[Type of Box]]="EB", Main[[#This Row],[Type of Box]]="HB", Main[[#This Row],[Type of Box]]="SB")), _xlfn.XLOOKUP("Jueves",Guias[Día],Guias[Ecuador]),
            IF(AND(WEEKDAY(Main[[#This Row],[FechaEntrega]],2)=4, OR(Main[[#This Row],[Type of Box]]="EB2", Main[[#This Row],[Type of Box]]="QB2")), _xlfn.XLOOKUP("Miercoles",Guias[Día],Guias[Colombia]),
              IF(AND(WEEKDAY(Main[[#This Row],[FechaEntrega]],2)=5, OR(Main[[#This Row],[Type of Box]]="QB", Main[[#This Row],[Type of Box]]="EB", Main[[#This Row],[Type of Box]]="HB", Main[[#This Row],[Type of Box]]="SB")), _xlfn.XLOOKUP("Viernes",Guias[Día],Guias[Ecuador]),
                IF(AND(WEEKDAY(Main[[#This Row],[FechaEntrega]],2)=5, OR(Main[[#This Row],[Type of Box]]="EB2", Main[[#This Row],[Type of Box]]="QB2")), _xlfn.XLOOKUP("Jueves",Guias[Día],Guias[Colombia]),
                  IF(AND(WEEKDAY(Main[[#This Row],[FechaEntrega]],2)=6, OR(Main[[#This Row],[Type of Box]]="QB", Main[[#This Row],[Type of Box]]="EB", Main[[#This Row],[Type of Box]]="HB"), ISNUMBER(SEARCH("T/F", Main[[#This Row],[Nombre]]))), _xlfn.XLOOKUP("Lunes",Guias[Día],Guias[Ecuador]),
                    IF(AND(WEEKDAY(Main[[#This Row],[FechaEntrega]],2)=6, OR(Main[[#This Row],[Type of Box]]="QB", Main[[#This Row],[Type of Box]]="EB", Main[[#This Row],[Type of Box]]="HB", Main[[#This Row],[Type of Box]]="SB")), _xlfn.XLOOKUP("Viernes",Guias[Día],Guias[Ecuador]),
                      IF(AND(WEEKDAY(Main[[#This Row],[FechaEntrega]],2)=6, OR(Main[[#This Row],[Type of Box]]="EB2", Main[[#This Row],[Type of Box]]="QB2")), _xlfn.XLOOKUP("Viernes",Guias[Día],Guias[Colombia]), "")))))))))))))</calculatedColumnFormula>
    </tableColumn>
    <tableColumn id="25" xr3:uid="{00000000-0010-0000-0000-000019000000}" name="FechaEntrega" dataDxfId="99"/>
    <tableColumn id="9" xr3:uid="{00000000-0010-0000-0000-000009000000}" name="Duties" dataDxfId="98">
      <calculatedColumnFormula>ROUNDUP((Main[[#This Row],[Cost]]*Main[[#This Row],[Import Duties]]),2)</calculatedColumnFormula>
    </tableColumn>
    <tableColumn id="10" xr3:uid="{00000000-0010-0000-0000-00000A000000}" name="Origen" dataDxfId="97"/>
    <tableColumn id="11" xr3:uid="{00000000-0010-0000-0000-00000B000000}" name="Box" dataDxfId="96"/>
    <tableColumn id="12" xr3:uid="{00000000-0010-0000-0000-00000C000000}" name="img" dataDxfId="95"/>
    <tableColumn id="15" xr3:uid="{00000000-0010-0000-0000-00000F000000}" name="Transport" dataDxfId="94">
      <calculatedColumnFormula>ROUNDUP(Main[[#This Row],[Transport2]]/Main[[#This Row],[Cantidad_Min]],2)</calculatedColumnFormula>
    </tableColumn>
    <tableColumn id="17" xr3:uid="{00000000-0010-0000-0000-000011000000}" name="Largo2" dataDxfId="93">
      <calculatedColumnFormula>_xlfn.XLOOKUP(Main[[#This Row],[Type of Box]], Cajas[Nombre], Cajas[Largo])</calculatedColumnFormula>
    </tableColumn>
    <tableColumn id="18" xr3:uid="{00000000-0010-0000-0000-000012000000}" name="Ancho" dataDxfId="92">
      <calculatedColumnFormula>_xlfn.XLOOKUP(Main[[#This Row],[Type of Box]], Cajas[Nombre], Cajas[Ancho])</calculatedColumnFormula>
    </tableColumn>
    <tableColumn id="19" xr3:uid="{00000000-0010-0000-0000-000013000000}" name="Alto" dataDxfId="91">
      <calculatedColumnFormula>_xlfn.XLOOKUP(Main[[#This Row],[Type of Box]], Cajas[Nombre], Cajas[Alto])</calculatedColumnFormula>
    </tableColumn>
    <tableColumn id="20" xr3:uid="{00000000-0010-0000-0000-000014000000}" name="Volumen" dataDxfId="90">
      <calculatedColumnFormula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calculatedColumnFormula>
    </tableColumn>
    <tableColumn id="21" xr3:uid="{00000000-0010-0000-0000-000015000000}" name="Transport2" dataDxfId="89">
      <calculatedColumnFormula>ROUNDUP(((Main[[#This Row],[Volumen]]*5.4)+5.75)*1.1,2)</calculatedColumnFormula>
    </tableColumn>
    <tableColumn id="22" xr3:uid="{00000000-0010-0000-0000-000016000000}" name="Import Duties" dataDxfId="88"/>
    <tableColumn id="27" xr3:uid="{00000000-0010-0000-0000-00001B000000}" name="Total" dataDxfId="87">
      <calculatedColumnFormula>Main[[#This Row],[Cantidad_Min]]*Main[[#This Row],[Precio]]*Main[[#This Row],[Qty]]</calculatedColumnFormula>
    </tableColumn>
    <tableColumn id="28" xr3:uid="{00000000-0010-0000-0000-00001C000000}" name="FincaID" dataDxfId="86">
      <calculatedColumnFormula>_xlfn.XLOOKUP(Main[[#This Row],[Finca]], Fincas[Nombre], Fincas[ID])</calculatedColumnFormula>
    </tableColumn>
    <tableColumn id="1" xr3:uid="{1F6C6592-789E-4D95-8119-F2768D79D1EC}" name="Inventarios" dataDxfId="85"/>
    <tableColumn id="29" xr3:uid="{57DB060B-7AED-4213-B456-11E6BE23ED59}" name="SendEmail" dataDxfId="84"/>
    <tableColumn id="30" xr3:uid="{CA3E2513-1B47-44F1-B35E-C6F87A174903}" name="Comments" dataDxfId="83"/>
    <tableColumn id="13" xr3:uid="{34A23ED3-4FE1-4B7F-9787-E4C6235C25EC}" name="Standing Orders" dataDxfId="8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EF9A71-AC69-4C35-BD2F-F2B26BD67BF9}" name="Cajas" displayName="Cajas" ref="B1:R177" totalsRowShown="0" headerRowDxfId="81" dataDxfId="80">
  <autoFilter ref="B1:R177" xr:uid="{3AEF9A71-AC69-4C35-BD2F-F2B26BD67BF9}"/>
  <tableColumns count="17">
    <tableColumn id="1" xr3:uid="{C01F9678-EBEC-4999-A8AB-34B957AD67CA}" name="Nombre" dataDxfId="79"/>
    <tableColumn id="2" xr3:uid="{43C0E209-EB0C-4170-A2B3-1846D9950BB6}" name="Largo" dataDxfId="78"/>
    <tableColumn id="3" xr3:uid="{C0DCD2CC-3941-4CEE-9EFD-FD6ACD1F0674}" name="Ancho" dataDxfId="77"/>
    <tableColumn id="4" xr3:uid="{796CD1F2-A156-4664-A898-FF4A304896C8}" name="Alto" dataDxfId="76"/>
    <tableColumn id="5" xr3:uid="{89430D18-E61A-4F19-BB85-539A23A71413}" name="Peso" dataDxfId="75">
      <calculatedColumnFormula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calculatedColumnFormula>
    </tableColumn>
    <tableColumn id="16" xr3:uid="{CD56B2BF-8E10-46BD-8287-0A9015CB05AB}" name="Aprobado" dataDxfId="74">
      <calculatedColumnFormula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calculatedColumnFormula>
    </tableColumn>
    <tableColumn id="11" xr3:uid="{2B329EF1-F60A-4814-8780-02BA7E59F6E9}" name="Largo2" dataDxfId="73">
      <calculatedColumnFormula>ROUNDUP(Cajas[[#This Row],[Largo]]/2.54,2)</calculatedColumnFormula>
    </tableColumn>
    <tableColumn id="12" xr3:uid="{174F7BBD-0C84-40A3-AD3D-8B3F87412CA5}" name="Ancho2" dataDxfId="72">
      <calculatedColumnFormula>ROUNDUP(Cajas[[#This Row],[Ancho]]/2.54,2)</calculatedColumnFormula>
    </tableColumn>
    <tableColumn id="13" xr3:uid="{4DCD259E-6A6F-4200-AB72-AFEF4F975073}" name="Alto2" dataDxfId="71">
      <calculatedColumnFormula>ROUNDUP(Cajas[[#This Row],[Alto]]/2.54,2)</calculatedColumnFormula>
    </tableColumn>
    <tableColumn id="14" xr3:uid="{730CDFAB-47A0-4340-BD02-1D642454FB58}" name="Peso Pulgadas" dataDxfId="70"/>
    <tableColumn id="7" xr3:uid="{2842B931-3A22-46AD-9854-5F017EDD990B}" name="40cm" dataDxfId="69"/>
    <tableColumn id="6" xr3:uid="{EDBF2AAE-1C61-4452-ACF6-4E051DB5ABC2}" name="50cm" dataDxfId="68"/>
    <tableColumn id="8" xr3:uid="{040BC131-8900-4901-863B-AB9853AA524E}" name="60cm" dataDxfId="67"/>
    <tableColumn id="9" xr3:uid="{01CBD2C4-E044-4177-984E-C039999937D8}" name="70cm" dataDxfId="66"/>
    <tableColumn id="17" xr3:uid="{73AECC7C-29B1-4F8B-B95D-24020192ADAB}" name="80cm" dataDxfId="65"/>
    <tableColumn id="15" xr3:uid="{58FBD5AE-0665-431F-AE69-2C66A93E63D4}" name="90cm" dataDxfId="64"/>
    <tableColumn id="10" xr3:uid="{8FE8AA9F-C1D1-4E09-A2D4-2DE3A01C9C2D}" name="100cm" dataDxfId="63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E6D251-2766-4933-A0BB-00CBE0B5D9EB}" name="Vendedores" displayName="Vendedores" ref="I1:K18" totalsRowShown="0" headerRowDxfId="62" tableBorderDxfId="61">
  <autoFilter ref="I1:K18" xr:uid="{E6E6D251-2766-4933-A0BB-00CBE0B5D9EB}"/>
  <sortState xmlns:xlrd2="http://schemas.microsoft.com/office/spreadsheetml/2017/richdata2" ref="I2:K20">
    <sortCondition ref="K1:K20"/>
  </sortState>
  <tableColumns count="3">
    <tableColumn id="1" xr3:uid="{8FAF59E7-D2FF-4A66-BC5E-43B7A05AAD76}" name="Nombre"/>
    <tableColumn id="2" xr3:uid="{47BB8C31-5C02-40AF-A6E7-10B7811CDCA8}" name="Fragmento"/>
    <tableColumn id="3" xr3:uid="{F23BD7EE-1D6B-46D2-A521-69A57FEA78C7}" name="ID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D4DFB1-1FAE-4573-9FAF-9CE4BC428AA3}" name="Guias" displayName="Guias" ref="A1:G8" totalsRowShown="0" headerRowDxfId="60">
  <autoFilter ref="A1:G8" xr:uid="{D9D4DFB1-1FAE-4573-9FAF-9CE4BC428AA3}"/>
  <tableColumns count="7">
    <tableColumn id="1" xr3:uid="{FD33BD0D-E466-4995-A2A4-D6DBBF50B546}" name="Día" dataDxfId="59"/>
    <tableColumn id="2" xr3:uid="{286FFC54-C4DE-41B1-9C3D-FA82B4B53CD3}" name="Fecha" dataDxfId="58"/>
    <tableColumn id="3" xr3:uid="{24EF9B2E-03D8-411B-8DFD-241C42F5F537}" name="Vuelos" dataDxfId="57">
      <calculatedColumnFormula>IF(B2&lt;TODAY(),"***Error de Fecha***","Vuelo Viernes")</calculatedColumnFormula>
    </tableColumn>
    <tableColumn id="7" xr3:uid="{297083EB-8D96-4608-B612-1DE76DC52746}" name="Entrega" dataDxfId="56">
      <calculatedColumnFormula>Guias[[#This Row],[Fecha]]+5</calculatedColumnFormula>
    </tableColumn>
    <tableColumn id="4" xr3:uid="{63D22E1A-B248-4422-B48C-CABA46150D20}" name="Ecuador" dataDxfId="55"/>
    <tableColumn id="5" xr3:uid="{EDC26EC5-DF9F-4FF8-B87F-60F55228C7E5}" name="Colombia" dataDxfId="54"/>
    <tableColumn id="6" xr3:uid="{6FB7A04A-0870-4B0A-9378-785B44B31785}" name="Llegada" dataDxfId="5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75C9FF-FCF1-4F73-A362-7FEA33E09E38}" name="Size" displayName="Size" ref="R1:R11" totalsRowShown="0">
  <autoFilter ref="R1:R11" xr:uid="{9C75C9FF-FCF1-4F73-A362-7FEA33E09E38}"/>
  <tableColumns count="1">
    <tableColumn id="1" xr3:uid="{DF3012E8-A27B-4F30-BB82-54B7FBD3B2C8}" name="Size"/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E825A7B-D2B4-459B-BE09-B91DFA9B2A83}" name="Colors" displayName="Colors" ref="T1:T36" totalsRowShown="0">
  <autoFilter ref="T1:T36" xr:uid="{4E825A7B-D2B4-459B-BE09-B91DFA9B2A83}"/>
  <tableColumns count="1">
    <tableColumn id="1" xr3:uid="{93DBDEE3-4CE9-4F64-9C44-5AAE1397E63B}" name="Colors"/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0FDF7A8-DAA7-4DFA-AF91-33F1242566BC}" name="Category" displayName="Category" ref="U1:U49" totalsRowShown="0">
  <autoFilter ref="U1:U49" xr:uid="{60FDF7A8-DAA7-4DFA-AF91-33F1242566BC}"/>
  <sortState xmlns:xlrd2="http://schemas.microsoft.com/office/spreadsheetml/2017/richdata2" ref="U2:U49">
    <sortCondition ref="U1:U53"/>
  </sortState>
  <tableColumns count="1">
    <tableColumn id="1" xr3:uid="{DB211F7E-CA46-41E5-A489-E4AF430601F2}" name="Category"/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1EC9DE-0B0D-48D2-8FA2-A25F02835E4C}" name="Season" displayName="Season" ref="S1:S13" totalsRowShown="0">
  <autoFilter ref="S1:S13" xr:uid="{B81EC9DE-0B0D-48D2-8FA2-A25F02835E4C}"/>
  <tableColumns count="1">
    <tableColumn id="1" xr3:uid="{3D921489-8BF8-40AC-9F16-7612E13931EE}" name="Season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710FFF-8872-4C80-A1FE-30DCA188E9AE}" name="Fincas" displayName="Fincas" ref="A1:E135" totalsRowShown="0" headerRowDxfId="52" headerRowBorderDxfId="51" tableBorderDxfId="50">
  <autoFilter ref="A1:E135" xr:uid="{14710FFF-8872-4C80-A1FE-30DCA188E9AE}"/>
  <sortState xmlns:xlrd2="http://schemas.microsoft.com/office/spreadsheetml/2017/richdata2" ref="B2:E105">
    <sortCondition ref="C1:C105"/>
  </sortState>
  <tableColumns count="5">
    <tableColumn id="5" xr3:uid="{06C67F3B-17B0-4CBB-8489-2128FC9D792F}" name="Llegada"/>
    <tableColumn id="1" xr3:uid="{EA6DE2AC-F74F-4DD0-987D-1F6E41AEF324}" name="Nombre"/>
    <tableColumn id="2" xr3:uid="{6EA21BF8-023A-4BFE-843B-B387B0378101}" name="ID" dataDxfId="49"/>
    <tableColumn id="4" xr3:uid="{19375EF4-00D0-404D-8C2F-0270D8739BE0}" name="Agencia" dataDxfId="48"/>
    <tableColumn id="3" xr3:uid="{8791BCB0-F5C0-44B2-83D1-B89E8D4C0D8C}" name="Nota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3E6E07-CCCB-4654-8692-637E5F537860}" name="Catalogo" displayName="Catalogo" ref="A2:V981" totalsRowShown="0" headerRowDxfId="47" tableBorderDxfId="46">
  <autoFilter ref="A2:V981" xr:uid="{C33E6E07-CCCB-4654-8692-637E5F537860}"/>
  <tableColumns count="22">
    <tableColumn id="1" xr3:uid="{78CA3885-9758-405A-8E1D-9B7ED8D6C5C5}" name="Finca" dataDxfId="45"/>
    <tableColumn id="2" xr3:uid="{17083214-7C4F-49AA-9DBD-6AA8AEF2EF78}" name="ID" dataDxfId="44">
      <calculatedColumnFormula>_xlfn.XLOOKUP(Catalogo[[#This Row],[Finca]], Fincas[Nombre], Fincas[ID])</calculatedColumnFormula>
    </tableColumn>
    <tableColumn id="3" xr3:uid="{A820C2CE-4D5C-4024-9C98-8B282BB6555F}" name="Categoría" dataDxfId="43"/>
    <tableColumn id="4" xr3:uid="{0A91C93C-FCF5-4BE7-95A8-D446C2F680B9}" name="Producto" dataDxfId="42"/>
    <tableColumn id="12" xr3:uid="{40CF1454-C803-46C3-BE95-56F745256408}" name="Composición" dataDxfId="41"/>
    <tableColumn id="15" xr3:uid="{EFCE6B61-0EB2-407B-A922-E8647EEF1969}" name="Color 1" dataDxfId="40"/>
    <tableColumn id="5" xr3:uid="{2FBA7551-9C76-4A88-8AA4-7AFF01A9108E}" name="Color 2" dataDxfId="39"/>
    <tableColumn id="22" xr3:uid="{AFC4DF01-B9F7-4C90-AD4C-5A0704C17899}" name="Season" dataDxfId="38"/>
    <tableColumn id="8" xr3:uid="{D8D88523-FE99-4E61-B184-C416A61B222A}" name="Temp" dataDxfId="37"/>
    <tableColumn id="21" xr3:uid="{3EF6836D-3E32-460F-BAEE-A68F0EBB5BC9}" name="IMG" dataDxfId="36"/>
    <tableColumn id="6" xr3:uid="{3025866C-1C58-4EFE-BCEE-D5054B044745}" name="Caja EC" dataDxfId="35"/>
    <tableColumn id="14" xr3:uid="{EE308E2F-DF57-4398-8A12-83CDC91CC7CE}" name="Op" dataDxfId="34">
      <calculatedColumnFormula>IF(AND(TRIM(Catalogo[[#This Row],[Caja EC]])&lt;&gt;"",ISNUMBER(SEARCH(TRIM(Catalogo[[#This Row],[Caja EC]]),Catalogo[[#This Row],[Caja Finca]]))),_xlfn.XLOOKUP(TRIM(Catalogo[[#This Row],[Caja Finca]]),Cajas[Nombre],Cajas[Aprobado],"NO ENCONTRADO",0),"")</calculatedColumnFormula>
    </tableColumn>
    <tableColumn id="13" xr3:uid="{17856616-7928-456C-B32C-8C9A25600857}" name="Caja Finca" dataDxfId="33"/>
    <tableColumn id="7" xr3:uid="{EEE7540E-5778-484A-A7BF-D42149AF756F}" name="Total Tallos" dataDxfId="32"/>
    <tableColumn id="9" xr3:uid="{2DE6D307-75F2-4F70-AB10-BE4FACF909D4}" name="Compra" dataDxfId="31"/>
    <tableColumn id="11" xr3:uid="{73682A48-2A0F-4D13-8F8B-47D1D61F90E2}" name="Markup" dataDxfId="30">
      <calculatedColumnFormula>IFERROR(_xlfn.LET(_xlpm.boxType, K3, _xlpm.tallos, N3, _xlpm.cost, O3, _xlpm.precio, Q3,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calculatedColumnFormula>
    </tableColumn>
    <tableColumn id="10" xr3:uid="{56F05126-D9C3-41CA-B05E-2E792A1B4C60}" name="Venta" dataDxfId="29"/>
    <tableColumn id="19" xr3:uid="{9DD38B86-03CA-496D-8BFE-CE0C6507317B}" name="Caja UK" dataDxfId="28"/>
    <tableColumn id="20" xr3:uid="{8D2E6CB8-174A-49D7-8639-2A93760E8D74}" name="Op UK" dataDxfId="27">
      <calculatedColumnFormula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calculatedColumnFormula>
    </tableColumn>
    <tableColumn id="18" xr3:uid="{964160D8-BDB2-498B-ABF3-5E881C7FE542}" name="Compra UK" dataDxfId="26"/>
    <tableColumn id="16" xr3:uid="{AC62ED65-E000-4E04-94C2-DBD7E03ABFEA}" name="Markup UK" dataDxfId="25"/>
    <tableColumn id="17" xr3:uid="{E796CE65-643C-47EC-BF25-A8FDAB6C53CE}" name="Venta UK" dataDxfId="2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>
    <pageSetUpPr fitToPage="1"/>
  </sheetPr>
  <dimension ref="A1:AD210"/>
  <sheetViews>
    <sheetView tabSelected="1" zoomScale="90" zoomScaleNormal="90" zoomScaleSheetLayoutView="40" workbookViewId="0">
      <selection activeCell="F6" sqref="F6"/>
    </sheetView>
  </sheetViews>
  <sheetFormatPr defaultColWidth="9.140625" defaultRowHeight="15" x14ac:dyDescent="0.25"/>
  <cols>
    <col min="1" max="1" width="18.28515625" style="33" customWidth="1"/>
    <col min="2" max="2" width="4.140625" style="1" customWidth="1"/>
    <col min="3" max="3" width="10.7109375" style="1" customWidth="1"/>
    <col min="4" max="4" width="5.42578125" customWidth="1"/>
    <col min="5" max="5" width="7" customWidth="1"/>
    <col min="6" max="6" width="28.42578125" bestFit="1" customWidth="1"/>
    <col min="7" max="7" width="76.7109375" customWidth="1"/>
    <col min="8" max="8" width="9.140625" style="1" customWidth="1"/>
    <col min="9" max="9" width="7.140625" style="235" customWidth="1"/>
    <col min="10" max="10" width="9" style="69" customWidth="1"/>
    <col min="11" max="11" width="6.85546875" style="407" customWidth="1"/>
    <col min="12" max="12" width="12.28515625" style="360" customWidth="1"/>
    <col min="13" max="13" width="15.5703125" style="409" customWidth="1"/>
    <col min="14" max="14" width="7.7109375" style="410" customWidth="1"/>
    <col min="15" max="15" width="1.85546875" style="408" customWidth="1"/>
    <col min="16" max="16" width="1.7109375" style="408" customWidth="1"/>
    <col min="17" max="17" width="1.5703125" customWidth="1"/>
    <col min="18" max="18" width="9.140625" customWidth="1"/>
    <col min="19" max="19" width="8.5703125" customWidth="1"/>
    <col min="20" max="20" width="5.42578125" customWidth="1"/>
    <col min="21" max="21" width="6.5703125" customWidth="1"/>
    <col min="22" max="22" width="8.140625" style="361" customWidth="1"/>
    <col min="23" max="23" width="5" style="219" customWidth="1"/>
    <col min="24" max="24" width="8.42578125" style="219" customWidth="1"/>
    <col min="25" max="25" width="8" customWidth="1"/>
    <col min="26" max="26" width="6.85546875" customWidth="1"/>
    <col min="27" max="27" width="8.7109375" customWidth="1"/>
    <col min="28" max="28" width="3.42578125" style="2" customWidth="1"/>
    <col min="29" max="29" width="12.85546875" customWidth="1"/>
    <col min="30" max="30" width="10.42578125" customWidth="1"/>
  </cols>
  <sheetData>
    <row r="1" spans="1:30" s="68" customFormat="1" ht="15.75" thickBot="1" x14ac:dyDescent="0.3">
      <c r="A1" s="395" t="s">
        <v>0</v>
      </c>
      <c r="B1" s="1" t="s">
        <v>1</v>
      </c>
      <c r="C1" s="1" t="s">
        <v>2</v>
      </c>
      <c r="D1" s="68" t="s">
        <v>3</v>
      </c>
      <c r="E1" s="68" t="s">
        <v>4</v>
      </c>
      <c r="F1" s="68" t="s">
        <v>5</v>
      </c>
      <c r="G1" s="68" t="s">
        <v>6</v>
      </c>
      <c r="H1" s="1" t="s">
        <v>7</v>
      </c>
      <c r="I1" s="1" t="s">
        <v>8</v>
      </c>
      <c r="J1" s="69" t="s">
        <v>9</v>
      </c>
      <c r="K1" s="68" t="s">
        <v>10</v>
      </c>
      <c r="L1" s="360" t="s">
        <v>11</v>
      </c>
      <c r="M1" s="152" t="s">
        <v>12</v>
      </c>
      <c r="N1" s="396" t="s">
        <v>13</v>
      </c>
      <c r="O1" s="396" t="s">
        <v>14</v>
      </c>
      <c r="P1" s="396" t="s">
        <v>15</v>
      </c>
      <c r="Q1" s="396" t="s">
        <v>16</v>
      </c>
      <c r="R1" s="396" t="s">
        <v>17</v>
      </c>
      <c r="S1" s="396" t="s">
        <v>18</v>
      </c>
      <c r="T1" s="396" t="s">
        <v>19</v>
      </c>
      <c r="U1" s="396" t="s">
        <v>20</v>
      </c>
      <c r="V1" s="397" t="s">
        <v>21</v>
      </c>
      <c r="W1" s="396" t="s">
        <v>22</v>
      </c>
      <c r="X1" s="32" t="s">
        <v>23</v>
      </c>
      <c r="Y1" s="396" t="s">
        <v>24</v>
      </c>
      <c r="Z1" s="396" t="s">
        <v>25</v>
      </c>
      <c r="AA1" s="68" t="s">
        <v>26</v>
      </c>
      <c r="AB1" s="2" t="s">
        <v>27</v>
      </c>
      <c r="AC1" s="68" t="s">
        <v>28</v>
      </c>
      <c r="AD1" s="68" t="s">
        <v>29</v>
      </c>
    </row>
    <row r="2" spans="1:30" ht="15.75" thickBot="1" x14ac:dyDescent="0.3">
      <c r="A2" s="336" t="s">
        <v>30</v>
      </c>
      <c r="B2" s="337">
        <v>3</v>
      </c>
      <c r="C2" s="337" t="s">
        <v>31</v>
      </c>
      <c r="D2" s="336">
        <v>120</v>
      </c>
      <c r="E2" s="338">
        <v>120</v>
      </c>
      <c r="F2" s="338" t="s">
        <v>32</v>
      </c>
      <c r="G2" s="338" t="str">
        <f>"Assorted Colors " &amp; _xlfn.XLOOKUP(Main[[#This Row],[FechaEntrega]], Guias[Fecha], Guias[Llegada])</f>
        <v>Assorted Colors (T/W)</v>
      </c>
      <c r="H2" s="1" t="s">
        <v>912</v>
      </c>
      <c r="I2" s="339">
        <v>0.7</v>
      </c>
      <c r="J2" s="340">
        <f>_xlfn.LET(
  _xlpm.result, 1-((Main[[#This Row],[Cost]]+Main[[#This Row],[Duties]]+Main[[#This Row],[Transport]])/((Main[[#This Row],[Precio]]*0.96))),
  IF(_xlpm.result&lt;0, "BAJO", IF(_xlpm.result&gt;1, "ALTO", _xlpm.result))
)</f>
        <v>0.30350098619329391</v>
      </c>
      <c r="K2" s="341">
        <v>1.69</v>
      </c>
      <c r="L2" s="342" cm="1">
        <f t="array" aca="1" ref="L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" s="343">
        <f>Guias!$B$3</f>
        <v>46310</v>
      </c>
      <c r="N2" s="344">
        <f>ROUNDUP((Main[[#This Row],[Cost]]*Main[[#This Row],[Import Duties]]),2)</f>
        <v>0.12</v>
      </c>
      <c r="O2" s="338">
        <v>0</v>
      </c>
      <c r="P2" s="338">
        <v>1</v>
      </c>
      <c r="Q2" s="338">
        <v>0</v>
      </c>
      <c r="R2" s="345">
        <f>ROUNDUP(Main[[#This Row],[Transport2]]/Main[[#This Row],[Cantidad_Min]],2)</f>
        <v>0.31</v>
      </c>
      <c r="S2" s="338">
        <f>_xlfn.XLOOKUP(Main[[#This Row],[Type of Box]], Cajas[Nombre], Cajas[Largo])</f>
        <v>105</v>
      </c>
      <c r="T2" s="338">
        <f>_xlfn.XLOOKUP(Main[[#This Row],[Type of Box]], Cajas[Nombre], Cajas[Ancho])</f>
        <v>17</v>
      </c>
      <c r="U2" s="338">
        <f>_xlfn.XLOOKUP(Main[[#This Row],[Type of Box]], Cajas[Nombre], Cajas[Alto])</f>
        <v>17</v>
      </c>
      <c r="V2" s="33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" s="338">
        <f>ROUNDUP(((Main[[#This Row],[Volumen]]*5.25))*1.36,2)</f>
        <v>36.119999999999997</v>
      </c>
      <c r="X2" s="346">
        <v>0.15859999999999999</v>
      </c>
      <c r="Y2" s="347">
        <f>Main[[#This Row],[Cantidad_Min]]*Main[[#This Row],[Precio]]*Main[[#This Row],[Qty]]</f>
        <v>608.4</v>
      </c>
      <c r="Z2" s="338">
        <f>_xlfn.XLOOKUP(Main[[#This Row],[Finca]], Fincas[Nombre], Fincas[ID])</f>
        <v>53</v>
      </c>
      <c r="AA2" s="338" t="str" cm="1">
        <f t="array" ref="AA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" s="268" t="s">
        <v>33</v>
      </c>
      <c r="AC2" s="267"/>
      <c r="AD2" s="348"/>
    </row>
    <row r="3" spans="1:30" ht="15.75" thickBot="1" x14ac:dyDescent="0.3">
      <c r="A3" s="33" t="s">
        <v>34</v>
      </c>
      <c r="B3" s="153">
        <v>2</v>
      </c>
      <c r="C3" s="153" t="s">
        <v>35</v>
      </c>
      <c r="D3" s="33">
        <v>120</v>
      </c>
      <c r="E3">
        <v>120</v>
      </c>
      <c r="F3" t="s">
        <v>36</v>
      </c>
      <c r="G3" t="str">
        <f>"Assorted Colors " &amp; _xlfn.XLOOKUP(Main[[#This Row],[FechaEntrega]], Guias[Fecha], Guias[Llegada])</f>
        <v>Assorted Colors (T/W)</v>
      </c>
      <c r="H3" s="1" t="s">
        <v>913</v>
      </c>
      <c r="I3" s="235">
        <v>0.4</v>
      </c>
      <c r="J3" s="69">
        <f>_xlfn.LET(
  _xlpm.result, 1-((Main[[#This Row],[Cost]]+Main[[#This Row],[Duties]]+Main[[#This Row],[Transport]])/((Main[[#This Row],[Precio]]*0.96))),
  IF(_xlpm.result&lt;0, "BAJO", IF(_xlpm.result&gt;1, "ALTO", _xlpm.result))
)</f>
        <v>0.26805555555555549</v>
      </c>
      <c r="K3" s="131">
        <v>1.4516129032258065</v>
      </c>
      <c r="L3" s="360" cm="1">
        <f t="array" aca="1" ref="L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" s="152">
        <f>Guias!$B$3</f>
        <v>46310</v>
      </c>
      <c r="N3" s="216">
        <f>ROUNDUP((Main[[#This Row],[Cost]]*Main[[#This Row],[Import Duties]]),2)</f>
        <v>6.9999999999999993E-2</v>
      </c>
      <c r="O3">
        <v>0</v>
      </c>
      <c r="P3">
        <v>1</v>
      </c>
      <c r="Q3">
        <v>0</v>
      </c>
      <c r="R3" s="217">
        <f>ROUNDUP(Main[[#This Row],[Transport2]]/Main[[#This Row],[Cantidad_Min]],2)</f>
        <v>0.55000000000000004</v>
      </c>
      <c r="S3">
        <f>_xlfn.XLOOKUP(Main[[#This Row],[Type of Box]], Cajas[Nombre], Cajas[Largo])</f>
        <v>99</v>
      </c>
      <c r="T3">
        <f>_xlfn.XLOOKUP(Main[[#This Row],[Type of Box]], Cajas[Nombre], Cajas[Ancho])</f>
        <v>35</v>
      </c>
      <c r="U3">
        <f>_xlfn.XLOOKUP(Main[[#This Row],[Type of Box]], Cajas[Nombre], Cajas[Alto])</f>
        <v>16</v>
      </c>
      <c r="V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">
        <f>ROUNDUP(((Main[[#This Row],[Volumen]]*5.25))*1.36,2)</f>
        <v>65.98</v>
      </c>
      <c r="X3" s="219">
        <v>0.15859999999999999</v>
      </c>
      <c r="Y3" s="361">
        <f>Main[[#This Row],[Cantidad_Min]]*Main[[#This Row],[Precio]]*Main[[#This Row],[Qty]]</f>
        <v>348.38709677419354</v>
      </c>
      <c r="Z3">
        <f>_xlfn.XLOOKUP(Main[[#This Row],[Finca]], Fincas[Nombre], Fincas[ID])</f>
        <v>49</v>
      </c>
      <c r="AA3" t="str" cm="1">
        <f t="array" ref="AA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" s="2" t="s">
        <v>33</v>
      </c>
      <c r="AC3" s="5"/>
      <c r="AD3" s="225"/>
    </row>
    <row r="4" spans="1:30" x14ac:dyDescent="0.25">
      <c r="A4" s="349" t="s">
        <v>37</v>
      </c>
      <c r="B4" s="350">
        <v>1</v>
      </c>
      <c r="C4" s="350" t="s">
        <v>31</v>
      </c>
      <c r="D4" s="349">
        <v>1</v>
      </c>
      <c r="E4" s="351">
        <v>1</v>
      </c>
      <c r="F4" s="351" t="s">
        <v>38</v>
      </c>
      <c r="G4" s="228" t="str">
        <f>"Ran. Pompon/Limonium/Statice/Freesia/Delph/Dianthus/Sp. Roses x 120 " &amp; _xlfn.XLOOKUP(Main[[#This Row],[FechaEntrega]], Guias[Fecha], Guias[Llegada])</f>
        <v>Ran. Pompon/Limonium/Statice/Freesia/Delph/Dianthus/Sp. Roses x 120 (T/W)</v>
      </c>
      <c r="H4" s="1" t="s">
        <v>914</v>
      </c>
      <c r="I4" s="352">
        <v>46</v>
      </c>
      <c r="J4" s="286">
        <f>_xlfn.LET(
  _xlpm.result, 1-((Main[[#This Row],[Cost]]+Main[[#This Row],[Duties]]+Main[[#This Row],[Transport]])/((Main[[#This Row],[Precio]]*0.96))),
  IF(_xlpm.result&lt;0, "BAJO", IF(_xlpm.result&gt;1, "ALTO", _xlpm.result))
)</f>
        <v>0.28343432045661354</v>
      </c>
      <c r="K4" s="239">
        <v>129.98924731182797</v>
      </c>
      <c r="L4" s="353" cm="1">
        <f t="array" aca="1" ref="L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4" s="354">
        <f>Guias!$B$3</f>
        <v>46310</v>
      </c>
      <c r="N4" s="355">
        <f>ROUNDUP((Main[[#This Row],[Cost]]*Main[[#This Row],[Import Duties]]),2)</f>
        <v>7.3</v>
      </c>
      <c r="O4" s="228">
        <v>0</v>
      </c>
      <c r="P4" s="228">
        <v>1</v>
      </c>
      <c r="Q4" s="228">
        <v>0</v>
      </c>
      <c r="R4" s="356">
        <f>ROUNDUP(Main[[#This Row],[Transport2]]/Main[[#This Row],[Cantidad_Min]],2)</f>
        <v>36.119999999999997</v>
      </c>
      <c r="S4" s="228">
        <f>_xlfn.XLOOKUP(Main[[#This Row],[Type of Box]], Cajas[Nombre], Cajas[Largo])</f>
        <v>105</v>
      </c>
      <c r="T4" s="228">
        <f>_xlfn.XLOOKUP(Main[[#This Row],[Type of Box]], Cajas[Nombre], Cajas[Ancho])</f>
        <v>17</v>
      </c>
      <c r="U4" s="228">
        <f>_xlfn.XLOOKUP(Main[[#This Row],[Type of Box]], Cajas[Nombre], Cajas[Alto])</f>
        <v>17</v>
      </c>
      <c r="V4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" s="228">
        <f>ROUNDUP(((Main[[#This Row],[Volumen]]*5.25))*1.36,2)</f>
        <v>36.119999999999997</v>
      </c>
      <c r="X4" s="357">
        <v>0.15859999999999999</v>
      </c>
      <c r="Y4" s="358">
        <f>Main[[#This Row],[Cantidad_Min]]*Main[[#This Row],[Precio]]*Main[[#This Row],[Qty]]</f>
        <v>129.98924731182797</v>
      </c>
      <c r="Z4" s="228">
        <f>_xlfn.XLOOKUP(Main[[#This Row],[Finca]], Fincas[Nombre], Fincas[ID])</f>
        <v>77</v>
      </c>
      <c r="AA4" s="228" t="str" cm="1">
        <f t="array" ref="AA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4" s="18" t="s">
        <v>33</v>
      </c>
      <c r="AC4" s="17" t="s">
        <v>39</v>
      </c>
      <c r="AD4" s="359" t="s">
        <v>40</v>
      </c>
    </row>
    <row r="5" spans="1:30" x14ac:dyDescent="0.25">
      <c r="A5" s="33" t="s">
        <v>37</v>
      </c>
      <c r="B5" s="153">
        <v>2</v>
      </c>
      <c r="C5" s="153" t="s">
        <v>31</v>
      </c>
      <c r="D5" s="33">
        <v>1</v>
      </c>
      <c r="E5">
        <v>1</v>
      </c>
      <c r="F5" t="s">
        <v>38</v>
      </c>
      <c r="G5" t="str">
        <f>"Ran. Pompon/Limonium/Statice/Freesia/Delph/Dianthus/Sp. Roses x 120 " &amp; _xlfn.XLOOKUP(Main[[#This Row],[FechaEntrega]], Guias[Fecha], Guias[Llegada])</f>
        <v>Ran. Pompon/Limonium/Statice/Freesia/Delph/Dianthus/Sp. Roses x 120 (T/W)</v>
      </c>
      <c r="H5" s="1" t="s">
        <v>915</v>
      </c>
      <c r="I5" s="235">
        <v>46</v>
      </c>
      <c r="J5" s="69">
        <f>_xlfn.LET(
  _xlpm.result, 1-((Main[[#This Row],[Cost]]+Main[[#This Row],[Duties]]+Main[[#This Row],[Transport]])/((Main[[#This Row],[Precio]]*0.96))),
  IF(_xlpm.result&lt;0, "BAJO", IF(_xlpm.result&gt;1, "ALTO", _xlpm.result))
)</f>
        <v>0.28343432045661354</v>
      </c>
      <c r="K5" s="131">
        <v>129.98924731182797</v>
      </c>
      <c r="L5" s="360" cm="1">
        <f t="array" aca="1" ref="L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5" s="152">
        <f>Guias!$B$3</f>
        <v>46310</v>
      </c>
      <c r="N5" s="216">
        <f>ROUNDUP((Main[[#This Row],[Cost]]*Main[[#This Row],[Import Duties]]),2)</f>
        <v>7.3</v>
      </c>
      <c r="O5">
        <v>0</v>
      </c>
      <c r="P5">
        <v>1</v>
      </c>
      <c r="Q5">
        <v>0</v>
      </c>
      <c r="R5" s="217">
        <f>ROUNDUP(Main[[#This Row],[Transport2]]/Main[[#This Row],[Cantidad_Min]],2)</f>
        <v>36.119999999999997</v>
      </c>
      <c r="S5">
        <f>_xlfn.XLOOKUP(Main[[#This Row],[Type of Box]], Cajas[Nombre], Cajas[Largo])</f>
        <v>105</v>
      </c>
      <c r="T5">
        <f>_xlfn.XLOOKUP(Main[[#This Row],[Type of Box]], Cajas[Nombre], Cajas[Ancho])</f>
        <v>17</v>
      </c>
      <c r="U5">
        <f>_xlfn.XLOOKUP(Main[[#This Row],[Type of Box]], Cajas[Nombre], Cajas[Alto])</f>
        <v>17</v>
      </c>
      <c r="V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">
        <f>ROUNDUP(((Main[[#This Row],[Volumen]]*5.25))*1.36,2)</f>
        <v>36.119999999999997</v>
      </c>
      <c r="X5" s="219">
        <v>0.15859999999999999</v>
      </c>
      <c r="Y5" s="361">
        <f>Main[[#This Row],[Cantidad_Min]]*Main[[#This Row],[Precio]]*Main[[#This Row],[Qty]]</f>
        <v>259.97849462365593</v>
      </c>
      <c r="Z5">
        <f>_xlfn.XLOOKUP(Main[[#This Row],[Finca]], Fincas[Nombre], Fincas[ID])</f>
        <v>77</v>
      </c>
      <c r="AA5" t="str" cm="1">
        <f t="array" ref="AA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" s="2" t="s">
        <v>33</v>
      </c>
      <c r="AC5" s="5" t="s">
        <v>39</v>
      </c>
      <c r="AD5" s="226"/>
    </row>
    <row r="6" spans="1:30" x14ac:dyDescent="0.25">
      <c r="A6" s="33" t="s">
        <v>37</v>
      </c>
      <c r="B6" s="153">
        <v>2</v>
      </c>
      <c r="C6" s="153" t="s">
        <v>31</v>
      </c>
      <c r="D6" s="33">
        <v>1</v>
      </c>
      <c r="E6">
        <v>1</v>
      </c>
      <c r="F6" t="s">
        <v>41</v>
      </c>
      <c r="G6" t="str">
        <f>"Sweet Pea/Gerbs/Satice/Anemones/Ranunc/Delph/Veronicas/Limonium x 120 " &amp; _xlfn.XLOOKUP(Main[[#This Row],[FechaEntrega]], Guias[Fecha], Guias[Llegada])</f>
        <v>Sweet Pea/Gerbs/Satice/Anemones/Ranunc/Delph/Veronicas/Limonium x 120 (T/W)</v>
      </c>
      <c r="H6" s="1" t="s">
        <v>916</v>
      </c>
      <c r="I6" s="235">
        <v>53.3</v>
      </c>
      <c r="J6" s="69">
        <f>_xlfn.LET(
  _xlpm.result, 1-((Main[[#This Row],[Cost]]+Main[[#This Row],[Duties]]+Main[[#This Row],[Transport]])/((Main[[#This Row],[Precio]]*0.96))),
  IF(_xlpm.result&lt;0, "BAJO", IF(_xlpm.result&gt;1, "ALTO", _xlpm.result))
)</f>
        <v>0.32023245994177385</v>
      </c>
      <c r="K6" s="131">
        <v>149.99</v>
      </c>
      <c r="L6" s="360" cm="1">
        <f t="array" aca="1" ref="L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" s="152">
        <f>Guias!$B$3</f>
        <v>46310</v>
      </c>
      <c r="N6" s="216">
        <f>ROUNDUP((Main[[#This Row],[Cost]]*Main[[#This Row],[Import Duties]]),2)</f>
        <v>8.4599999999999991</v>
      </c>
      <c r="O6">
        <v>0</v>
      </c>
      <c r="P6">
        <v>1</v>
      </c>
      <c r="Q6">
        <v>0</v>
      </c>
      <c r="R6" s="217">
        <f>ROUNDUP(Main[[#This Row],[Transport2]]/Main[[#This Row],[Cantidad_Min]],2)</f>
        <v>36.119999999999997</v>
      </c>
      <c r="S6">
        <f>_xlfn.XLOOKUP(Main[[#This Row],[Type of Box]], Cajas[Nombre], Cajas[Largo])</f>
        <v>105</v>
      </c>
      <c r="T6">
        <f>_xlfn.XLOOKUP(Main[[#This Row],[Type of Box]], Cajas[Nombre], Cajas[Ancho])</f>
        <v>17</v>
      </c>
      <c r="U6">
        <f>_xlfn.XLOOKUP(Main[[#This Row],[Type of Box]], Cajas[Nombre], Cajas[Alto])</f>
        <v>17</v>
      </c>
      <c r="V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6">
        <f>ROUNDUP(((Main[[#This Row],[Volumen]]*5.25))*1.36,2)</f>
        <v>36.119999999999997</v>
      </c>
      <c r="X6" s="219">
        <v>0.15859999999999999</v>
      </c>
      <c r="Y6" s="361">
        <f>Main[[#This Row],[Cantidad_Min]]*Main[[#This Row],[Precio]]*Main[[#This Row],[Qty]]</f>
        <v>299.98</v>
      </c>
      <c r="Z6">
        <f>_xlfn.XLOOKUP(Main[[#This Row],[Finca]], Fincas[Nombre], Fincas[ID])</f>
        <v>77</v>
      </c>
      <c r="AA6" t="str" cm="1">
        <f t="array" ref="AA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" s="2" t="s">
        <v>33</v>
      </c>
      <c r="AC6" s="5" t="s">
        <v>42</v>
      </c>
      <c r="AD6" s="225"/>
    </row>
    <row r="7" spans="1:30" ht="15.75" thickBot="1" x14ac:dyDescent="0.3">
      <c r="A7" s="362" t="s">
        <v>37</v>
      </c>
      <c r="B7" s="363">
        <v>1</v>
      </c>
      <c r="C7" s="363" t="s">
        <v>31</v>
      </c>
      <c r="D7" s="362">
        <v>1</v>
      </c>
      <c r="E7" s="233">
        <v>1</v>
      </c>
      <c r="F7" s="233" t="s">
        <v>43</v>
      </c>
      <c r="G7" s="233" t="str">
        <f>"20 Scoop/20 Freesias/20 Rumex/20 Campanullas/20 Veronicas/20 Marigold x 120 " &amp; _xlfn.XLOOKUP(Main[[#This Row],[FechaEntrega]], Guias[Fecha], Guias[Llegada])</f>
        <v>20 Scoop/20 Freesias/20 Rumex/20 Campanullas/20 Veronicas/20 Marigold x 120 (T/W)</v>
      </c>
      <c r="H7" s="1" t="s">
        <v>917</v>
      </c>
      <c r="I7" s="364">
        <v>63</v>
      </c>
      <c r="J7" s="293">
        <f>_xlfn.LET(
  _xlpm.result, 1-((Main[[#This Row],[Cost]]+Main[[#This Row],[Duties]]+Main[[#This Row],[Transport]])/((Main[[#This Row],[Precio]]*0.96))),
  IF(_xlpm.result&lt;0, "BAJO", IF(_xlpm.result&gt;1, "ALTO", _xlpm.result))
)</f>
        <v>0.28953892951642812</v>
      </c>
      <c r="K7" s="240">
        <v>159.99</v>
      </c>
      <c r="L7" s="365" cm="1">
        <f t="array" aca="1" ref="L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7" s="366">
        <f>Guias!$B$3</f>
        <v>46310</v>
      </c>
      <c r="N7" s="367">
        <f>ROUNDUP((Main[[#This Row],[Cost]]*Main[[#This Row],[Import Duties]]),2)</f>
        <v>10</v>
      </c>
      <c r="O7" s="233">
        <v>0</v>
      </c>
      <c r="P7" s="233">
        <v>1</v>
      </c>
      <c r="Q7" s="233">
        <v>0</v>
      </c>
      <c r="R7" s="368">
        <f>ROUNDUP(Main[[#This Row],[Transport2]]/Main[[#This Row],[Cantidad_Min]],2)</f>
        <v>36.119999999999997</v>
      </c>
      <c r="S7" s="233">
        <f>_xlfn.XLOOKUP(Main[[#This Row],[Type of Box]], Cajas[Nombre], Cajas[Largo])</f>
        <v>105</v>
      </c>
      <c r="T7" s="233">
        <f>_xlfn.XLOOKUP(Main[[#This Row],[Type of Box]], Cajas[Nombre], Cajas[Ancho])</f>
        <v>17</v>
      </c>
      <c r="U7" s="233">
        <f>_xlfn.XLOOKUP(Main[[#This Row],[Type of Box]], Cajas[Nombre], Cajas[Alto])</f>
        <v>17</v>
      </c>
      <c r="V7" s="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" s="233">
        <f>ROUNDUP(((Main[[#This Row],[Volumen]]*5.25))*1.36,2)</f>
        <v>36.119999999999997</v>
      </c>
      <c r="X7" s="369">
        <v>0.15859999999999999</v>
      </c>
      <c r="Y7" s="370">
        <f>Main[[#This Row],[Cantidad_Min]]*Main[[#This Row],[Precio]]*Main[[#This Row],[Qty]]</f>
        <v>159.99</v>
      </c>
      <c r="Z7" s="233">
        <f>_xlfn.XLOOKUP(Main[[#This Row],[Finca]], Fincas[Nombre], Fincas[ID])</f>
        <v>77</v>
      </c>
      <c r="AA7" s="233" t="str" cm="1">
        <f t="array" ref="AA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7" s="73" t="s">
        <v>33</v>
      </c>
      <c r="AC7" s="72"/>
      <c r="AD7" s="371"/>
    </row>
    <row r="8" spans="1:30" x14ac:dyDescent="0.25">
      <c r="A8" s="349" t="s">
        <v>44</v>
      </c>
      <c r="B8" s="350">
        <v>1</v>
      </c>
      <c r="C8" s="350" t="s">
        <v>31</v>
      </c>
      <c r="D8" s="349">
        <v>35</v>
      </c>
      <c r="E8" s="351">
        <v>35</v>
      </c>
      <c r="F8" s="351" t="s">
        <v>45</v>
      </c>
      <c r="G8" s="228" t="str">
        <f>"Vincents Choice " &amp; _xlfn.XLOOKUP(Main[[#This Row],[FechaEntrega]], Guias[Fecha], Guias[Llegada])</f>
        <v>Vincents Choice (W/T)</v>
      </c>
      <c r="H8" s="1" t="s">
        <v>918</v>
      </c>
      <c r="I8" s="352">
        <v>0.3</v>
      </c>
      <c r="J8" s="286">
        <f>_xlfn.LET(
  _xlpm.result, 1-((Main[[#This Row],[Cost]]+Main[[#This Row],[Duties]]+Main[[#This Row],[Transport]])/((Main[[#This Row],[Precio]]*0.96))),
  IF(_xlpm.result&lt;0, "BAJO", IF(_xlpm.result&gt;1, "ALTO", _xlpm.result))
)</f>
        <v>0.17261904761904756</v>
      </c>
      <c r="K8" s="239">
        <v>1.75</v>
      </c>
      <c r="L8" s="353" cm="1">
        <f t="array" aca="1" ref="L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8" s="354">
        <f>Guias!$B$4</f>
        <v>46311</v>
      </c>
      <c r="N8" s="355">
        <f>ROUNDUP((Main[[#This Row],[Cost]]*Main[[#This Row],[Import Duties]]),2)</f>
        <v>0.05</v>
      </c>
      <c r="O8" s="228">
        <v>0</v>
      </c>
      <c r="P8" s="228">
        <v>1</v>
      </c>
      <c r="Q8" s="228">
        <v>0</v>
      </c>
      <c r="R8" s="356">
        <f>ROUNDUP(Main[[#This Row],[Transport2]]/Main[[#This Row],[Cantidad_Min]],2)</f>
        <v>1.04</v>
      </c>
      <c r="S8" s="228">
        <f>_xlfn.XLOOKUP(Main[[#This Row],[Type of Box]], Cajas[Nombre], Cajas[Largo])</f>
        <v>105</v>
      </c>
      <c r="T8" s="228">
        <f>_xlfn.XLOOKUP(Main[[#This Row],[Type of Box]], Cajas[Nombre], Cajas[Ancho])</f>
        <v>17</v>
      </c>
      <c r="U8" s="228">
        <f>_xlfn.XLOOKUP(Main[[#This Row],[Type of Box]], Cajas[Nombre], Cajas[Alto])</f>
        <v>17</v>
      </c>
      <c r="V8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8" s="228">
        <f>ROUNDUP(((Main[[#This Row],[Volumen]]*5.25))*1.36,2)</f>
        <v>36.119999999999997</v>
      </c>
      <c r="X8" s="357">
        <v>0.15859999999999999</v>
      </c>
      <c r="Y8" s="358">
        <f>Main[[#This Row],[Cantidad_Min]]*Main[[#This Row],[Precio]]*Main[[#This Row],[Qty]]</f>
        <v>61.25</v>
      </c>
      <c r="Z8" s="228">
        <f>_xlfn.XLOOKUP(Main[[#This Row],[Finca]], Fincas[Nombre], Fincas[ID])</f>
        <v>6</v>
      </c>
      <c r="AA8" s="228" t="str" cm="1">
        <f t="array" ref="AA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8" s="18" t="s">
        <v>33</v>
      </c>
      <c r="AC8" s="17"/>
      <c r="AD8" s="372" t="s">
        <v>46</v>
      </c>
    </row>
    <row r="9" spans="1:30" ht="15.75" thickBot="1" x14ac:dyDescent="0.3">
      <c r="A9" s="373" t="s">
        <v>44</v>
      </c>
      <c r="B9" s="374">
        <v>1</v>
      </c>
      <c r="C9" s="374" t="s">
        <v>35</v>
      </c>
      <c r="D9" s="373">
        <v>65</v>
      </c>
      <c r="E9" s="375">
        <v>65</v>
      </c>
      <c r="F9" s="375" t="s">
        <v>45</v>
      </c>
      <c r="G9" s="233" t="str">
        <f>"Vincents Choice " &amp; _xlfn.XLOOKUP(Main[[#This Row],[FechaEntrega]], Guias[Fecha], Guias[Llegada])</f>
        <v>Vincents Choice (W/T)</v>
      </c>
      <c r="H9" s="1" t="s">
        <v>919</v>
      </c>
      <c r="I9" s="364">
        <v>0.3</v>
      </c>
      <c r="J9" s="293">
        <f>_xlfn.LET(
  _xlpm.result, 1-((Main[[#This Row],[Cost]]+Main[[#This Row],[Duties]]+Main[[#This Row],[Transport]])/((Main[[#This Row],[Precio]]*0.96))),
  IF(_xlpm.result&lt;0, "BAJO", IF(_xlpm.result&gt;1, "ALTO", _xlpm.result))
)</f>
        <v>0.18452380952380942</v>
      </c>
      <c r="K9" s="240">
        <v>1.75</v>
      </c>
      <c r="L9" s="365" cm="1">
        <f t="array" aca="1" ref="L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9" s="366">
        <f>Guias!$B$4</f>
        <v>46311</v>
      </c>
      <c r="N9" s="367">
        <f>ROUNDUP((Main[[#This Row],[Cost]]*Main[[#This Row],[Import Duties]]),2)</f>
        <v>0.05</v>
      </c>
      <c r="O9" s="233">
        <v>0</v>
      </c>
      <c r="P9" s="233">
        <v>1</v>
      </c>
      <c r="Q9" s="233">
        <v>0</v>
      </c>
      <c r="R9" s="368">
        <f>ROUNDUP(Main[[#This Row],[Transport2]]/Main[[#This Row],[Cantidad_Min]],2)</f>
        <v>1.02</v>
      </c>
      <c r="S9" s="233">
        <f>_xlfn.XLOOKUP(Main[[#This Row],[Type of Box]], Cajas[Nombre], Cajas[Largo])</f>
        <v>99</v>
      </c>
      <c r="T9" s="233">
        <f>_xlfn.XLOOKUP(Main[[#This Row],[Type of Box]], Cajas[Nombre], Cajas[Ancho])</f>
        <v>35</v>
      </c>
      <c r="U9" s="233">
        <f>_xlfn.XLOOKUP(Main[[#This Row],[Type of Box]], Cajas[Nombre], Cajas[Alto])</f>
        <v>16</v>
      </c>
      <c r="V9" s="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" s="233">
        <f>ROUNDUP(((Main[[#This Row],[Volumen]]*5.25))*1.36,2)</f>
        <v>65.98</v>
      </c>
      <c r="X9" s="369">
        <v>0.15859999999999999</v>
      </c>
      <c r="Y9" s="370">
        <f>Main[[#This Row],[Cantidad_Min]]*Main[[#This Row],[Precio]]*Main[[#This Row],[Qty]]</f>
        <v>113.75</v>
      </c>
      <c r="Z9" s="233">
        <f>_xlfn.XLOOKUP(Main[[#This Row],[Finca]], Fincas[Nombre], Fincas[ID])</f>
        <v>6</v>
      </c>
      <c r="AA9" s="233" t="str" cm="1">
        <f t="array" ref="AA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9" s="73" t="s">
        <v>33</v>
      </c>
      <c r="AC9" s="72"/>
      <c r="AD9" s="371" t="s">
        <v>47</v>
      </c>
    </row>
    <row r="10" spans="1:30" x14ac:dyDescent="0.25">
      <c r="A10" s="376" t="s">
        <v>48</v>
      </c>
      <c r="B10" s="377">
        <v>1</v>
      </c>
      <c r="C10" s="377" t="s">
        <v>31</v>
      </c>
      <c r="D10" s="376">
        <v>50</v>
      </c>
      <c r="E10" s="378">
        <v>50</v>
      </c>
      <c r="F10" s="378" t="s">
        <v>49</v>
      </c>
      <c r="G10" s="228" t="str">
        <f>"Assorted Colors " &amp; _xlfn.XLOOKUP(Main[[#This Row],[FechaEntrega]], Guias[Fecha], Guias[Llegada])</f>
        <v>Assorted Colors (W/T)</v>
      </c>
      <c r="H10" s="1" t="s">
        <v>920</v>
      </c>
      <c r="I10" s="352">
        <v>0.4</v>
      </c>
      <c r="J10" s="286">
        <f>_xlfn.LET(
  _xlpm.result, 1-((Main[[#This Row],[Cost]]+Main[[#This Row],[Duties]]+Main[[#This Row],[Transport]])/((Main[[#This Row],[Precio]]*0.96))),
  IF(_xlpm.result&lt;0, "BAJO", IF(_xlpm.result&gt;1, "ALTO", _xlpm.result))
)</f>
        <v>0.25955414012738842</v>
      </c>
      <c r="K10" s="239">
        <v>1.6881720430107525</v>
      </c>
      <c r="L10" s="353" cm="1">
        <f t="array" aca="1" ref="L1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0" s="354">
        <f>Guias!$B$4</f>
        <v>46311</v>
      </c>
      <c r="N10" s="355">
        <f>ROUNDUP((Main[[#This Row],[Cost]]*Main[[#This Row],[Import Duties]]),2)</f>
        <v>6.9999999999999993E-2</v>
      </c>
      <c r="O10" s="228">
        <v>0</v>
      </c>
      <c r="P10" s="228">
        <v>1</v>
      </c>
      <c r="Q10" s="228">
        <v>0</v>
      </c>
      <c r="R10" s="356">
        <f>ROUNDUP(Main[[#This Row],[Transport2]]/Main[[#This Row],[Cantidad_Min]],2)</f>
        <v>0.73</v>
      </c>
      <c r="S10" s="228">
        <f>_xlfn.XLOOKUP(Main[[#This Row],[Type of Box]], Cajas[Nombre], Cajas[Largo])</f>
        <v>105</v>
      </c>
      <c r="T10" s="228">
        <f>_xlfn.XLOOKUP(Main[[#This Row],[Type of Box]], Cajas[Nombre], Cajas[Ancho])</f>
        <v>17</v>
      </c>
      <c r="U10" s="228">
        <f>_xlfn.XLOOKUP(Main[[#This Row],[Type of Box]], Cajas[Nombre], Cajas[Alto])</f>
        <v>17</v>
      </c>
      <c r="V10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" s="228">
        <f>ROUNDUP(((Main[[#This Row],[Volumen]]*5.25))*1.36,2)</f>
        <v>36.119999999999997</v>
      </c>
      <c r="X10" s="357">
        <v>0.15859999999999999</v>
      </c>
      <c r="Y10" s="358">
        <f>Main[[#This Row],[Cantidad_Min]]*Main[[#This Row],[Precio]]*Main[[#This Row],[Qty]]</f>
        <v>84.408602150537632</v>
      </c>
      <c r="Z10" s="228">
        <f>_xlfn.XLOOKUP(Main[[#This Row],[Finca]], Fincas[Nombre], Fincas[ID])</f>
        <v>51</v>
      </c>
      <c r="AA10" s="228" t="str" cm="1">
        <f t="array" ref="AA1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0" s="18" t="s">
        <v>33</v>
      </c>
      <c r="AC10" s="379"/>
      <c r="AD10" s="372" t="s">
        <v>50</v>
      </c>
    </row>
    <row r="11" spans="1:30" ht="15.75" thickBot="1" x14ac:dyDescent="0.3">
      <c r="A11" s="33" t="s">
        <v>48</v>
      </c>
      <c r="B11" s="153">
        <v>1</v>
      </c>
      <c r="C11" s="153" t="s">
        <v>31</v>
      </c>
      <c r="D11" s="33">
        <v>50</v>
      </c>
      <c r="E11">
        <v>50</v>
      </c>
      <c r="F11" t="s">
        <v>49</v>
      </c>
      <c r="G11" t="str">
        <f>"Assorted Colors " &amp; _xlfn.XLOOKUP(Main[[#This Row],[FechaEntrega]], Guias[Fecha], Guias[Llegada])</f>
        <v>Assorted Colors (W/T)</v>
      </c>
      <c r="H11" s="1" t="s">
        <v>921</v>
      </c>
      <c r="I11" s="235">
        <v>0.4</v>
      </c>
      <c r="J11" s="69">
        <f>_xlfn.LET(
  _xlpm.result, 1-((Main[[#This Row],[Cost]]+Main[[#This Row],[Duties]]+Main[[#This Row],[Transport]])/((Main[[#This Row],[Precio]]*0.96))),
  IF(_xlpm.result&lt;0, "BAJO", IF(_xlpm.result&gt;1, "ALTO", _xlpm.result))
)</f>
        <v>0.25955414012738842</v>
      </c>
      <c r="K11" s="131">
        <v>1.6881720430107525</v>
      </c>
      <c r="L11" s="360" cm="1">
        <f t="array" aca="1" ref="L1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1" s="152">
        <f>Guias!$B$4</f>
        <v>46311</v>
      </c>
      <c r="N11" s="216">
        <f>ROUNDUP((Main[[#This Row],[Cost]]*Main[[#This Row],[Import Duties]]),2)</f>
        <v>6.9999999999999993E-2</v>
      </c>
      <c r="O11">
        <v>0</v>
      </c>
      <c r="P11">
        <v>1</v>
      </c>
      <c r="Q11">
        <v>0</v>
      </c>
      <c r="R11" s="217">
        <f>ROUNDUP(Main[[#This Row],[Transport2]]/Main[[#This Row],[Cantidad_Min]],2)</f>
        <v>0.73</v>
      </c>
      <c r="S11">
        <f>_xlfn.XLOOKUP(Main[[#This Row],[Type of Box]], Cajas[Nombre], Cajas[Largo])</f>
        <v>105</v>
      </c>
      <c r="T11">
        <f>_xlfn.XLOOKUP(Main[[#This Row],[Type of Box]], Cajas[Nombre], Cajas[Ancho])</f>
        <v>17</v>
      </c>
      <c r="U11">
        <f>_xlfn.XLOOKUP(Main[[#This Row],[Type of Box]], Cajas[Nombre], Cajas[Alto])</f>
        <v>17</v>
      </c>
      <c r="V1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">
        <f>ROUNDUP(((Main[[#This Row],[Volumen]]*5.25))*1.36,2)</f>
        <v>36.119999999999997</v>
      </c>
      <c r="X11" s="219">
        <v>0.15859999999999999</v>
      </c>
      <c r="Y11" s="361">
        <f>Main[[#This Row],[Cantidad_Min]]*Main[[#This Row],[Precio]]*Main[[#This Row],[Qty]]</f>
        <v>84.408602150537632</v>
      </c>
      <c r="Z11">
        <f>_xlfn.XLOOKUP(Main[[#This Row],[Finca]], Fincas[Nombre], Fincas[ID])</f>
        <v>51</v>
      </c>
      <c r="AA11" t="str" cm="1">
        <f t="array" ref="AA1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" s="2" t="s">
        <v>33</v>
      </c>
      <c r="AC11" s="5"/>
      <c r="AD11" s="225"/>
    </row>
    <row r="12" spans="1:30" x14ac:dyDescent="0.25">
      <c r="A12" s="380" t="s">
        <v>51</v>
      </c>
      <c r="B12" s="245">
        <v>5</v>
      </c>
      <c r="C12" s="245" t="s">
        <v>31</v>
      </c>
      <c r="D12" s="380">
        <v>40</v>
      </c>
      <c r="E12" s="228">
        <v>40</v>
      </c>
      <c r="F12" s="228" t="s">
        <v>45</v>
      </c>
      <c r="G12" s="228" t="s">
        <v>52</v>
      </c>
      <c r="H12" s="1" t="s">
        <v>922</v>
      </c>
      <c r="I12" s="352">
        <v>0.28999999999999998</v>
      </c>
      <c r="J12" s="286">
        <f>_xlfn.LET(
  _xlpm.result, 1-((Main[[#This Row],[Cost]]+Main[[#This Row],[Duties]]+Main[[#This Row],[Transport]])/((Main[[#This Row],[Precio]]*0.96))),
  IF(_xlpm.result&lt;0, "BAJO", IF(_xlpm.result&gt;1, "ALTO", _xlpm.result))
)</f>
        <v>0.22953648915187375</v>
      </c>
      <c r="K12" s="239">
        <v>1.69</v>
      </c>
      <c r="L12" s="353" cm="1">
        <f t="array" aca="1" ref="L1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2" s="354">
        <f>Guias!$B$7</f>
        <v>46314</v>
      </c>
      <c r="N12" s="355">
        <f>ROUNDUP((Main[[#This Row],[Cost]]*Main[[#This Row],[Import Duties]]),2)</f>
        <v>0.05</v>
      </c>
      <c r="O12" s="228">
        <v>0</v>
      </c>
      <c r="P12" s="228">
        <v>1</v>
      </c>
      <c r="Q12" s="228">
        <v>0</v>
      </c>
      <c r="R12" s="356">
        <f>ROUNDUP(Main[[#This Row],[Transport2]]/Main[[#This Row],[Cantidad_Min]],2)</f>
        <v>0.91</v>
      </c>
      <c r="S12" s="228">
        <f>_xlfn.XLOOKUP(Main[[#This Row],[Type of Box]], Cajas[Nombre], Cajas[Largo])</f>
        <v>105</v>
      </c>
      <c r="T12" s="228">
        <f>_xlfn.XLOOKUP(Main[[#This Row],[Type of Box]], Cajas[Nombre], Cajas[Ancho])</f>
        <v>17</v>
      </c>
      <c r="U12" s="228">
        <f>_xlfn.XLOOKUP(Main[[#This Row],[Type of Box]], Cajas[Nombre], Cajas[Alto])</f>
        <v>17</v>
      </c>
      <c r="V12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2" s="228">
        <f>ROUNDUP(((Main[[#This Row],[Volumen]]*5.25))*1.36,2)</f>
        <v>36.119999999999997</v>
      </c>
      <c r="X12" s="357">
        <v>0.15859999999999999</v>
      </c>
      <c r="Y12" s="358">
        <f>Main[[#This Row],[Cantidad_Min]]*Main[[#This Row],[Precio]]*Main[[#This Row],[Qty]]</f>
        <v>338</v>
      </c>
      <c r="Z12" s="228">
        <f>_xlfn.XLOOKUP(Main[[#This Row],[Finca]], Fincas[Nombre], Fincas[ID])</f>
        <v>75</v>
      </c>
      <c r="AA12" s="228" t="str" cm="1">
        <f t="array" ref="AA1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" s="18" t="s">
        <v>33</v>
      </c>
      <c r="AC12" s="379"/>
      <c r="AD12" s="381"/>
    </row>
    <row r="13" spans="1:30" x14ac:dyDescent="0.25">
      <c r="A13" s="33" t="s">
        <v>51</v>
      </c>
      <c r="B13" s="153">
        <v>5</v>
      </c>
      <c r="C13" s="153" t="s">
        <v>31</v>
      </c>
      <c r="D13" s="33">
        <v>40</v>
      </c>
      <c r="E13">
        <v>40</v>
      </c>
      <c r="F13" t="s">
        <v>45</v>
      </c>
      <c r="G13" t="str">
        <f>"Vincents Choice " &amp; _xlfn.XLOOKUP(Main[[#This Row],[FechaEntrega]], Guias[Fecha], Guias[Llegada])</f>
        <v>Vincents Choice (W/T)</v>
      </c>
      <c r="H13" s="1" t="s">
        <v>923</v>
      </c>
      <c r="I13" s="235">
        <v>0.27</v>
      </c>
      <c r="J13" s="69">
        <f>_xlfn.LET(
  _xlpm.result, 1-((Main[[#This Row],[Cost]]+Main[[#This Row],[Duties]]+Main[[#This Row],[Transport]])/((Main[[#This Row],[Precio]]*0.96))),
  IF(_xlpm.result&lt;0, "BAJO", IF(_xlpm.result&gt;1, "ALTO", _xlpm.result))
)</f>
        <v>0.24186390532544377</v>
      </c>
      <c r="K13" s="131">
        <v>1.69</v>
      </c>
      <c r="L13" s="360" cm="1">
        <f t="array" aca="1" ref="L1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3" s="152">
        <f>Guias!$B$5</f>
        <v>46312</v>
      </c>
      <c r="N13" s="216">
        <f>ROUNDUP((Main[[#This Row],[Cost]]*Main[[#This Row],[Import Duties]]),2)</f>
        <v>0.05</v>
      </c>
      <c r="O13">
        <v>0</v>
      </c>
      <c r="P13">
        <v>1</v>
      </c>
      <c r="Q13">
        <v>0</v>
      </c>
      <c r="R13" s="217">
        <f>ROUNDUP(Main[[#This Row],[Transport2]]/Main[[#This Row],[Cantidad_Min]],2)</f>
        <v>0.91</v>
      </c>
      <c r="S13">
        <f>_xlfn.XLOOKUP(Main[[#This Row],[Type of Box]], Cajas[Nombre], Cajas[Largo])</f>
        <v>105</v>
      </c>
      <c r="T13">
        <f>_xlfn.XLOOKUP(Main[[#This Row],[Type of Box]], Cajas[Nombre], Cajas[Ancho])</f>
        <v>17</v>
      </c>
      <c r="U13">
        <f>_xlfn.XLOOKUP(Main[[#This Row],[Type of Box]], Cajas[Nombre], Cajas[Alto])</f>
        <v>17</v>
      </c>
      <c r="V1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">
        <f>ROUNDUP(((Main[[#This Row],[Volumen]]*5.25))*1.36,2)</f>
        <v>36.119999999999997</v>
      </c>
      <c r="X13" s="219">
        <v>0.15859999999999999</v>
      </c>
      <c r="Y13" s="361">
        <f>Main[[#This Row],[Cantidad_Min]]*Main[[#This Row],[Precio]]*Main[[#This Row],[Qty]]</f>
        <v>338</v>
      </c>
      <c r="Z13">
        <f>_xlfn.XLOOKUP(Main[[#This Row],[Finca]], Fincas[Nombre], Fincas[ID])</f>
        <v>75</v>
      </c>
      <c r="AA13" t="str" cm="1">
        <f t="array" ref="AA1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" s="2" t="s">
        <v>33</v>
      </c>
      <c r="AC13" s="31"/>
      <c r="AD13" s="382"/>
    </row>
    <row r="14" spans="1:30" x14ac:dyDescent="0.25">
      <c r="A14" s="33" t="s">
        <v>51</v>
      </c>
      <c r="B14" s="153">
        <v>5</v>
      </c>
      <c r="C14" s="153" t="s">
        <v>31</v>
      </c>
      <c r="D14" s="33">
        <v>45</v>
      </c>
      <c r="E14">
        <v>45</v>
      </c>
      <c r="F14" t="s">
        <v>53</v>
      </c>
      <c r="G14" t="str">
        <f>"Select/Medium/Petit " &amp; _xlfn.XLOOKUP(Main[[#This Row],[FechaEntrega]], Guias[Fecha], Guias[Llegada])</f>
        <v>Select/Medium/Petit (W/T)</v>
      </c>
      <c r="H14" s="1" t="s">
        <v>924</v>
      </c>
      <c r="I14" s="235">
        <v>0.25</v>
      </c>
      <c r="J14" s="69">
        <f>_xlfn.LET(
  _xlpm.result, 1-((Main[[#This Row],[Cost]]+Main[[#This Row],[Duties]]+Main[[#This Row],[Transport]])/((Main[[#This Row],[Precio]]*0.96))),
  IF(_xlpm.result&lt;0, "BAJO", IF(_xlpm.result&gt;1, "ALTO", _xlpm.result))
)</f>
        <v>0.27935010482180289</v>
      </c>
      <c r="K14" s="131">
        <v>1.59</v>
      </c>
      <c r="L14" s="360" cm="1">
        <f t="array" aca="1" ref="L1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4" s="152">
        <f>Guias!$B$4</f>
        <v>46311</v>
      </c>
      <c r="N14" s="216">
        <f>ROUNDUP((Main[[#This Row],[Cost]]*Main[[#This Row],[Import Duties]]),2)</f>
        <v>0.04</v>
      </c>
      <c r="O14">
        <v>0</v>
      </c>
      <c r="P14">
        <v>1</v>
      </c>
      <c r="Q14">
        <v>0</v>
      </c>
      <c r="R14" s="217">
        <f>ROUNDUP(Main[[#This Row],[Transport2]]/Main[[#This Row],[Cantidad_Min]],2)</f>
        <v>0.81</v>
      </c>
      <c r="S14">
        <f>_xlfn.XLOOKUP(Main[[#This Row],[Type of Box]], Cajas[Nombre], Cajas[Largo])</f>
        <v>105</v>
      </c>
      <c r="T14">
        <f>_xlfn.XLOOKUP(Main[[#This Row],[Type of Box]], Cajas[Nombre], Cajas[Ancho])</f>
        <v>17</v>
      </c>
      <c r="U14">
        <f>_xlfn.XLOOKUP(Main[[#This Row],[Type of Box]], Cajas[Nombre], Cajas[Alto])</f>
        <v>17</v>
      </c>
      <c r="V1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">
        <f>ROUNDUP(((Main[[#This Row],[Volumen]]*5.25))*1.36,2)</f>
        <v>36.119999999999997</v>
      </c>
      <c r="X14" s="219">
        <v>0.15859999999999999</v>
      </c>
      <c r="Y14" s="361">
        <f>Main[[#This Row],[Cantidad_Min]]*Main[[#This Row],[Precio]]*Main[[#This Row],[Qty]]</f>
        <v>357.75</v>
      </c>
      <c r="Z14">
        <f>_xlfn.XLOOKUP(Main[[#This Row],[Finca]], Fincas[Nombre], Fincas[ID])</f>
        <v>75</v>
      </c>
      <c r="AA14" t="str" cm="1">
        <f t="array" ref="AA1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4" s="2" t="s">
        <v>33</v>
      </c>
      <c r="AC14" s="31"/>
      <c r="AD14" s="382"/>
    </row>
    <row r="15" spans="1:30" ht="15.75" thickBot="1" x14ac:dyDescent="0.3">
      <c r="A15" s="362" t="s">
        <v>51</v>
      </c>
      <c r="B15" s="363">
        <v>5</v>
      </c>
      <c r="C15" s="363" t="s">
        <v>31</v>
      </c>
      <c r="D15" s="362">
        <v>40</v>
      </c>
      <c r="E15" s="233">
        <v>40</v>
      </c>
      <c r="F15" s="233" t="s">
        <v>45</v>
      </c>
      <c r="G15" s="233" t="str">
        <f>"Vincents Choice " &amp; _xlfn.XLOOKUP(Main[[#This Row],[FechaEntrega]], Guias[Fecha], Guias[Llegada])</f>
        <v>Vincents Choice (M/T)</v>
      </c>
      <c r="H15" s="1" t="s">
        <v>925</v>
      </c>
      <c r="I15" s="364">
        <v>0.27</v>
      </c>
      <c r="J15" s="293">
        <f>_xlfn.LET(
  _xlpm.result, 1-((Main[[#This Row],[Cost]]+Main[[#This Row],[Duties]]+Main[[#This Row],[Transport]])/((Main[[#This Row],[Precio]]*0.96))),
  IF(_xlpm.result&lt;0, "BAJO", IF(_xlpm.result&gt;1, "ALTO", _xlpm.result))
)</f>
        <v>0.24186390532544377</v>
      </c>
      <c r="K15" s="240">
        <v>1.69</v>
      </c>
      <c r="L15" s="365" cm="1">
        <f t="array" aca="1" ref="L1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5" s="366">
        <f>Guias!$B$2</f>
        <v>46309</v>
      </c>
      <c r="N15" s="367">
        <f>ROUNDUP((Main[[#This Row],[Cost]]*Main[[#This Row],[Import Duties]]),2)</f>
        <v>0.05</v>
      </c>
      <c r="O15" s="233">
        <v>0</v>
      </c>
      <c r="P15" s="233">
        <v>1</v>
      </c>
      <c r="Q15" s="233">
        <v>0</v>
      </c>
      <c r="R15" s="368">
        <f>ROUNDUP(Main[[#This Row],[Transport2]]/Main[[#This Row],[Cantidad_Min]],2)</f>
        <v>0.91</v>
      </c>
      <c r="S15" s="233">
        <f>_xlfn.XLOOKUP(Main[[#This Row],[Type of Box]], Cajas[Nombre], Cajas[Largo])</f>
        <v>105</v>
      </c>
      <c r="T15" s="233">
        <f>_xlfn.XLOOKUP(Main[[#This Row],[Type of Box]], Cajas[Nombre], Cajas[Ancho])</f>
        <v>17</v>
      </c>
      <c r="U15" s="233">
        <f>_xlfn.XLOOKUP(Main[[#This Row],[Type of Box]], Cajas[Nombre], Cajas[Alto])</f>
        <v>17</v>
      </c>
      <c r="V15" s="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" s="233">
        <f>ROUNDUP(((Main[[#This Row],[Volumen]]*5.25))*1.36,2)</f>
        <v>36.119999999999997</v>
      </c>
      <c r="X15" s="369">
        <v>0.15859999999999999</v>
      </c>
      <c r="Y15" s="370">
        <f>Main[[#This Row],[Cantidad_Min]]*Main[[#This Row],[Precio]]*Main[[#This Row],[Qty]]</f>
        <v>338</v>
      </c>
      <c r="Z15" s="233">
        <f>_xlfn.XLOOKUP(Main[[#This Row],[Finca]], Fincas[Nombre], Fincas[ID])</f>
        <v>75</v>
      </c>
      <c r="AA15" s="233" t="str" cm="1">
        <f t="array" ref="AA1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5" s="73" t="s">
        <v>33</v>
      </c>
      <c r="AC15" s="383"/>
      <c r="AD15" s="384"/>
    </row>
    <row r="16" spans="1:30" ht="15.75" thickBot="1" x14ac:dyDescent="0.3">
      <c r="A16" s="33" t="s">
        <v>54</v>
      </c>
      <c r="B16" s="153">
        <f>IF(Main[[#This Row],[SendEmail]]="Y", 1, 0)</f>
        <v>1</v>
      </c>
      <c r="C16" s="153" t="s">
        <v>35</v>
      </c>
      <c r="D16" s="33">
        <v>125</v>
      </c>
      <c r="E16">
        <v>125</v>
      </c>
      <c r="F16" t="s">
        <v>55</v>
      </c>
      <c r="G16" t="str">
        <f>"25 Explorer/25 Pink Mondial/25 Hermosa/25 White Mondial/25 Phoenix " &amp; _xlfn.XLOOKUP(Main[[#This Row],[FechaEntrega]], Guias[Fecha], Guias[Llegada])</f>
        <v>25 Explorer/25 Pink Mondial/25 Hermosa/25 White Mondial/25 Phoenix (M/T)</v>
      </c>
      <c r="H16" s="1" t="s">
        <v>926</v>
      </c>
      <c r="I16" s="235">
        <v>0.3</v>
      </c>
      <c r="J16" s="69">
        <f>_xlfn.LET(
  _xlpm.result, 1-((Main[[#This Row],[Cost]]+Main[[#This Row],[Duties]]+Main[[#This Row],[Transport]])/((Main[[#This Row],[Precio]]*0.96))),
  IF(_xlpm.result&lt;0, "BAJO", IF(_xlpm.result&gt;1, "ALTO", _xlpm.result))
)</f>
        <v>0.20289855072463758</v>
      </c>
      <c r="K16" s="131">
        <v>1.1499999999999999</v>
      </c>
      <c r="L16" s="360" cm="1">
        <f t="array" aca="1" ref="L1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6" s="152">
        <f>Guias!$B$2</f>
        <v>46309</v>
      </c>
      <c r="N16" s="216">
        <f>ROUNDUP((Main[[#This Row],[Cost]]*Main[[#This Row],[Import Duties]]),2)</f>
        <v>0.05</v>
      </c>
      <c r="O16">
        <v>0</v>
      </c>
      <c r="P16">
        <v>1</v>
      </c>
      <c r="Q16">
        <v>0</v>
      </c>
      <c r="R16" s="217">
        <f>ROUNDUP(Main[[#This Row],[Transport2]]/Main[[#This Row],[Cantidad_Min]],2)</f>
        <v>0.53</v>
      </c>
      <c r="S16">
        <f>_xlfn.XLOOKUP(Main[[#This Row],[Type of Box]], Cajas[Nombre], Cajas[Largo])</f>
        <v>99</v>
      </c>
      <c r="T16">
        <f>_xlfn.XLOOKUP(Main[[#This Row],[Type of Box]], Cajas[Nombre], Cajas[Ancho])</f>
        <v>35</v>
      </c>
      <c r="U16">
        <f>_xlfn.XLOOKUP(Main[[#This Row],[Type of Box]], Cajas[Nombre], Cajas[Alto])</f>
        <v>16</v>
      </c>
      <c r="V1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">
        <f>ROUNDUP(((Main[[#This Row],[Volumen]]*5.25))*1.36,2)</f>
        <v>65.98</v>
      </c>
      <c r="X16" s="219">
        <v>0.15859999999999999</v>
      </c>
      <c r="Y16" s="361">
        <f>Main[[#This Row],[Cantidad_Min]]*Main[[#This Row],[Precio]]*Main[[#This Row],[Qty]]</f>
        <v>143.75</v>
      </c>
      <c r="Z16">
        <f>_xlfn.XLOOKUP(Main[[#This Row],[Finca]], Fincas[Nombre], Fincas[ID])</f>
        <v>2</v>
      </c>
      <c r="AA16" t="str" cm="1">
        <f t="array" ref="AA1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6" s="249"/>
      <c r="AD16" s="224" t="s">
        <v>56</v>
      </c>
    </row>
    <row r="17" spans="1:30" x14ac:dyDescent="0.25">
      <c r="A17" s="349" t="s">
        <v>57</v>
      </c>
      <c r="B17" s="350">
        <v>1</v>
      </c>
      <c r="C17" s="350" t="s">
        <v>31</v>
      </c>
      <c r="D17" s="349">
        <v>50</v>
      </c>
      <c r="E17" s="351">
        <v>50</v>
      </c>
      <c r="F17" s="351" t="s">
        <v>58</v>
      </c>
      <c r="G17" s="228" t="str">
        <f>"Light Pink/Hot Pink/Yellow/White/Purple " &amp; _xlfn.XLOOKUP(Main[[#This Row],[FechaEntrega]], Guias[Fecha], Guias[Llegada])</f>
        <v>Light Pink/Hot Pink/Yellow/White/Purple (M/T)</v>
      </c>
      <c r="H17" s="1" t="s">
        <v>927</v>
      </c>
      <c r="I17" s="352">
        <v>0.26</v>
      </c>
      <c r="J17" s="286">
        <f>_xlfn.LET(
  _xlpm.result, 1-((Main[[#This Row],[Cost]]+Main[[#This Row],[Duties]]+Main[[#This Row],[Transport]])/((Main[[#This Row],[Precio]]*0.96))),
  IF(_xlpm.result&lt;0, "BAJO", IF(_xlpm.result&gt;1, "ALTO", _xlpm.result))
)</f>
        <v>0.1333333333333333</v>
      </c>
      <c r="K17" s="239">
        <v>1.25</v>
      </c>
      <c r="L17" s="353" cm="1">
        <f t="array" aca="1" ref="L1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7" s="354">
        <f>Guias!$B$2</f>
        <v>46309</v>
      </c>
      <c r="N17" s="355">
        <f>ROUNDUP((Main[[#This Row],[Cost]]*Main[[#This Row],[Import Duties]]),2)</f>
        <v>0.05</v>
      </c>
      <c r="O17" s="228">
        <v>0</v>
      </c>
      <c r="P17" s="228">
        <v>1</v>
      </c>
      <c r="Q17" s="228">
        <v>0</v>
      </c>
      <c r="R17" s="356">
        <f>ROUNDUP(Main[[#This Row],[Transport2]]/Main[[#This Row],[Cantidad_Min]],2)</f>
        <v>0.73</v>
      </c>
      <c r="S17" s="228">
        <f>_xlfn.XLOOKUP(Main[[#This Row],[Type of Box]], Cajas[Nombre], Cajas[Largo])</f>
        <v>105</v>
      </c>
      <c r="T17" s="228">
        <f>_xlfn.XLOOKUP(Main[[#This Row],[Type of Box]], Cajas[Nombre], Cajas[Ancho])</f>
        <v>17</v>
      </c>
      <c r="U17" s="228">
        <f>_xlfn.XLOOKUP(Main[[#This Row],[Type of Box]], Cajas[Nombre], Cajas[Alto])</f>
        <v>17</v>
      </c>
      <c r="V17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7" s="228">
        <f>ROUNDUP(((Main[[#This Row],[Volumen]]*5.25))*1.36,2)</f>
        <v>36.119999999999997</v>
      </c>
      <c r="X17" s="357">
        <v>0.15859999999999999</v>
      </c>
      <c r="Y17" s="358">
        <f>Main[[#This Row],[Cantidad_Min]]*Main[[#This Row],[Precio]]*Main[[#This Row],[Qty]]</f>
        <v>62.5</v>
      </c>
      <c r="Z17" s="228">
        <f>_xlfn.XLOOKUP(Main[[#This Row],[Finca]], Fincas[Nombre], Fincas[ID])</f>
        <v>62</v>
      </c>
      <c r="AA17" s="228" t="str" cm="1">
        <f t="array" ref="AA1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17" s="18" t="s">
        <v>33</v>
      </c>
      <c r="AC17" s="17"/>
      <c r="AD17" s="372" t="s">
        <v>59</v>
      </c>
    </row>
    <row r="18" spans="1:30" x14ac:dyDescent="0.25">
      <c r="A18" s="385" t="s">
        <v>57</v>
      </c>
      <c r="B18" s="386">
        <v>1</v>
      </c>
      <c r="C18" s="386" t="s">
        <v>31</v>
      </c>
      <c r="D18" s="385">
        <v>50</v>
      </c>
      <c r="E18" s="387">
        <v>50</v>
      </c>
      <c r="F18" s="387" t="s">
        <v>58</v>
      </c>
      <c r="G18" t="str">
        <f>"Light Pink/Hot Pink/Yellow/White/Purple " &amp; _xlfn.XLOOKUP(Main[[#This Row],[FechaEntrega]], Guias[Fecha], Guias[Llegada])</f>
        <v>Light Pink/Hot Pink/Yellow/White/Purple (M/T)</v>
      </c>
      <c r="H18" s="1" t="s">
        <v>928</v>
      </c>
      <c r="I18" s="235">
        <v>0.26</v>
      </c>
      <c r="J18" s="69">
        <f>_xlfn.LET(
  _xlpm.result, 1-((Main[[#This Row],[Cost]]+Main[[#This Row],[Duties]]+Main[[#This Row],[Transport]])/((Main[[#This Row],[Precio]]*0.96))),
  IF(_xlpm.result&lt;0, "BAJO", IF(_xlpm.result&gt;1, "ALTO", _xlpm.result))
)</f>
        <v>0.16020671834625322</v>
      </c>
      <c r="K18" s="131">
        <v>1.29</v>
      </c>
      <c r="L18" s="360" cm="1">
        <f t="array" aca="1" ref="L1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8" s="152">
        <f>Guias!$B$2</f>
        <v>46309</v>
      </c>
      <c r="N18" s="216">
        <f>ROUNDUP((Main[[#This Row],[Cost]]*Main[[#This Row],[Import Duties]]),2)</f>
        <v>0.05</v>
      </c>
      <c r="O18">
        <v>0</v>
      </c>
      <c r="P18">
        <v>1</v>
      </c>
      <c r="Q18">
        <v>0</v>
      </c>
      <c r="R18" s="217">
        <f>ROUNDUP(Main[[#This Row],[Transport2]]/Main[[#This Row],[Cantidad_Min]],2)</f>
        <v>0.73</v>
      </c>
      <c r="S18">
        <f>_xlfn.XLOOKUP(Main[[#This Row],[Type of Box]], Cajas[Nombre], Cajas[Largo])</f>
        <v>105</v>
      </c>
      <c r="T18">
        <f>_xlfn.XLOOKUP(Main[[#This Row],[Type of Box]], Cajas[Nombre], Cajas[Ancho])</f>
        <v>17</v>
      </c>
      <c r="U18">
        <f>_xlfn.XLOOKUP(Main[[#This Row],[Type of Box]], Cajas[Nombre], Cajas[Alto])</f>
        <v>17</v>
      </c>
      <c r="V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8">
        <f>ROUNDUP(((Main[[#This Row],[Volumen]]*5.25))*1.36,2)</f>
        <v>36.119999999999997</v>
      </c>
      <c r="X18" s="219">
        <v>0.15859999999999999</v>
      </c>
      <c r="Y18" s="361">
        <f>Main[[#This Row],[Cantidad_Min]]*Main[[#This Row],[Precio]]*Main[[#This Row],[Qty]]</f>
        <v>64.5</v>
      </c>
      <c r="Z18">
        <f>_xlfn.XLOOKUP(Main[[#This Row],[Finca]], Fincas[Nombre], Fincas[ID])</f>
        <v>62</v>
      </c>
      <c r="AA18" t="str" cm="1">
        <f t="array" ref="AA1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8" s="2" t="s">
        <v>33</v>
      </c>
      <c r="AC18" s="5"/>
      <c r="AD18" s="225" t="s">
        <v>46</v>
      </c>
    </row>
    <row r="19" spans="1:30" ht="15.75" thickBot="1" x14ac:dyDescent="0.3">
      <c r="A19" s="388" t="s">
        <v>57</v>
      </c>
      <c r="B19" s="389">
        <f>IF(Main[[#This Row],[SendEmail]]="Y", 1, 0)</f>
        <v>1</v>
      </c>
      <c r="C19" s="389" t="s">
        <v>31</v>
      </c>
      <c r="D19" s="388">
        <v>50</v>
      </c>
      <c r="E19" s="390">
        <v>50</v>
      </c>
      <c r="F19" s="390" t="s">
        <v>58</v>
      </c>
      <c r="G19" s="233" t="str">
        <f>"Assorted Colors " &amp; _xlfn.XLOOKUP(Main[[#This Row],[FechaEntrega]], Guias[Fecha], Guias[Llegada])</f>
        <v>Assorted Colors (M/T)</v>
      </c>
      <c r="H19" s="1" t="s">
        <v>929</v>
      </c>
      <c r="I19" s="364">
        <v>0.26</v>
      </c>
      <c r="J19" s="293">
        <f>_xlfn.LET(
  _xlpm.result, 1-((Main[[#This Row],[Cost]]+Main[[#This Row],[Duties]]+Main[[#This Row],[Transport]])/((Main[[#This Row],[Precio]]*0.96))),
  IF(_xlpm.result&lt;0, "BAJO", IF(_xlpm.result&gt;1, "ALTO", _xlpm.result))
)</f>
        <v>0.15364583333333326</v>
      </c>
      <c r="K19" s="391">
        <v>1.28</v>
      </c>
      <c r="L19" s="365" cm="1">
        <f t="array" aca="1" ref="L1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9" s="366">
        <f>Guias!$B$2</f>
        <v>46309</v>
      </c>
      <c r="N19" s="392">
        <f>ROUNDUP((Main[[#This Row],[Cost]]*Main[[#This Row],[Import Duties]]),2)</f>
        <v>0.05</v>
      </c>
      <c r="O19" s="233">
        <v>0</v>
      </c>
      <c r="P19" s="233">
        <v>1</v>
      </c>
      <c r="Q19" s="233">
        <v>0</v>
      </c>
      <c r="R19" s="393">
        <f>ROUNDUP(Main[[#This Row],[Transport2]]/Main[[#This Row],[Cantidad_Min]],2)</f>
        <v>0.73</v>
      </c>
      <c r="S19" s="233">
        <f>_xlfn.XLOOKUP(Main[[#This Row],[Type of Box]], Cajas[Nombre], Cajas[Largo])</f>
        <v>105</v>
      </c>
      <c r="T19" s="233">
        <f>_xlfn.XLOOKUP(Main[[#This Row],[Type of Box]], Cajas[Nombre], Cajas[Ancho])</f>
        <v>17</v>
      </c>
      <c r="U19" s="233">
        <f>_xlfn.XLOOKUP(Main[[#This Row],[Type of Box]], Cajas[Nombre], Cajas[Alto])</f>
        <v>17</v>
      </c>
      <c r="V19" s="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" s="233">
        <f>ROUNDUP(((Main[[#This Row],[Volumen]]*5.25))*1.36,2)</f>
        <v>36.119999999999997</v>
      </c>
      <c r="X19" s="369">
        <v>0.15859999999999999</v>
      </c>
      <c r="Y19" s="370">
        <f>Main[[#This Row],[Cantidad_Min]]*Main[[#This Row],[Precio]]*Main[[#This Row],[Qty]]</f>
        <v>64</v>
      </c>
      <c r="Z19" s="233">
        <f>_xlfn.XLOOKUP(Main[[#This Row],[Finca]], Fincas[Nombre], Fincas[ID])</f>
        <v>62</v>
      </c>
      <c r="AA19" s="233" t="str" cm="1">
        <f t="array" ref="AA1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9" s="73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9" s="72"/>
      <c r="AD19" s="394" t="s">
        <v>60</v>
      </c>
    </row>
    <row r="20" spans="1:30" x14ac:dyDescent="0.25">
      <c r="A20" s="385" t="s">
        <v>61</v>
      </c>
      <c r="B20" s="386">
        <v>1</v>
      </c>
      <c r="C20" s="386" t="s">
        <v>31</v>
      </c>
      <c r="D20" s="385">
        <v>70</v>
      </c>
      <c r="E20" s="387">
        <v>70</v>
      </c>
      <c r="F20" s="387" t="s">
        <v>62</v>
      </c>
      <c r="G20" t="str">
        <f>"Blue/Light Blue/Lavender/White " &amp; _xlfn.XLOOKUP(Main[[#This Row],[FechaEntrega]], Guias[Fecha], Guias[Llegada])</f>
        <v>Blue/Light Blue/Lavender/White (T/W)</v>
      </c>
      <c r="H20" s="1" t="s">
        <v>930</v>
      </c>
      <c r="I20" s="235">
        <v>0.5</v>
      </c>
      <c r="J20" s="69">
        <f>_xlfn.LET(
  _xlpm.result, 1-((Main[[#This Row],[Cost]]+Main[[#This Row],[Duties]]+Main[[#This Row],[Transport]])/((Main[[#This Row],[Precio]]*0.96))),
  IF(_xlpm.result&lt;0, "BAJO", IF(_xlpm.result&gt;1, "ALTO", _xlpm.result))
)</f>
        <v>0.21064814814814814</v>
      </c>
      <c r="K20" s="131">
        <v>1.4516129032258065</v>
      </c>
      <c r="L20" s="360" cm="1">
        <f t="array" aca="1" ref="L2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0" s="152">
        <f>Guias!$B$3</f>
        <v>46310</v>
      </c>
      <c r="N20" s="216">
        <f>ROUNDUP((Main[[#This Row],[Cost]]*Main[[#This Row],[Import Duties]]),2)</f>
        <v>0.08</v>
      </c>
      <c r="O20">
        <v>0</v>
      </c>
      <c r="P20">
        <v>1</v>
      </c>
      <c r="Q20">
        <v>0</v>
      </c>
      <c r="R20" s="217">
        <f>ROUNDUP(Main[[#This Row],[Transport2]]/Main[[#This Row],[Cantidad_Min]],2)</f>
        <v>0.52</v>
      </c>
      <c r="S20">
        <f>_xlfn.XLOOKUP(Main[[#This Row],[Type of Box]], Cajas[Nombre], Cajas[Largo])</f>
        <v>105</v>
      </c>
      <c r="T20">
        <f>_xlfn.XLOOKUP(Main[[#This Row],[Type of Box]], Cajas[Nombre], Cajas[Ancho])</f>
        <v>17</v>
      </c>
      <c r="U20">
        <f>_xlfn.XLOOKUP(Main[[#This Row],[Type of Box]], Cajas[Nombre], Cajas[Alto])</f>
        <v>17</v>
      </c>
      <c r="V2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">
        <f>ROUNDUP(((Main[[#This Row],[Volumen]]*5.25))*1.36,2)</f>
        <v>36.119999999999997</v>
      </c>
      <c r="X20" s="219">
        <v>0.15859999999999999</v>
      </c>
      <c r="Y20" s="361">
        <f>Main[[#This Row],[Cantidad_Min]]*Main[[#This Row],[Precio]]*Main[[#This Row],[Qty]]</f>
        <v>101.61290322580645</v>
      </c>
      <c r="Z20">
        <f>_xlfn.XLOOKUP(Main[[#This Row],[Finca]], Fincas[Nombre], Fincas[ID])</f>
        <v>43</v>
      </c>
      <c r="AA20" t="str" cm="1">
        <f t="array" ref="AA2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20" s="2" t="s">
        <v>33</v>
      </c>
      <c r="AC20" s="5"/>
      <c r="AD20" s="224" t="s">
        <v>63</v>
      </c>
    </row>
    <row r="21" spans="1:30" x14ac:dyDescent="0.25">
      <c r="A21" s="385" t="s">
        <v>61</v>
      </c>
      <c r="B21" s="386">
        <v>1</v>
      </c>
      <c r="C21" s="386" t="s">
        <v>31</v>
      </c>
      <c r="D21" s="385">
        <v>70</v>
      </c>
      <c r="E21" s="387">
        <v>70</v>
      </c>
      <c r="F21" s="387" t="s">
        <v>62</v>
      </c>
      <c r="G21" t="str">
        <f>"Blue/Light Blue/Lavender/White " &amp; _xlfn.XLOOKUP(Main[[#This Row],[FechaEntrega]], Guias[Fecha], Guias[Llegada])</f>
        <v>Blue/Light Blue/Lavender/White (T/W)</v>
      </c>
      <c r="H21" s="1" t="s">
        <v>931</v>
      </c>
      <c r="I21" s="235">
        <v>0.5</v>
      </c>
      <c r="J21" s="69">
        <f>_xlfn.LET(
  _xlpm.result, 1-((Main[[#This Row],[Cost]]+Main[[#This Row],[Duties]]+Main[[#This Row],[Transport]])/((Main[[#This Row],[Precio]]*0.96))),
  IF(_xlpm.result&lt;0, "BAJO", IF(_xlpm.result&gt;1, "ALTO", _xlpm.result))
)</f>
        <v>0.24116997792494477</v>
      </c>
      <c r="K21" s="131">
        <v>1.51</v>
      </c>
      <c r="L21" s="360" cm="1">
        <f t="array" aca="1" ref="L2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1" s="152">
        <f>Guias!$B$3</f>
        <v>46310</v>
      </c>
      <c r="N21" s="216">
        <f>ROUNDUP((Main[[#This Row],[Cost]]*Main[[#This Row],[Import Duties]]),2)</f>
        <v>0.08</v>
      </c>
      <c r="O21">
        <v>0</v>
      </c>
      <c r="P21">
        <v>1</v>
      </c>
      <c r="Q21">
        <v>0</v>
      </c>
      <c r="R21" s="217">
        <f>ROUNDUP(Main[[#This Row],[Transport2]]/Main[[#This Row],[Cantidad_Min]],2)</f>
        <v>0.52</v>
      </c>
      <c r="S21">
        <f>_xlfn.XLOOKUP(Main[[#This Row],[Type of Box]], Cajas[Nombre], Cajas[Largo])</f>
        <v>105</v>
      </c>
      <c r="T21">
        <f>_xlfn.XLOOKUP(Main[[#This Row],[Type of Box]], Cajas[Nombre], Cajas[Ancho])</f>
        <v>17</v>
      </c>
      <c r="U21">
        <f>_xlfn.XLOOKUP(Main[[#This Row],[Type of Box]], Cajas[Nombre], Cajas[Alto])</f>
        <v>17</v>
      </c>
      <c r="V2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">
        <f>ROUNDUP(((Main[[#This Row],[Volumen]]*5.25))*1.36,2)</f>
        <v>36.119999999999997</v>
      </c>
      <c r="X21" s="219">
        <v>0.15859999999999999</v>
      </c>
      <c r="Y21" s="361">
        <f>Main[[#This Row],[Cantidad_Min]]*Main[[#This Row],[Precio]]*Main[[#This Row],[Qty]]</f>
        <v>105.7</v>
      </c>
      <c r="Z21">
        <f>_xlfn.XLOOKUP(Main[[#This Row],[Finca]], Fincas[Nombre], Fincas[ID])</f>
        <v>43</v>
      </c>
      <c r="AA21" t="str" cm="1">
        <f t="array" ref="AA2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21" s="2" t="s">
        <v>33</v>
      </c>
      <c r="AC21" s="5"/>
      <c r="AD21" s="224" t="s">
        <v>64</v>
      </c>
    </row>
    <row r="22" spans="1:30" x14ac:dyDescent="0.25">
      <c r="A22" s="156" t="s">
        <v>61</v>
      </c>
      <c r="B22" s="157">
        <v>1</v>
      </c>
      <c r="C22" s="157" t="s">
        <v>31</v>
      </c>
      <c r="D22" s="156">
        <v>70</v>
      </c>
      <c r="E22" s="237">
        <v>70</v>
      </c>
      <c r="F22" s="237" t="s">
        <v>65</v>
      </c>
      <c r="G22" t="str">
        <f>"Blue/Light Blue/Lavender/White " &amp; _xlfn.XLOOKUP(Main[[#This Row],[FechaEntrega]], Guias[Fecha], Guias[Llegada])</f>
        <v>Blue/Light Blue/Lavender/White (T/W)</v>
      </c>
      <c r="H22" s="1" t="s">
        <v>932</v>
      </c>
      <c r="I22" s="235">
        <v>0.5</v>
      </c>
      <c r="J22" s="69">
        <f>_xlfn.LET(
  _xlpm.result, 1-((Main[[#This Row],[Cost]]+Main[[#This Row],[Duties]]+Main[[#This Row],[Transport]])/((Main[[#This Row],[Precio]]*0.96))),
  IF(_xlpm.result&lt;0, "BAJO", IF(_xlpm.result&gt;1, "ALTO", _xlpm.result))
)</f>
        <v>0.23098434004474266</v>
      </c>
      <c r="K22" s="131">
        <f>IF(OR(AND(ISNUMBER(FIND("(*PAR)",
UPPER(Main[[#This Row],[Standing Orders]]))),
MOD(IFERROR(VALUE(Guias!$M$2),0),2)=0),
AND(ISNUMBER(FIND("(*IMPAR)",
UPPER(Main[[#This Row],[Standing Orders]]))),
MOD(IFERROR(VALUE(Guias!$M$2),
0),2)=1)), 1.51, 1.49)</f>
        <v>1.49</v>
      </c>
      <c r="L22" s="360" cm="1">
        <f t="array" aca="1" ref="L2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2" s="152">
        <f>Guias!$B$3</f>
        <v>46310</v>
      </c>
      <c r="N22" s="216">
        <f>ROUNDUP((Main[[#This Row],[Cost]]*Main[[#This Row],[Import Duties]]),2)</f>
        <v>0.08</v>
      </c>
      <c r="O22">
        <v>0</v>
      </c>
      <c r="P22">
        <v>1</v>
      </c>
      <c r="Q22">
        <v>0</v>
      </c>
      <c r="R22" s="217">
        <f>ROUNDUP(Main[[#This Row],[Transport2]]/Main[[#This Row],[Cantidad_Min]],2)</f>
        <v>0.52</v>
      </c>
      <c r="S22">
        <f>_xlfn.XLOOKUP(Main[[#This Row],[Type of Box]], Cajas[Nombre], Cajas[Largo])</f>
        <v>105</v>
      </c>
      <c r="T22">
        <f>_xlfn.XLOOKUP(Main[[#This Row],[Type of Box]], Cajas[Nombre], Cajas[Ancho])</f>
        <v>17</v>
      </c>
      <c r="U22">
        <f>_xlfn.XLOOKUP(Main[[#This Row],[Type of Box]], Cajas[Nombre], Cajas[Alto])</f>
        <v>17</v>
      </c>
      <c r="V2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2">
        <f>ROUNDUP(((Main[[#This Row],[Volumen]]*5.25))*1.36,2)</f>
        <v>36.119999999999997</v>
      </c>
      <c r="X22" s="219">
        <v>0.15859999999999999</v>
      </c>
      <c r="Y22" s="361">
        <f>Main[[#This Row],[Cantidad_Min]]*Main[[#This Row],[Precio]]*Main[[#This Row],[Qty]]</f>
        <v>104.3</v>
      </c>
      <c r="Z22">
        <f>_xlfn.XLOOKUP(Main[[#This Row],[Finca]], Fincas[Nombre], Fincas[ID])</f>
        <v>43</v>
      </c>
      <c r="AA22" t="str" cm="1">
        <f t="array" ref="AA2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2" s="2" t="s">
        <v>33</v>
      </c>
      <c r="AC22" s="5"/>
      <c r="AD22" s="224" t="s">
        <v>66</v>
      </c>
    </row>
    <row r="23" spans="1:30" ht="15.75" thickBot="1" x14ac:dyDescent="0.3">
      <c r="A23" s="33" t="s">
        <v>61</v>
      </c>
      <c r="B23" s="153">
        <v>5</v>
      </c>
      <c r="C23" s="153" t="s">
        <v>31</v>
      </c>
      <c r="D23" s="33">
        <v>70</v>
      </c>
      <c r="E23">
        <v>70</v>
      </c>
      <c r="F23" t="s">
        <v>62</v>
      </c>
      <c r="G23" t="str">
        <f>"Blue/Light Blue/Lavender/White " &amp; _xlfn.XLOOKUP(Main[[#This Row],[FechaEntrega]], Guias[Fecha], Guias[Llegada])</f>
        <v>Blue/Light Blue/Lavender/White (T/W)</v>
      </c>
      <c r="H23" s="1" t="s">
        <v>933</v>
      </c>
      <c r="I23" s="235">
        <v>0.5</v>
      </c>
      <c r="J23" s="69">
        <f>_xlfn.LET(
  _xlpm.result, 1-((Main[[#This Row],[Cost]]+Main[[#This Row],[Duties]]+Main[[#This Row],[Transport]])/((Main[[#This Row],[Precio]]*0.96))),
  IF(_xlpm.result&lt;0, "BAJO", IF(_xlpm.result&gt;1, "ALTO", _xlpm.result))
)</f>
        <v>0.23098434004474266</v>
      </c>
      <c r="K23" s="131">
        <v>1.49</v>
      </c>
      <c r="L23" s="360" cm="1">
        <f t="array" aca="1" ref="L2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3" s="152">
        <f>Guias!$B$3</f>
        <v>46310</v>
      </c>
      <c r="N23" s="216">
        <f>ROUNDUP((Main[[#This Row],[Cost]]*Main[[#This Row],[Import Duties]]),2)</f>
        <v>0.08</v>
      </c>
      <c r="O23">
        <v>0</v>
      </c>
      <c r="P23">
        <v>1</v>
      </c>
      <c r="Q23">
        <v>0</v>
      </c>
      <c r="R23" s="217">
        <f>ROUNDUP(Main[[#This Row],[Transport2]]/Main[[#This Row],[Cantidad_Min]],2)</f>
        <v>0.52</v>
      </c>
      <c r="S23">
        <f>_xlfn.XLOOKUP(Main[[#This Row],[Type of Box]], Cajas[Nombre], Cajas[Largo])</f>
        <v>105</v>
      </c>
      <c r="T23">
        <f>_xlfn.XLOOKUP(Main[[#This Row],[Type of Box]], Cajas[Nombre], Cajas[Ancho])</f>
        <v>17</v>
      </c>
      <c r="U23">
        <f>_xlfn.XLOOKUP(Main[[#This Row],[Type of Box]], Cajas[Nombre], Cajas[Alto])</f>
        <v>17</v>
      </c>
      <c r="V2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3">
        <f>ROUNDUP(((Main[[#This Row],[Volumen]]*5.25))*1.36,2)</f>
        <v>36.119999999999997</v>
      </c>
      <c r="X23" s="219">
        <v>0.15859999999999999</v>
      </c>
      <c r="Y23" s="361">
        <f>Main[[#This Row],[Cantidad_Min]]*Main[[#This Row],[Precio]]*Main[[#This Row],[Qty]]</f>
        <v>521.5</v>
      </c>
      <c r="Z23">
        <f>_xlfn.XLOOKUP(Main[[#This Row],[Finca]], Fincas[Nombre], Fincas[ID])</f>
        <v>43</v>
      </c>
      <c r="AA23" t="str" cm="1">
        <f t="array" ref="AA2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mcabrera,mcabrera,</v>
      </c>
      <c r="AB23" s="2" t="s">
        <v>33</v>
      </c>
      <c r="AC23" s="5"/>
      <c r="AD23" s="224" t="s">
        <v>67</v>
      </c>
    </row>
    <row r="24" spans="1:30" ht="15.75" thickBot="1" x14ac:dyDescent="0.3">
      <c r="A24" s="336" t="s">
        <v>68</v>
      </c>
      <c r="B24" s="337">
        <v>5</v>
      </c>
      <c r="C24" s="337" t="s">
        <v>69</v>
      </c>
      <c r="D24" s="336">
        <v>140</v>
      </c>
      <c r="E24" s="338">
        <v>140</v>
      </c>
      <c r="F24" s="338" t="s">
        <v>70</v>
      </c>
      <c r="G24" s="338" t="str">
        <f>"Assorted Colors " &amp; _xlfn.XLOOKUP(Main[[#This Row],[FechaEntrega]], Guias[Fecha], Guias[Llegada])</f>
        <v>Assorted Colors (W/T)</v>
      </c>
      <c r="H24" s="1" t="s">
        <v>934</v>
      </c>
      <c r="I24" s="339">
        <v>0.2</v>
      </c>
      <c r="J24" s="340">
        <f>_xlfn.LET(
  _xlpm.result, 1-((Main[[#This Row],[Cost]]+Main[[#This Row],[Duties]]+Main[[#This Row],[Transport]])/((Main[[#This Row],[Precio]]*0.96))),
  IF(_xlpm.result&lt;0, "BAJO", IF(_xlpm.result&gt;1, "ALTO", _xlpm.result))
)</f>
        <v>0.25595238095238093</v>
      </c>
      <c r="K24" s="341">
        <v>1.19</v>
      </c>
      <c r="L24" s="342" cm="1">
        <f t="array" aca="1" ref="L2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16978</v>
      </c>
      <c r="M24" s="343">
        <f>Guias!$B$4</f>
        <v>46311</v>
      </c>
      <c r="N24" s="344">
        <f>ROUNDUP((Main[[#This Row],[Cost]]*Main[[#This Row],[Import Duties]]),2)</f>
        <v>0.04</v>
      </c>
      <c r="O24" s="338">
        <v>0</v>
      </c>
      <c r="P24" s="338">
        <v>1</v>
      </c>
      <c r="Q24" s="338">
        <v>0</v>
      </c>
      <c r="R24" s="345">
        <f>ROUNDUP(Main[[#This Row],[Transport2]]/Main[[#This Row],[Cantidad_Min]],2)</f>
        <v>0.61</v>
      </c>
      <c r="S24" s="338">
        <f>_xlfn.XLOOKUP(Main[[#This Row],[Type of Box]], Cajas[Nombre], Cajas[Largo])</f>
        <v>85</v>
      </c>
      <c r="T24" s="338">
        <f>_xlfn.XLOOKUP(Main[[#This Row],[Type of Box]], Cajas[Nombre], Cajas[Ancho])</f>
        <v>30</v>
      </c>
      <c r="U24" s="338">
        <f>_xlfn.XLOOKUP(Main[[#This Row],[Type of Box]], Cajas[Nombre], Cajas[Alto])</f>
        <v>28</v>
      </c>
      <c r="V24" s="33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11.9</v>
      </c>
      <c r="W24" s="338">
        <f>ROUNDUP(((Main[[#This Row],[Volumen]]*5.25))*1.36,2)</f>
        <v>84.97</v>
      </c>
      <c r="X24" s="346">
        <v>0.15859999999999999</v>
      </c>
      <c r="Y24" s="347">
        <f>Main[[#This Row],[Cantidad_Min]]*Main[[#This Row],[Precio]]*Main[[#This Row],[Qty]]</f>
        <v>833</v>
      </c>
      <c r="Z24" s="338">
        <f>_xlfn.XLOOKUP(Main[[#This Row],[Finca]], Fincas[Nombre], Fincas[ID])</f>
        <v>98</v>
      </c>
      <c r="AA24" s="338" t="str" cm="1">
        <f t="array" ref="AA2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4" s="268" t="s">
        <v>33</v>
      </c>
      <c r="AC24" s="411"/>
      <c r="AD24" s="348"/>
    </row>
    <row r="25" spans="1:30" ht="15.75" thickBot="1" x14ac:dyDescent="0.3">
      <c r="A25" s="33" t="s">
        <v>71</v>
      </c>
      <c r="B25" s="153">
        <v>2</v>
      </c>
      <c r="C25" s="153" t="s">
        <v>35</v>
      </c>
      <c r="D25" s="33">
        <v>100</v>
      </c>
      <c r="E25">
        <v>100</v>
      </c>
      <c r="F25" t="s">
        <v>72</v>
      </c>
      <c r="G25" t="str">
        <f>"50 Catalina/50 Sweet Catalina " &amp; _xlfn.XLOOKUP(Main[[#This Row],[FechaEntrega]], Guias[Fecha], Guias[Llegada])</f>
        <v>50 Catalina/50 Sweet Catalina (T/W)</v>
      </c>
      <c r="H25" s="1" t="s">
        <v>935</v>
      </c>
      <c r="I25" s="235">
        <v>0.65</v>
      </c>
      <c r="J25" s="69">
        <f>_xlfn.LET(
  _xlpm.result, 1-((Main[[#This Row],[Cost]]+Main[[#This Row],[Duties]]+Main[[#This Row],[Transport]])/((Main[[#This Row],[Precio]]*0.96))),
  IF(_xlpm.result&lt;0, "BAJO", IF(_xlpm.result&gt;1, "ALTO", _xlpm.result))
)</f>
        <v>0.25641891891891888</v>
      </c>
      <c r="K25" s="131">
        <v>1.9892473118279568</v>
      </c>
      <c r="L25" s="360" cm="1">
        <f t="array" aca="1" ref="L2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5" s="152">
        <f>Guias!$B$3</f>
        <v>46310</v>
      </c>
      <c r="N25" s="216">
        <f>ROUNDUP((Main[[#This Row],[Cost]]*Main[[#This Row],[Import Duties]]),2)</f>
        <v>0.11</v>
      </c>
      <c r="O25">
        <v>0</v>
      </c>
      <c r="P25">
        <v>1</v>
      </c>
      <c r="Q25">
        <v>0</v>
      </c>
      <c r="R25" s="217">
        <f>ROUNDUP(Main[[#This Row],[Transport2]]/Main[[#This Row],[Cantidad_Min]],2)</f>
        <v>0.66</v>
      </c>
      <c r="S25">
        <f>_xlfn.XLOOKUP(Main[[#This Row],[Type of Box]], Cajas[Nombre], Cajas[Largo])</f>
        <v>99</v>
      </c>
      <c r="T25">
        <f>_xlfn.XLOOKUP(Main[[#This Row],[Type of Box]], Cajas[Nombre], Cajas[Ancho])</f>
        <v>35</v>
      </c>
      <c r="U25">
        <f>_xlfn.XLOOKUP(Main[[#This Row],[Type of Box]], Cajas[Nombre], Cajas[Alto])</f>
        <v>16</v>
      </c>
      <c r="V2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5">
        <f>ROUNDUP(((Main[[#This Row],[Volumen]]*5.25))*1.36,2)</f>
        <v>65.98</v>
      </c>
      <c r="X25" s="219">
        <v>0.15859999999999999</v>
      </c>
      <c r="Y25" s="361">
        <f>Main[[#This Row],[Cantidad_Min]]*Main[[#This Row],[Precio]]*Main[[#This Row],[Qty]]</f>
        <v>397.84946236559136</v>
      </c>
      <c r="Z25">
        <f>_xlfn.XLOOKUP(Main[[#This Row],[Finca]], Fincas[Nombre], Fincas[ID])</f>
        <v>106</v>
      </c>
      <c r="AA25" t="str" cm="1">
        <f t="array" ref="AA2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5" s="2" t="s">
        <v>33</v>
      </c>
      <c r="AC25" s="249"/>
      <c r="AD25" s="382"/>
    </row>
    <row r="26" spans="1:30" x14ac:dyDescent="0.25">
      <c r="A26" s="349" t="s">
        <v>73</v>
      </c>
      <c r="B26" s="350">
        <v>2</v>
      </c>
      <c r="C26" s="350" t="s">
        <v>31</v>
      </c>
      <c r="D26" s="349">
        <v>8</v>
      </c>
      <c r="E26" s="351">
        <v>8</v>
      </c>
      <c r="F26" s="351" t="s">
        <v>74</v>
      </c>
      <c r="G26" s="228" t="s">
        <v>75</v>
      </c>
      <c r="H26" s="1" t="s">
        <v>936</v>
      </c>
      <c r="I26" s="352">
        <v>2.2999999999999998</v>
      </c>
      <c r="J26" s="286">
        <f>_xlfn.LET(
  _xlpm.result, 1-((Main[[#This Row],[Cost]]+Main[[#This Row],[Duties]]+Main[[#This Row],[Transport]])/((Main[[#This Row],[Precio]]*0.96))),
  IF(_xlpm.result&lt;0, "BAJO", IF(_xlpm.result&gt;1, "ALTO", _xlpm.result))
)</f>
        <v>0.2023872914447995</v>
      </c>
      <c r="K26" s="239">
        <v>9.39</v>
      </c>
      <c r="L26" s="353" cm="1">
        <f t="array" aca="1" ref="L2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26" s="354">
        <f>Guias!$B$7</f>
        <v>46314</v>
      </c>
      <c r="N26" s="355">
        <f>ROUNDUP((Main[[#This Row],[Cost]]*Main[[#This Row],[Import Duties]]),2)</f>
        <v>0.37</v>
      </c>
      <c r="O26" s="228">
        <v>0</v>
      </c>
      <c r="P26" s="228">
        <v>1</v>
      </c>
      <c r="Q26" s="228">
        <v>0</v>
      </c>
      <c r="R26" s="356">
        <f>ROUNDUP(Main[[#This Row],[Transport2]]/Main[[#This Row],[Cantidad_Min]],2)</f>
        <v>4.5199999999999996</v>
      </c>
      <c r="S26" s="228">
        <f>_xlfn.XLOOKUP(Main[[#This Row],[Type of Box]], Cajas[Nombre], Cajas[Largo])</f>
        <v>105</v>
      </c>
      <c r="T26" s="228">
        <f>_xlfn.XLOOKUP(Main[[#This Row],[Type of Box]], Cajas[Nombre], Cajas[Ancho])</f>
        <v>17</v>
      </c>
      <c r="U26" s="228">
        <f>_xlfn.XLOOKUP(Main[[#This Row],[Type of Box]], Cajas[Nombre], Cajas[Alto])</f>
        <v>17</v>
      </c>
      <c r="V26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6" s="228">
        <f>ROUNDUP(((Main[[#This Row],[Volumen]]*5.25))*1.36,2)</f>
        <v>36.119999999999997</v>
      </c>
      <c r="X26" s="357">
        <v>0.15859999999999999</v>
      </c>
      <c r="Y26" s="358">
        <f>Main[[#This Row],[Cantidad_Min]]*Main[[#This Row],[Precio]]*Main[[#This Row],[Qty]]</f>
        <v>150.24</v>
      </c>
      <c r="Z26" s="228">
        <f>_xlfn.XLOOKUP(Main[[#This Row],[Finca]], Fincas[Nombre], Fincas[ID])</f>
        <v>74</v>
      </c>
      <c r="AA26" s="228" t="str" cm="1">
        <f t="array" ref="AA2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6" s="18" t="s">
        <v>33</v>
      </c>
      <c r="AC26" s="379"/>
      <c r="AD26" s="228" t="s">
        <v>76</v>
      </c>
    </row>
    <row r="27" spans="1:30" x14ac:dyDescent="0.25">
      <c r="A27" s="385" t="s">
        <v>73</v>
      </c>
      <c r="B27" s="386">
        <v>1</v>
      </c>
      <c r="C27" s="386" t="s">
        <v>31</v>
      </c>
      <c r="D27" s="385">
        <v>70</v>
      </c>
      <c r="E27" s="387">
        <v>70</v>
      </c>
      <c r="F27" s="387" t="s">
        <v>62</v>
      </c>
      <c r="G27" t="s">
        <v>77</v>
      </c>
      <c r="H27" s="1" t="s">
        <v>937</v>
      </c>
      <c r="I27" s="235">
        <v>0.41</v>
      </c>
      <c r="J27" s="69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27" s="131">
        <v>1.49</v>
      </c>
      <c r="L27" s="360" cm="1">
        <f t="array" aca="1" ref="L2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27" s="152">
        <f>Guias!$B$7</f>
        <v>46314</v>
      </c>
      <c r="N27" s="216">
        <f>ROUNDUP((Main[[#This Row],[Cost]]*Main[[#This Row],[Import Duties]]),2)</f>
        <v>6.9999999999999993E-2</v>
      </c>
      <c r="O27">
        <v>0</v>
      </c>
      <c r="P27">
        <v>1</v>
      </c>
      <c r="Q27">
        <v>0</v>
      </c>
      <c r="R27" s="217">
        <f>ROUNDUP(Main[[#This Row],[Transport2]]/Main[[#This Row],[Cantidad_Min]],2)</f>
        <v>0.52</v>
      </c>
      <c r="S27">
        <f>_xlfn.XLOOKUP(Main[[#This Row],[Type of Box]], Cajas[Nombre], Cajas[Largo])</f>
        <v>105</v>
      </c>
      <c r="T27">
        <f>_xlfn.XLOOKUP(Main[[#This Row],[Type of Box]], Cajas[Nombre], Cajas[Ancho])</f>
        <v>17</v>
      </c>
      <c r="U27">
        <f>_xlfn.XLOOKUP(Main[[#This Row],[Type of Box]], Cajas[Nombre], Cajas[Alto])</f>
        <v>17</v>
      </c>
      <c r="V2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7">
        <f>ROUNDUP(((Main[[#This Row],[Volumen]]*5.25))*1.36,2)</f>
        <v>36.119999999999997</v>
      </c>
      <c r="X27" s="219">
        <v>0.15859999999999999</v>
      </c>
      <c r="Y27" s="361">
        <f>Main[[#This Row],[Cantidad_Min]]*Main[[#This Row],[Precio]]*Main[[#This Row],[Qty]]</f>
        <v>104.3</v>
      </c>
      <c r="Z27">
        <f>_xlfn.XLOOKUP(Main[[#This Row],[Finca]], Fincas[Nombre], Fincas[ID])</f>
        <v>74</v>
      </c>
      <c r="AA27" t="str" cm="1">
        <f t="array" ref="AA2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27" s="2" t="s">
        <v>33</v>
      </c>
      <c r="AC27" s="31"/>
      <c r="AD27" t="s">
        <v>64</v>
      </c>
    </row>
    <row r="28" spans="1:30" x14ac:dyDescent="0.25">
      <c r="A28" s="385" t="s">
        <v>73</v>
      </c>
      <c r="B28" s="386">
        <v>1</v>
      </c>
      <c r="C28" s="386" t="s">
        <v>31</v>
      </c>
      <c r="D28" s="385">
        <v>70</v>
      </c>
      <c r="E28" s="387">
        <v>70</v>
      </c>
      <c r="F28" s="387" t="s">
        <v>62</v>
      </c>
      <c r="G28" t="s">
        <v>78</v>
      </c>
      <c r="H28" s="1" t="s">
        <v>938</v>
      </c>
      <c r="I28" s="235">
        <v>0.41</v>
      </c>
      <c r="J28" s="69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28" s="131">
        <v>1.49</v>
      </c>
      <c r="L28" s="360" cm="1">
        <f t="array" aca="1" ref="L2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28" s="152">
        <f>Guias!$B$7</f>
        <v>46314</v>
      </c>
      <c r="N28" s="216">
        <f>ROUNDUP((Main[[#This Row],[Cost]]*Main[[#This Row],[Import Duties]]),2)</f>
        <v>6.9999999999999993E-2</v>
      </c>
      <c r="O28">
        <v>0</v>
      </c>
      <c r="P28">
        <v>1</v>
      </c>
      <c r="Q28">
        <v>0</v>
      </c>
      <c r="R28" s="217">
        <f>ROUNDUP(Main[[#This Row],[Transport2]]/Main[[#This Row],[Cantidad_Min]],2)</f>
        <v>0.52</v>
      </c>
      <c r="S28">
        <f>_xlfn.XLOOKUP(Main[[#This Row],[Type of Box]], Cajas[Nombre], Cajas[Largo])</f>
        <v>105</v>
      </c>
      <c r="T28">
        <f>_xlfn.XLOOKUP(Main[[#This Row],[Type of Box]], Cajas[Nombre], Cajas[Ancho])</f>
        <v>17</v>
      </c>
      <c r="U28">
        <f>_xlfn.XLOOKUP(Main[[#This Row],[Type of Box]], Cajas[Nombre], Cajas[Alto])</f>
        <v>17</v>
      </c>
      <c r="V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8">
        <f>ROUNDUP(((Main[[#This Row],[Volumen]]*5.25))*1.36,2)</f>
        <v>36.119999999999997</v>
      </c>
      <c r="X28" s="219">
        <v>0.15859999999999999</v>
      </c>
      <c r="Y28" s="361">
        <f>Main[[#This Row],[Cantidad_Min]]*Main[[#This Row],[Precio]]*Main[[#This Row],[Qty]]</f>
        <v>104.3</v>
      </c>
      <c r="Z28">
        <f>_xlfn.XLOOKUP(Main[[#This Row],[Finca]], Fincas[Nombre], Fincas[ID])</f>
        <v>74</v>
      </c>
      <c r="AA28" t="str" cm="1">
        <f t="array" ref="AA2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28" s="2" t="s">
        <v>33</v>
      </c>
      <c r="AC28" s="31"/>
      <c r="AD28" t="s">
        <v>79</v>
      </c>
    </row>
    <row r="29" spans="1:30" x14ac:dyDescent="0.25">
      <c r="A29" s="385" t="s">
        <v>73</v>
      </c>
      <c r="B29" s="386">
        <v>1</v>
      </c>
      <c r="C29" s="386" t="s">
        <v>31</v>
      </c>
      <c r="D29" s="385">
        <v>70</v>
      </c>
      <c r="E29" s="387">
        <v>70</v>
      </c>
      <c r="F29" s="387" t="s">
        <v>62</v>
      </c>
      <c r="G29" t="s">
        <v>78</v>
      </c>
      <c r="H29" s="1" t="s">
        <v>939</v>
      </c>
      <c r="I29" s="235">
        <v>0.41</v>
      </c>
      <c r="J29" s="69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29" s="131">
        <v>1.49</v>
      </c>
      <c r="L29" s="360" cm="1">
        <f t="array" aca="1" ref="L2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29" s="152">
        <f>Guias!$B$7</f>
        <v>46314</v>
      </c>
      <c r="N29" s="216">
        <f>ROUNDUP((Main[[#This Row],[Cost]]*Main[[#This Row],[Import Duties]]),2)</f>
        <v>6.9999999999999993E-2</v>
      </c>
      <c r="O29">
        <v>0</v>
      </c>
      <c r="P29">
        <v>1</v>
      </c>
      <c r="Q29">
        <v>0</v>
      </c>
      <c r="R29" s="217">
        <f>ROUNDUP(Main[[#This Row],[Transport2]]/Main[[#This Row],[Cantidad_Min]],2)</f>
        <v>0.52</v>
      </c>
      <c r="S29">
        <f>_xlfn.XLOOKUP(Main[[#This Row],[Type of Box]], Cajas[Nombre], Cajas[Largo])</f>
        <v>105</v>
      </c>
      <c r="T29">
        <f>_xlfn.XLOOKUP(Main[[#This Row],[Type of Box]], Cajas[Nombre], Cajas[Ancho])</f>
        <v>17</v>
      </c>
      <c r="U29">
        <f>_xlfn.XLOOKUP(Main[[#This Row],[Type of Box]], Cajas[Nombre], Cajas[Alto])</f>
        <v>17</v>
      </c>
      <c r="V2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9">
        <f>ROUNDUP(((Main[[#This Row],[Volumen]]*5.25))*1.36,2)</f>
        <v>36.119999999999997</v>
      </c>
      <c r="X29" s="219">
        <v>0.15859999999999999</v>
      </c>
      <c r="Y29" s="361">
        <f>Main[[#This Row],[Cantidad_Min]]*Main[[#This Row],[Precio]]*Main[[#This Row],[Qty]]</f>
        <v>104.3</v>
      </c>
      <c r="Z29">
        <f>_xlfn.XLOOKUP(Main[[#This Row],[Finca]], Fincas[Nombre], Fincas[ID])</f>
        <v>74</v>
      </c>
      <c r="AA29" t="str" cm="1">
        <f t="array" ref="AA2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29" s="2" t="s">
        <v>33</v>
      </c>
      <c r="AC29" s="31"/>
      <c r="AD29" t="s">
        <v>79</v>
      </c>
    </row>
    <row r="30" spans="1:30" x14ac:dyDescent="0.25">
      <c r="A30" s="385" t="s">
        <v>73</v>
      </c>
      <c r="B30" s="386">
        <v>1</v>
      </c>
      <c r="C30" s="386" t="s">
        <v>31</v>
      </c>
      <c r="D30" s="385">
        <v>70</v>
      </c>
      <c r="E30" s="387">
        <v>70</v>
      </c>
      <c r="F30" s="387" t="s">
        <v>80</v>
      </c>
      <c r="G30" t="str">
        <f>"40 White/30 Lavender " &amp; _xlfn.XLOOKUP(Main[[#This Row],[FechaEntrega]], Guias[Fecha], Guias[Llegada])</f>
        <v>40 White/30 Lavender (T/W)</v>
      </c>
      <c r="H30" s="1" t="s">
        <v>940</v>
      </c>
      <c r="I30" s="235">
        <v>0.45</v>
      </c>
      <c r="J30" s="69">
        <f>_xlfn.LET(
  _xlpm.result, 1-((Main[[#This Row],[Cost]]+Main[[#This Row],[Duties]]+Main[[#This Row],[Transport]])/((Main[[#This Row],[Precio]]*0.96))),
  IF(_xlpm.result&lt;0, "BAJO", IF(_xlpm.result&gt;1, "ALTO", _xlpm.result))
)</f>
        <v>0.21312949640287759</v>
      </c>
      <c r="K30" s="131">
        <v>1.39</v>
      </c>
      <c r="L30" s="360" cm="1">
        <f t="array" aca="1" ref="L3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0" s="152">
        <f>Guias!$B$3</f>
        <v>46310</v>
      </c>
      <c r="N30" s="216">
        <f>ROUNDUP((Main[[#This Row],[Cost]]*Main[[#This Row],[Import Duties]]),2)</f>
        <v>0.08</v>
      </c>
      <c r="O30">
        <v>0</v>
      </c>
      <c r="P30">
        <v>1</v>
      </c>
      <c r="Q30">
        <v>0</v>
      </c>
      <c r="R30" s="217">
        <f>ROUNDUP(Main[[#This Row],[Transport2]]/Main[[#This Row],[Cantidad_Min]],2)</f>
        <v>0.52</v>
      </c>
      <c r="S30">
        <f>_xlfn.XLOOKUP(Main[[#This Row],[Type of Box]], Cajas[Nombre], Cajas[Largo])</f>
        <v>105</v>
      </c>
      <c r="T30">
        <f>_xlfn.XLOOKUP(Main[[#This Row],[Type of Box]], Cajas[Nombre], Cajas[Ancho])</f>
        <v>17</v>
      </c>
      <c r="U30">
        <f>_xlfn.XLOOKUP(Main[[#This Row],[Type of Box]], Cajas[Nombre], Cajas[Alto])</f>
        <v>17</v>
      </c>
      <c r="V3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0">
        <f>ROUNDUP(((Main[[#This Row],[Volumen]]*5.25))*1.36,2)</f>
        <v>36.119999999999997</v>
      </c>
      <c r="X30" s="219">
        <v>0.15859999999999999</v>
      </c>
      <c r="Y30" s="361">
        <f>Main[[#This Row],[Cantidad_Min]]*Main[[#This Row],[Precio]]*Main[[#This Row],[Qty]]</f>
        <v>97.3</v>
      </c>
      <c r="Z30">
        <f>_xlfn.XLOOKUP(Main[[#This Row],[Finca]], Fincas[Nombre], Fincas[ID])</f>
        <v>74</v>
      </c>
      <c r="AA30" t="str" cm="1">
        <f t="array" ref="AA3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30" s="2" t="s">
        <v>33</v>
      </c>
      <c r="AC30" s="5"/>
      <c r="AD30" s="224" t="s">
        <v>81</v>
      </c>
    </row>
    <row r="31" spans="1:30" x14ac:dyDescent="0.25">
      <c r="A31" s="385" t="s">
        <v>73</v>
      </c>
      <c r="B31" s="386">
        <v>3</v>
      </c>
      <c r="C31" s="386" t="s">
        <v>31</v>
      </c>
      <c r="D31" s="385">
        <v>70</v>
      </c>
      <c r="E31" s="387">
        <v>70</v>
      </c>
      <c r="F31" s="387" t="s">
        <v>80</v>
      </c>
      <c r="G31" t="str">
        <f>"40 White/30 Lavender " &amp; _xlfn.XLOOKUP(Main[[#This Row],[FechaEntrega]], Guias[Fecha], Guias[Llegada])</f>
        <v>40 White/30 Lavender (T/W)</v>
      </c>
      <c r="H31" s="1" t="s">
        <v>941</v>
      </c>
      <c r="I31" s="235">
        <v>0.45</v>
      </c>
      <c r="J31" s="69">
        <f>_xlfn.LET(
  _xlpm.result, 1-((Main[[#This Row],[Cost]]+Main[[#This Row],[Duties]]+Main[[#This Row],[Transport]])/((Main[[#This Row],[Precio]]*0.96))),
  IF(_xlpm.result&lt;0, "BAJO", IF(_xlpm.result&gt;1, "ALTO", _xlpm.result))
)</f>
        <v>0.26593959731543615</v>
      </c>
      <c r="K31" s="131">
        <v>1.49</v>
      </c>
      <c r="L31" s="360" cm="1">
        <f t="array" aca="1" ref="L3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1" s="152">
        <f>Guias!$B$3</f>
        <v>46310</v>
      </c>
      <c r="N31" s="216">
        <f>ROUNDUP((Main[[#This Row],[Cost]]*Main[[#This Row],[Import Duties]]),2)</f>
        <v>0.08</v>
      </c>
      <c r="O31">
        <v>0</v>
      </c>
      <c r="P31">
        <v>1</v>
      </c>
      <c r="Q31">
        <v>0</v>
      </c>
      <c r="R31" s="217">
        <f>ROUNDUP(Main[[#This Row],[Transport2]]/Main[[#This Row],[Cantidad_Min]],2)</f>
        <v>0.52</v>
      </c>
      <c r="S31">
        <f>_xlfn.XLOOKUP(Main[[#This Row],[Type of Box]], Cajas[Nombre], Cajas[Largo])</f>
        <v>105</v>
      </c>
      <c r="T31">
        <f>_xlfn.XLOOKUP(Main[[#This Row],[Type of Box]], Cajas[Nombre], Cajas[Ancho])</f>
        <v>17</v>
      </c>
      <c r="U31">
        <f>_xlfn.XLOOKUP(Main[[#This Row],[Type of Box]], Cajas[Nombre], Cajas[Alto])</f>
        <v>17</v>
      </c>
      <c r="V3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1">
        <f>ROUNDUP(((Main[[#This Row],[Volumen]]*5.25))*1.36,2)</f>
        <v>36.119999999999997</v>
      </c>
      <c r="X31" s="219">
        <v>0.15859999999999999</v>
      </c>
      <c r="Y31" s="361">
        <f>Main[[#This Row],[Cantidad_Min]]*Main[[#This Row],[Precio]]*Main[[#This Row],[Qty]]</f>
        <v>312.89999999999998</v>
      </c>
      <c r="Z31">
        <f>_xlfn.XLOOKUP(Main[[#This Row],[Finca]], Fincas[Nombre], Fincas[ID])</f>
        <v>74</v>
      </c>
      <c r="AA31" t="str" cm="1">
        <f t="array" ref="AA3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jochoa,jochoa,jochoa,</v>
      </c>
      <c r="AB31" s="2" t="s">
        <v>33</v>
      </c>
      <c r="AC31" s="5"/>
      <c r="AD31" s="224" t="s">
        <v>82</v>
      </c>
    </row>
    <row r="32" spans="1:30" x14ac:dyDescent="0.25">
      <c r="A32" s="385" t="s">
        <v>73</v>
      </c>
      <c r="B32" s="386">
        <v>1</v>
      </c>
      <c r="C32" s="386" t="s">
        <v>31</v>
      </c>
      <c r="D32" s="385">
        <v>70</v>
      </c>
      <c r="E32" s="387">
        <v>70</v>
      </c>
      <c r="F32" s="387" t="s">
        <v>80</v>
      </c>
      <c r="G32" t="str">
        <f>"Seawaltz/Skywaltz " &amp; _xlfn.XLOOKUP(Main[[#This Row],[FechaEntrega]], Guias[Fecha], Guias[Llegada])</f>
        <v>Seawaltz/Skywaltz (T/W)</v>
      </c>
      <c r="H32" s="1" t="s">
        <v>942</v>
      </c>
      <c r="I32" s="235">
        <v>0.41</v>
      </c>
      <c r="J32" s="69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32" s="131">
        <v>1.39</v>
      </c>
      <c r="L32" s="360" cm="1">
        <f t="array" aca="1" ref="L3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2" s="152">
        <f>Guias!$B$3</f>
        <v>46310</v>
      </c>
      <c r="N32" s="216">
        <f>ROUNDUP((Main[[#This Row],[Cost]]*Main[[#This Row],[Import Duties]]),2)</f>
        <v>6.9999999999999993E-2</v>
      </c>
      <c r="O32">
        <v>0</v>
      </c>
      <c r="P32">
        <v>1</v>
      </c>
      <c r="Q32">
        <v>0</v>
      </c>
      <c r="R32" s="217">
        <f>ROUNDUP(Main[[#This Row],[Transport2]]/Main[[#This Row],[Cantidad_Min]],2)</f>
        <v>0.52</v>
      </c>
      <c r="S32">
        <f>_xlfn.XLOOKUP(Main[[#This Row],[Type of Box]], Cajas[Nombre], Cajas[Largo])</f>
        <v>105</v>
      </c>
      <c r="T32">
        <f>_xlfn.XLOOKUP(Main[[#This Row],[Type of Box]], Cajas[Nombre], Cajas[Ancho])</f>
        <v>17</v>
      </c>
      <c r="U32">
        <f>_xlfn.XLOOKUP(Main[[#This Row],[Type of Box]], Cajas[Nombre], Cajas[Alto])</f>
        <v>17</v>
      </c>
      <c r="V3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2">
        <f>ROUNDUP(((Main[[#This Row],[Volumen]]*5.25))*1.36,2)</f>
        <v>36.119999999999997</v>
      </c>
      <c r="X32" s="219">
        <v>0.15859999999999999</v>
      </c>
      <c r="Y32" s="361">
        <f>Main[[#This Row],[Cantidad_Min]]*Main[[#This Row],[Precio]]*Main[[#This Row],[Qty]]</f>
        <v>97.3</v>
      </c>
      <c r="Z32">
        <f>_xlfn.XLOOKUP(Main[[#This Row],[Finca]], Fincas[Nombre], Fincas[ID])</f>
        <v>74</v>
      </c>
      <c r="AA32" t="str" cm="1">
        <f t="array" ref="AA3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32" s="2" t="s">
        <v>33</v>
      </c>
      <c r="AC32" s="5"/>
      <c r="AD32" s="224" t="s">
        <v>81</v>
      </c>
    </row>
    <row r="33" spans="1:30" x14ac:dyDescent="0.25">
      <c r="A33" s="385" t="s">
        <v>73</v>
      </c>
      <c r="B33" s="386">
        <v>1</v>
      </c>
      <c r="C33" s="386" t="s">
        <v>31</v>
      </c>
      <c r="D33" s="385">
        <v>70</v>
      </c>
      <c r="E33" s="387">
        <v>70</v>
      </c>
      <c r="F33" s="387" t="s">
        <v>80</v>
      </c>
      <c r="G33" t="str">
        <f>"Seawaltz/Skywaltz " &amp; _xlfn.XLOOKUP(Main[[#This Row],[FechaEntrega]], Guias[Fecha], Guias[Llegada])</f>
        <v>Seawaltz/Skywaltz (T/W)</v>
      </c>
      <c r="H33" s="1" t="s">
        <v>943</v>
      </c>
      <c r="I33" s="235">
        <v>0.41</v>
      </c>
      <c r="J33" s="69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33" s="131">
        <v>1.49</v>
      </c>
      <c r="L33" s="360" cm="1">
        <f t="array" aca="1" ref="L3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3" s="152">
        <f>Guias!$B$3</f>
        <v>46310</v>
      </c>
      <c r="N33" s="216">
        <f>ROUNDUP((Main[[#This Row],[Cost]]*Main[[#This Row],[Import Duties]]),2)</f>
        <v>6.9999999999999993E-2</v>
      </c>
      <c r="O33">
        <v>0</v>
      </c>
      <c r="P33">
        <v>1</v>
      </c>
      <c r="Q33">
        <v>0</v>
      </c>
      <c r="R33" s="217">
        <f>ROUNDUP(Main[[#This Row],[Transport2]]/Main[[#This Row],[Cantidad_Min]],2)</f>
        <v>0.52</v>
      </c>
      <c r="S33">
        <f>_xlfn.XLOOKUP(Main[[#This Row],[Type of Box]], Cajas[Nombre], Cajas[Largo])</f>
        <v>105</v>
      </c>
      <c r="T33">
        <f>_xlfn.XLOOKUP(Main[[#This Row],[Type of Box]], Cajas[Nombre], Cajas[Ancho])</f>
        <v>17</v>
      </c>
      <c r="U33">
        <f>_xlfn.XLOOKUP(Main[[#This Row],[Type of Box]], Cajas[Nombre], Cajas[Alto])</f>
        <v>17</v>
      </c>
      <c r="V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3">
        <f>ROUNDUP(((Main[[#This Row],[Volumen]]*5.25))*1.36,2)</f>
        <v>36.119999999999997</v>
      </c>
      <c r="X33" s="219">
        <v>0.15859999999999999</v>
      </c>
      <c r="Y33" s="361">
        <f>Main[[#This Row],[Cantidad_Min]]*Main[[#This Row],[Precio]]*Main[[#This Row],[Qty]]</f>
        <v>104.3</v>
      </c>
      <c r="Z33">
        <f>_xlfn.XLOOKUP(Main[[#This Row],[Finca]], Fincas[Nombre], Fincas[ID])</f>
        <v>74</v>
      </c>
      <c r="AA33" t="str" cm="1">
        <f t="array" ref="AA3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33" s="2" t="s">
        <v>33</v>
      </c>
      <c r="AC33" s="5"/>
      <c r="AD33" s="224" t="s">
        <v>83</v>
      </c>
    </row>
    <row r="34" spans="1:30" x14ac:dyDescent="0.25">
      <c r="A34" s="401" t="s">
        <v>73</v>
      </c>
      <c r="B34" s="402">
        <v>1</v>
      </c>
      <c r="C34" s="402" t="s">
        <v>31</v>
      </c>
      <c r="D34" s="401">
        <v>70</v>
      </c>
      <c r="E34" s="401">
        <v>70</v>
      </c>
      <c r="F34" s="401" t="s">
        <v>80</v>
      </c>
      <c r="G34" t="str">
        <f>"Seawaltz/Skywaltz " &amp; _xlfn.XLOOKUP(Main[[#This Row],[FechaEntrega]], Guias[Fecha], Guias[Llegada])</f>
        <v>Seawaltz/Skywaltz (T/W)</v>
      </c>
      <c r="H34" s="1" t="s">
        <v>944</v>
      </c>
      <c r="I34" s="235">
        <v>0.41</v>
      </c>
      <c r="J34" s="69">
        <f>_xlfn.LET(
  _xlpm.result, 1-((Main[[#This Row],[Cost]]+Main[[#This Row],[Duties]]+Main[[#This Row],[Transport]])/((Main[[#This Row],[Precio]]*0.96))),
  IF(_xlpm.result&lt;0, "BAJO", IF(_xlpm.result&gt;1, "ALTO", _xlpm.result))
)</f>
        <v>0.30089485458612975</v>
      </c>
      <c r="K34" s="131">
        <f>IF(OR(AND(ISNUMBER(FIND("(*PAR)",
UPPER(Main[[#This Row],[Standing Orders]]))),
MOD(IFERROR(VALUE(Guias!$M$2),0),2)=0),
AND(ISNUMBER(FIND("(*IMPAR)",
UPPER(Main[[#This Row],[Standing Orders]]))),
MOD(IFERROR(VALUE(Guias!$M$2),
0),2)=1)), 1.49, 1.59)</f>
        <v>1.49</v>
      </c>
      <c r="L34" s="360" cm="1">
        <f t="array" aca="1" ref="L3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4" s="152">
        <f>Guias!$B$3</f>
        <v>46310</v>
      </c>
      <c r="N34" s="216">
        <f>ROUNDUP((Main[[#This Row],[Cost]]*Main[[#This Row],[Import Duties]]),2)</f>
        <v>6.9999999999999993E-2</v>
      </c>
      <c r="O34">
        <v>0</v>
      </c>
      <c r="P34">
        <v>1</v>
      </c>
      <c r="Q34">
        <v>0</v>
      </c>
      <c r="R34" s="217">
        <f>ROUNDUP(Main[[#This Row],[Transport2]]/Main[[#This Row],[Cantidad_Min]],2)</f>
        <v>0.52</v>
      </c>
      <c r="S34">
        <f>_xlfn.XLOOKUP(Main[[#This Row],[Type of Box]], Cajas[Nombre], Cajas[Largo])</f>
        <v>105</v>
      </c>
      <c r="T34">
        <f>_xlfn.XLOOKUP(Main[[#This Row],[Type of Box]], Cajas[Nombre], Cajas[Ancho])</f>
        <v>17</v>
      </c>
      <c r="U34">
        <f>_xlfn.XLOOKUP(Main[[#This Row],[Type of Box]], Cajas[Nombre], Cajas[Alto])</f>
        <v>17</v>
      </c>
      <c r="V3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4">
        <f>ROUNDUP(((Main[[#This Row],[Volumen]]*5.25))*1.36,2)</f>
        <v>36.119999999999997</v>
      </c>
      <c r="X34" s="219">
        <v>0.15859999999999999</v>
      </c>
      <c r="Y34" s="361">
        <f>Main[[#This Row],[Cantidad_Min]]*Main[[#This Row],[Precio]]*Main[[#This Row],[Qty]]</f>
        <v>104.3</v>
      </c>
      <c r="Z34">
        <f>_xlfn.XLOOKUP(Main[[#This Row],[Finca]], Fincas[Nombre], Fincas[ID])</f>
        <v>74</v>
      </c>
      <c r="AA34" t="str" cm="1">
        <f t="array" ref="AA3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34" s="2" t="s">
        <v>33</v>
      </c>
      <c r="AC34" s="5"/>
      <c r="AD34" s="224" t="s">
        <v>84</v>
      </c>
    </row>
    <row r="35" spans="1:30" ht="15.75" thickBot="1" x14ac:dyDescent="0.3">
      <c r="A35" s="362" t="s">
        <v>73</v>
      </c>
      <c r="B35" s="363">
        <v>3</v>
      </c>
      <c r="C35" s="363" t="s">
        <v>31</v>
      </c>
      <c r="D35" s="362">
        <v>8</v>
      </c>
      <c r="E35" s="233">
        <v>8</v>
      </c>
      <c r="F35" s="233" t="s">
        <v>74</v>
      </c>
      <c r="G35" s="233" t="s">
        <v>75</v>
      </c>
      <c r="H35" s="1" t="s">
        <v>945</v>
      </c>
      <c r="I35" s="364">
        <v>2.2999999999999998</v>
      </c>
      <c r="J35" s="293">
        <f>_xlfn.LET(
  _xlpm.result, 1-((Main[[#This Row],[Cost]]+Main[[#This Row],[Duties]]+Main[[#This Row],[Transport]])/((Main[[#This Row],[Precio]]*0.96))),
  IF(_xlpm.result&lt;0, "BAJO", IF(_xlpm.result&gt;1, "ALTO", _xlpm.result))
)</f>
        <v>0.2023872914447995</v>
      </c>
      <c r="K35" s="240">
        <v>9.39</v>
      </c>
      <c r="L35" s="365" cm="1">
        <f t="array" aca="1" ref="L3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35" s="366">
        <f>Guias!$B$7</f>
        <v>46314</v>
      </c>
      <c r="N35" s="367">
        <f>ROUNDUP((Main[[#This Row],[Cost]]*Main[[#This Row],[Import Duties]]),2)</f>
        <v>0.37</v>
      </c>
      <c r="O35" s="233">
        <v>0</v>
      </c>
      <c r="P35" s="233">
        <v>1</v>
      </c>
      <c r="Q35" s="233">
        <v>0</v>
      </c>
      <c r="R35" s="368">
        <f>ROUNDUP(Main[[#This Row],[Transport2]]/Main[[#This Row],[Cantidad_Min]],2)</f>
        <v>4.5199999999999996</v>
      </c>
      <c r="S35" s="233">
        <f>_xlfn.XLOOKUP(Main[[#This Row],[Type of Box]], Cajas[Nombre], Cajas[Largo])</f>
        <v>105</v>
      </c>
      <c r="T35" s="233">
        <f>_xlfn.XLOOKUP(Main[[#This Row],[Type of Box]], Cajas[Nombre], Cajas[Ancho])</f>
        <v>17</v>
      </c>
      <c r="U35" s="233">
        <f>_xlfn.XLOOKUP(Main[[#This Row],[Type of Box]], Cajas[Nombre], Cajas[Alto])</f>
        <v>17</v>
      </c>
      <c r="V35" s="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5" s="233">
        <f>ROUNDUP(((Main[[#This Row],[Volumen]]*5.25))*1.36,2)</f>
        <v>36.119999999999997</v>
      </c>
      <c r="X35" s="369">
        <v>0.15859999999999999</v>
      </c>
      <c r="Y35" s="370">
        <f>Main[[#This Row],[Cantidad_Min]]*Main[[#This Row],[Precio]]*Main[[#This Row],[Qty]]</f>
        <v>225.36</v>
      </c>
      <c r="Z35" s="233">
        <f>_xlfn.XLOOKUP(Main[[#This Row],[Finca]], Fincas[Nombre], Fincas[ID])</f>
        <v>74</v>
      </c>
      <c r="AA35" s="233" t="str" cm="1">
        <f t="array" ref="AA3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35" s="73" t="s">
        <v>33</v>
      </c>
      <c r="AC35" s="383"/>
      <c r="AD35" s="412"/>
    </row>
    <row r="36" spans="1:30" x14ac:dyDescent="0.25">
      <c r="A36" s="385" t="s">
        <v>85</v>
      </c>
      <c r="B36" s="386">
        <v>1</v>
      </c>
      <c r="C36" s="386" t="s">
        <v>35</v>
      </c>
      <c r="D36" s="385">
        <v>1</v>
      </c>
      <c r="E36" s="387">
        <v>1</v>
      </c>
      <c r="F36" s="387" t="s">
        <v>86</v>
      </c>
      <c r="G36" t="str">
        <f>"75 Standard Roses/36 Garden Roses/20 Spray Roses x 131 " &amp; _xlfn.XLOOKUP(Main[[#This Row],[FechaEntrega]], Guias[Fecha], Guias[Llegada])</f>
        <v>75 Standard Roses/36 Garden Roses/20 Spray Roses x 131 (T/W)</v>
      </c>
      <c r="H36" s="1" t="s">
        <v>946</v>
      </c>
      <c r="I36" s="235">
        <v>61.283999999999999</v>
      </c>
      <c r="J36" s="69">
        <f>_xlfn.LET(
  _xlpm.result, 1-((Main[[#This Row],[Cost]]+Main[[#This Row],[Duties]]+Main[[#This Row],[Transport]])/((Main[[#This Row],[Precio]]*0.96))),
  IF(_xlpm.result&lt;0, "BAJO", IF(_xlpm.result&gt;1, "ALTO", _xlpm.result))
)</f>
        <v>0.27074105621805789</v>
      </c>
      <c r="K36" s="131">
        <v>195.66666666666669</v>
      </c>
      <c r="L36" s="360" cm="1">
        <f t="array" aca="1" ref="L3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6" s="152">
        <f>Guias!$B$3</f>
        <v>46310</v>
      </c>
      <c r="N36" s="216">
        <f>ROUNDUP((Main[[#This Row],[Cost]]*Main[[#This Row],[Import Duties]]),2)</f>
        <v>9.7200000000000006</v>
      </c>
      <c r="O36">
        <v>0</v>
      </c>
      <c r="P36">
        <v>1</v>
      </c>
      <c r="Q36">
        <v>0</v>
      </c>
      <c r="R36" s="217">
        <f>ROUNDUP(Main[[#This Row],[Transport2]]/Main[[#This Row],[Cantidad_Min]],2)</f>
        <v>65.98</v>
      </c>
      <c r="S36">
        <f>_xlfn.XLOOKUP(Main[[#This Row],[Type of Box]], Cajas[Nombre], Cajas[Largo])</f>
        <v>99</v>
      </c>
      <c r="T36">
        <f>_xlfn.XLOOKUP(Main[[#This Row],[Type of Box]], Cajas[Nombre], Cajas[Ancho])</f>
        <v>35</v>
      </c>
      <c r="U36">
        <f>_xlfn.XLOOKUP(Main[[#This Row],[Type of Box]], Cajas[Nombre], Cajas[Alto])</f>
        <v>16</v>
      </c>
      <c r="V3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6">
        <f>ROUNDUP(((Main[[#This Row],[Volumen]]*5.25))*1.36,2)</f>
        <v>65.98</v>
      </c>
      <c r="X36" s="219">
        <v>0.15859999999999999</v>
      </c>
      <c r="Y36" s="361">
        <f>Main[[#This Row],[Cantidad_Min]]*Main[[#This Row],[Precio]]*Main[[#This Row],[Qty]]</f>
        <v>195.66666666666669</v>
      </c>
      <c r="Z36">
        <f>_xlfn.XLOOKUP(Main[[#This Row],[Finca]], Fincas[Nombre], Fincas[ID])</f>
        <v>38</v>
      </c>
      <c r="AA36" t="str" cm="1">
        <f t="array" ref="AA3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36" s="2" t="s">
        <v>33</v>
      </c>
      <c r="AC36" s="400"/>
      <c r="AD36" s="225" t="s">
        <v>87</v>
      </c>
    </row>
    <row r="37" spans="1:30" x14ac:dyDescent="0.25">
      <c r="A37" s="385" t="s">
        <v>85</v>
      </c>
      <c r="B37" s="386">
        <v>1</v>
      </c>
      <c r="C37" s="386" t="s">
        <v>35</v>
      </c>
      <c r="D37" s="385">
        <v>1</v>
      </c>
      <c r="E37" s="387">
        <v>1</v>
      </c>
      <c r="F37" s="387" t="s">
        <v>86</v>
      </c>
      <c r="G37" t="str">
        <f>"75 Standard Roses/36 Garden Roses/20 Spray Roses x 131 " &amp; _xlfn.XLOOKUP(Main[[#This Row],[FechaEntrega]], Guias[Fecha], Guias[Llegada])</f>
        <v>75 Standard Roses/36 Garden Roses/20 Spray Roses x 131 (T/W)</v>
      </c>
      <c r="H37" s="1" t="s">
        <v>947</v>
      </c>
      <c r="I37" s="235">
        <v>61.283999999999999</v>
      </c>
      <c r="J37" s="69">
        <f>_xlfn.LET(
  _xlpm.result, 1-((Main[[#This Row],[Cost]]+Main[[#This Row],[Duties]]+Main[[#This Row],[Transport]])/((Main[[#This Row],[Precio]]*0.96))),
  IF(_xlpm.result&lt;0, "BAJO", IF(_xlpm.result&gt;1, "ALTO", _xlpm.result))
)</f>
        <v>0.24501763668430332</v>
      </c>
      <c r="K37" s="131">
        <v>189</v>
      </c>
      <c r="L37" s="360" cm="1">
        <f t="array" aca="1" ref="L3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7" s="152">
        <f>Guias!$B$3</f>
        <v>46310</v>
      </c>
      <c r="N37" s="216">
        <f>ROUNDUP((Main[[#This Row],[Cost]]*Main[[#This Row],[Import Duties]]),2)</f>
        <v>9.7200000000000006</v>
      </c>
      <c r="O37">
        <v>0</v>
      </c>
      <c r="P37">
        <v>1</v>
      </c>
      <c r="Q37">
        <v>0</v>
      </c>
      <c r="R37" s="217">
        <f>ROUNDUP(Main[[#This Row],[Transport2]]/Main[[#This Row],[Cantidad_Min]],2)</f>
        <v>65.98</v>
      </c>
      <c r="S37">
        <f>_xlfn.XLOOKUP(Main[[#This Row],[Type of Box]], Cajas[Nombre], Cajas[Largo])</f>
        <v>99</v>
      </c>
      <c r="T37">
        <f>_xlfn.XLOOKUP(Main[[#This Row],[Type of Box]], Cajas[Nombre], Cajas[Ancho])</f>
        <v>35</v>
      </c>
      <c r="U37">
        <f>_xlfn.XLOOKUP(Main[[#This Row],[Type of Box]], Cajas[Nombre], Cajas[Alto])</f>
        <v>16</v>
      </c>
      <c r="V3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7">
        <f>ROUNDUP(((Main[[#This Row],[Volumen]]*5.25))*1.36,2)</f>
        <v>65.98</v>
      </c>
      <c r="X37" s="219">
        <v>0.15859999999999999</v>
      </c>
      <c r="Y37" s="361">
        <f>Main[[#This Row],[Cantidad_Min]]*Main[[#This Row],[Precio]]*Main[[#This Row],[Qty]]</f>
        <v>189</v>
      </c>
      <c r="Z37">
        <f>_xlfn.XLOOKUP(Main[[#This Row],[Finca]], Fincas[Nombre], Fincas[ID])</f>
        <v>38</v>
      </c>
      <c r="AA37" t="str" cm="1">
        <f t="array" ref="AA3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37" s="2" t="s">
        <v>33</v>
      </c>
      <c r="AC37" s="400"/>
      <c r="AD37" s="225" t="s">
        <v>88</v>
      </c>
    </row>
    <row r="38" spans="1:30" x14ac:dyDescent="0.25">
      <c r="A38" s="385" t="s">
        <v>85</v>
      </c>
      <c r="B38" s="386">
        <v>1</v>
      </c>
      <c r="C38" s="386" t="s">
        <v>35</v>
      </c>
      <c r="D38" s="385">
        <v>100</v>
      </c>
      <c r="E38" s="387">
        <v>100</v>
      </c>
      <c r="F38" s="387" t="s">
        <v>89</v>
      </c>
      <c r="G38" t="str">
        <f>"25 Explorer/25 Carnelian/25 Playa Blanca/25 Pink Amaretto " &amp; _xlfn.XLOOKUP(Main[[#This Row],[FechaEntrega]], Guias[Fecha], Guias[Llegada])</f>
        <v>25 Explorer/25 Carnelian/25 Playa Blanca/25 Pink Amaretto (T/W)</v>
      </c>
      <c r="H38" s="1" t="s">
        <v>948</v>
      </c>
      <c r="I38" s="235">
        <v>0.47899999999999998</v>
      </c>
      <c r="J38" s="69">
        <f>_xlfn.LET(
  _xlpm.result, 1-((Main[[#This Row],[Cost]]+Main[[#This Row],[Duties]]+Main[[#This Row],[Transport]])/((Main[[#This Row],[Precio]]*0.96))),
  IF(_xlpm.result&lt;0, "BAJO", IF(_xlpm.result&gt;1, "ALTO", _xlpm.result))
)</f>
        <v>0.18077956989247324</v>
      </c>
      <c r="K38" s="131">
        <v>1.55</v>
      </c>
      <c r="L38" s="360" cm="1">
        <f t="array" aca="1" ref="L3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38" s="152">
        <f>Guias!$B$3</f>
        <v>46310</v>
      </c>
      <c r="N38" s="216">
        <f>ROUNDUP((Main[[#This Row],[Cost]]*Main[[#This Row],[Import Duties]]),2)</f>
        <v>0.08</v>
      </c>
      <c r="O38">
        <v>0</v>
      </c>
      <c r="P38">
        <v>1</v>
      </c>
      <c r="Q38">
        <v>0</v>
      </c>
      <c r="R38" s="217">
        <f>ROUNDUP(Main[[#This Row],[Transport2]]/Main[[#This Row],[Cantidad_Min]],2)</f>
        <v>0.66</v>
      </c>
      <c r="S38">
        <f>_xlfn.XLOOKUP(Main[[#This Row],[Type of Box]], Cajas[Nombre], Cajas[Largo])</f>
        <v>99</v>
      </c>
      <c r="T38">
        <f>_xlfn.XLOOKUP(Main[[#This Row],[Type of Box]], Cajas[Nombre], Cajas[Ancho])</f>
        <v>35</v>
      </c>
      <c r="U38">
        <f>_xlfn.XLOOKUP(Main[[#This Row],[Type of Box]], Cajas[Nombre], Cajas[Alto])</f>
        <v>16</v>
      </c>
      <c r="V3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38">
        <f>ROUNDUP(((Main[[#This Row],[Volumen]]*5.25))*1.36,2)</f>
        <v>65.98</v>
      </c>
      <c r="X38" s="219">
        <v>0.15859999999999999</v>
      </c>
      <c r="Y38" s="361">
        <f>Main[[#This Row],[Cantidad_Min]]*Main[[#This Row],[Precio]]*Main[[#This Row],[Qty]]</f>
        <v>155</v>
      </c>
      <c r="Z38">
        <f>_xlfn.XLOOKUP(Main[[#This Row],[Finca]], Fincas[Nombre], Fincas[ID])</f>
        <v>38</v>
      </c>
      <c r="AA38" t="str" cm="1">
        <f t="array" ref="AA3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38" s="2" t="s">
        <v>33</v>
      </c>
      <c r="AC38" s="400"/>
      <c r="AD38" s="225" t="s">
        <v>90</v>
      </c>
    </row>
    <row r="39" spans="1:30" x14ac:dyDescent="0.25">
      <c r="A39" s="385" t="s">
        <v>85</v>
      </c>
      <c r="B39" s="386">
        <v>1</v>
      </c>
      <c r="C39" s="386" t="s">
        <v>31</v>
      </c>
      <c r="D39" s="385">
        <v>50</v>
      </c>
      <c r="E39" s="387">
        <v>50</v>
      </c>
      <c r="F39" s="387" t="s">
        <v>55</v>
      </c>
      <c r="G39" t="str">
        <f>"Inocencia " &amp; _xlfn.XLOOKUP(Main[[#This Row],[FechaEntrega]], Guias[Fecha], Guias[Llegada])</f>
        <v>Inocencia (M/T)</v>
      </c>
      <c r="H39" s="1" t="s">
        <v>949</v>
      </c>
      <c r="I39" s="235">
        <v>0.36399999999999999</v>
      </c>
      <c r="J39" s="69">
        <f>_xlfn.LET(
  _xlpm.result, 1-((Main[[#This Row],[Cost]]+Main[[#This Row],[Duties]]+Main[[#This Row],[Transport]])/((Main[[#This Row],[Precio]]*0.96))),
  IF(_xlpm.result&lt;0, "BAJO", IF(_xlpm.result&gt;1, "ALTO", _xlpm.result))
)</f>
        <v>0.15944548872180453</v>
      </c>
      <c r="K39" s="131">
        <v>1.4301075268817205</v>
      </c>
      <c r="L39" s="360" cm="1">
        <f t="array" aca="1" ref="L3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39" s="152">
        <f>Guias!$B$2</f>
        <v>46309</v>
      </c>
      <c r="N39" s="216">
        <f>ROUNDUP((Main[[#This Row],[Cost]]*Main[[#This Row],[Import Duties]]),2)</f>
        <v>6.0000000000000005E-2</v>
      </c>
      <c r="O39">
        <v>0</v>
      </c>
      <c r="P39">
        <v>1</v>
      </c>
      <c r="Q39">
        <v>0</v>
      </c>
      <c r="R39" s="217">
        <f>ROUNDUP(Main[[#This Row],[Transport2]]/Main[[#This Row],[Cantidad_Min]],2)</f>
        <v>0.73</v>
      </c>
      <c r="S39">
        <f>_xlfn.XLOOKUP(Main[[#This Row],[Type of Box]], Cajas[Nombre], Cajas[Largo])</f>
        <v>105</v>
      </c>
      <c r="T39">
        <f>_xlfn.XLOOKUP(Main[[#This Row],[Type of Box]], Cajas[Nombre], Cajas[Ancho])</f>
        <v>17</v>
      </c>
      <c r="U39">
        <f>_xlfn.XLOOKUP(Main[[#This Row],[Type of Box]], Cajas[Nombre], Cajas[Alto])</f>
        <v>17</v>
      </c>
      <c r="V3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39">
        <f>ROUNDUP(((Main[[#This Row],[Volumen]]*5.25))*1.36,2)</f>
        <v>36.119999999999997</v>
      </c>
      <c r="X39" s="219">
        <v>0.15859999999999999</v>
      </c>
      <c r="Y39" s="361">
        <f>Main[[#This Row],[Cantidad_Min]]*Main[[#This Row],[Precio]]*Main[[#This Row],[Qty]]</f>
        <v>71.505376344086031</v>
      </c>
      <c r="Z39">
        <f>_xlfn.XLOOKUP(Main[[#This Row],[Finca]], Fincas[Nombre], Fincas[ID])</f>
        <v>38</v>
      </c>
      <c r="AA39" t="str" cm="1">
        <f t="array" ref="AA3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39" s="2" t="s">
        <v>33</v>
      </c>
      <c r="AC39" s="5"/>
      <c r="AD39" s="224" t="s">
        <v>91</v>
      </c>
    </row>
    <row r="40" spans="1:30" x14ac:dyDescent="0.25">
      <c r="A40" s="385" t="s">
        <v>85</v>
      </c>
      <c r="B40" s="386">
        <v>1</v>
      </c>
      <c r="C40" s="386" t="s">
        <v>35</v>
      </c>
      <c r="D40" s="385">
        <v>125</v>
      </c>
      <c r="E40" s="387">
        <v>125</v>
      </c>
      <c r="F40" s="387" t="s">
        <v>55</v>
      </c>
      <c r="G40" t="str">
        <f>"Explorer " &amp; _xlfn.XLOOKUP(Main[[#This Row],[FechaEntrega]], Guias[Fecha], Guias[Llegada])</f>
        <v>Explorer (M/T)</v>
      </c>
      <c r="H40" s="1" t="s">
        <v>950</v>
      </c>
      <c r="I40" s="235">
        <v>0.36399999999999999</v>
      </c>
      <c r="J40" s="69">
        <f>_xlfn.LET(
  _xlpm.result, 1-((Main[[#This Row],[Cost]]+Main[[#This Row],[Duties]]+Main[[#This Row],[Transport]])/((Main[[#This Row],[Precio]]*0.96))),
  IF(_xlpm.result&lt;0, "BAJO", IF(_xlpm.result&gt;1, "ALTO", _xlpm.result))
)</f>
        <v>0.20499999999999996</v>
      </c>
      <c r="K40" s="131">
        <v>1.25</v>
      </c>
      <c r="L40" s="360" cm="1">
        <f t="array" aca="1" ref="L4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0" s="152">
        <f>Guias!$B$2</f>
        <v>46309</v>
      </c>
      <c r="N40" s="216">
        <f>ROUNDUP((Main[[#This Row],[Cost]]*Main[[#This Row],[Import Duties]]),2)</f>
        <v>6.0000000000000005E-2</v>
      </c>
      <c r="O40">
        <v>0</v>
      </c>
      <c r="P40">
        <v>1</v>
      </c>
      <c r="Q40">
        <v>0</v>
      </c>
      <c r="R40" s="217">
        <f>ROUNDUP(Main[[#This Row],[Transport2]]/Main[[#This Row],[Cantidad_Min]],2)</f>
        <v>0.53</v>
      </c>
      <c r="S40">
        <f>_xlfn.XLOOKUP(Main[[#This Row],[Type of Box]], Cajas[Nombre], Cajas[Largo])</f>
        <v>99</v>
      </c>
      <c r="T40">
        <f>_xlfn.XLOOKUP(Main[[#This Row],[Type of Box]], Cajas[Nombre], Cajas[Ancho])</f>
        <v>35</v>
      </c>
      <c r="U40">
        <f>_xlfn.XLOOKUP(Main[[#This Row],[Type of Box]], Cajas[Nombre], Cajas[Alto])</f>
        <v>16</v>
      </c>
      <c r="V4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40">
        <f>ROUNDUP(((Main[[#This Row],[Volumen]]*5.25))*1.36,2)</f>
        <v>65.98</v>
      </c>
      <c r="X40" s="219">
        <v>0.15859999999999999</v>
      </c>
      <c r="Y40" s="361">
        <f>Main[[#This Row],[Cantidad_Min]]*Main[[#This Row],[Precio]]*Main[[#This Row],[Qty]]</f>
        <v>156.25</v>
      </c>
      <c r="Z40">
        <f>_xlfn.XLOOKUP(Main[[#This Row],[Finca]], Fincas[Nombre], Fincas[ID])</f>
        <v>38</v>
      </c>
      <c r="AA40" t="str" cm="1">
        <f t="array" ref="AA4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40" s="2" t="s">
        <v>33</v>
      </c>
      <c r="AC40" s="5"/>
      <c r="AD40" s="224" t="s">
        <v>92</v>
      </c>
    </row>
    <row r="41" spans="1:30" x14ac:dyDescent="0.25">
      <c r="A41" s="385" t="s">
        <v>85</v>
      </c>
      <c r="B41" s="386">
        <v>1</v>
      </c>
      <c r="C41" s="386" t="s">
        <v>93</v>
      </c>
      <c r="D41" s="385">
        <v>200</v>
      </c>
      <c r="E41" s="387">
        <v>200</v>
      </c>
      <c r="F41" s="387" t="s">
        <v>89</v>
      </c>
      <c r="G41" t="str">
        <f>"Fortune " &amp; _xlfn.XLOOKUP(Main[[#This Row],[FechaEntrega]], Guias[Fecha], Guias[Llegada])</f>
        <v>Fortune (M/T)</v>
      </c>
      <c r="H41" s="1" t="s">
        <v>951</v>
      </c>
      <c r="I41" s="235">
        <v>0.434</v>
      </c>
      <c r="J41" s="69">
        <f>_xlfn.LET(
  _xlpm.result, 1-((Main[[#This Row],[Cost]]+Main[[#This Row],[Duties]]+Main[[#This Row],[Transport]])/((Main[[#This Row],[Precio]]*0.96))),
  IF(_xlpm.result&lt;0, "BAJO", IF(_xlpm.result&gt;1, "ALTO", _xlpm.result))
)</f>
        <v>0.13997302158273384</v>
      </c>
      <c r="K41" s="131">
        <v>1.4946236559139785</v>
      </c>
      <c r="L41" s="360" cm="1">
        <f t="array" aca="1" ref="L4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1" s="152">
        <f>Guias!$B$2</f>
        <v>46309</v>
      </c>
      <c r="N41" s="216">
        <f>ROUNDUP((Main[[#This Row],[Cost]]*Main[[#This Row],[Import Duties]]),2)</f>
        <v>6.9999999999999993E-2</v>
      </c>
      <c r="O41">
        <v>0</v>
      </c>
      <c r="P41">
        <v>1</v>
      </c>
      <c r="Q41">
        <v>0</v>
      </c>
      <c r="R41" s="217">
        <f>ROUNDUP(Main[[#This Row],[Transport2]]/Main[[#This Row],[Cantidad_Min]],2)</f>
        <v>0.73</v>
      </c>
      <c r="S41">
        <f>_xlfn.XLOOKUP(Main[[#This Row],[Type of Box]], Cajas[Nombre], Cajas[Largo])</f>
        <v>105</v>
      </c>
      <c r="T41">
        <f>_xlfn.XLOOKUP(Main[[#This Row],[Type of Box]], Cajas[Nombre], Cajas[Ancho])</f>
        <v>35</v>
      </c>
      <c r="U41">
        <f>_xlfn.XLOOKUP(Main[[#This Row],[Type of Box]], Cajas[Nombre], Cajas[Alto])</f>
        <v>33</v>
      </c>
      <c r="V4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41">
        <f>ROUNDUP(((Main[[#This Row],[Volumen]]*5.25))*1.36,2)</f>
        <v>144.32</v>
      </c>
      <c r="X41" s="219">
        <v>0.15859999999999999</v>
      </c>
      <c r="Y41" s="361">
        <f>Main[[#This Row],[Cantidad_Min]]*Main[[#This Row],[Precio]]*Main[[#This Row],[Qty]]</f>
        <v>298.92473118279571</v>
      </c>
      <c r="Z41">
        <f>_xlfn.XLOOKUP(Main[[#This Row],[Finca]], Fincas[Nombre], Fincas[ID])</f>
        <v>38</v>
      </c>
      <c r="AA41" t="str" cm="1">
        <f t="array" ref="AA4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41" s="2" t="s">
        <v>33</v>
      </c>
      <c r="AC41" s="5"/>
      <c r="AD41" s="224" t="s">
        <v>94</v>
      </c>
    </row>
    <row r="42" spans="1:30" x14ac:dyDescent="0.25">
      <c r="A42" s="385" t="s">
        <v>85</v>
      </c>
      <c r="B42" s="386">
        <v>1</v>
      </c>
      <c r="C42" s="386" t="s">
        <v>35</v>
      </c>
      <c r="D42" s="385">
        <v>125</v>
      </c>
      <c r="E42" s="387">
        <v>125</v>
      </c>
      <c r="F42" s="387" t="s">
        <v>55</v>
      </c>
      <c r="G42" t="str">
        <f>"Redvolution " &amp; _xlfn.XLOOKUP(Main[[#This Row],[FechaEntrega]], Guias[Fecha], Guias[Llegada])</f>
        <v>Redvolution (M/T)</v>
      </c>
      <c r="H42" s="1" t="s">
        <v>952</v>
      </c>
      <c r="I42" s="235">
        <v>0.36399999999999999</v>
      </c>
      <c r="J42" s="69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42" s="131">
        <v>1.29</v>
      </c>
      <c r="L42" s="360" cm="1">
        <f t="array" aca="1" ref="L4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2" s="152">
        <f>Guias!$B$2</f>
        <v>46309</v>
      </c>
      <c r="N42" s="216">
        <f>ROUNDUP((Main[[#This Row],[Cost]]*Main[[#This Row],[Import Duties]]),2)</f>
        <v>6.0000000000000005E-2</v>
      </c>
      <c r="O42">
        <v>0</v>
      </c>
      <c r="P42">
        <v>1</v>
      </c>
      <c r="Q42">
        <v>0</v>
      </c>
      <c r="R42" s="217">
        <f>ROUNDUP(Main[[#This Row],[Transport2]]/Main[[#This Row],[Cantidad_Min]],2)</f>
        <v>0.53</v>
      </c>
      <c r="S42">
        <f>_xlfn.XLOOKUP(Main[[#This Row],[Type of Box]], Cajas[Nombre], Cajas[Largo])</f>
        <v>99</v>
      </c>
      <c r="T42">
        <f>_xlfn.XLOOKUP(Main[[#This Row],[Type of Box]], Cajas[Nombre], Cajas[Ancho])</f>
        <v>35</v>
      </c>
      <c r="U42">
        <f>_xlfn.XLOOKUP(Main[[#This Row],[Type of Box]], Cajas[Nombre], Cajas[Alto])</f>
        <v>16</v>
      </c>
      <c r="V4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42">
        <f>ROUNDUP(((Main[[#This Row],[Volumen]]*5.25))*1.36,2)</f>
        <v>65.98</v>
      </c>
      <c r="X42" s="219">
        <v>0.15859999999999999</v>
      </c>
      <c r="Y42" s="361">
        <f>Main[[#This Row],[Cantidad_Min]]*Main[[#This Row],[Precio]]*Main[[#This Row],[Qty]]</f>
        <v>161.25</v>
      </c>
      <c r="Z42">
        <f>_xlfn.XLOOKUP(Main[[#This Row],[Finca]], Fincas[Nombre], Fincas[ID])</f>
        <v>38</v>
      </c>
      <c r="AA42" t="str" cm="1">
        <f t="array" ref="AA4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42" s="2" t="s">
        <v>33</v>
      </c>
      <c r="AC42" s="5"/>
      <c r="AD42" s="224" t="s">
        <v>47</v>
      </c>
    </row>
    <row r="43" spans="1:30" x14ac:dyDescent="0.25">
      <c r="A43" s="385" t="s">
        <v>85</v>
      </c>
      <c r="B43" s="386">
        <v>1</v>
      </c>
      <c r="C43" s="386" t="s">
        <v>31</v>
      </c>
      <c r="D43" s="385">
        <v>48</v>
      </c>
      <c r="E43" s="387">
        <v>48</v>
      </c>
      <c r="F43" s="387" t="s">
        <v>95</v>
      </c>
      <c r="G43" t="str">
        <f>"Kings Cross/Princess Crown/Mayras Peach/Louis " &amp; _xlfn.XLOOKUP(Main[[#This Row],[FechaEntrega]], Guias[Fecha], Guias[Llegada])</f>
        <v>Kings Cross/Princess Crown/Mayras Peach/Louis (M/T)</v>
      </c>
      <c r="H43" s="1" t="s">
        <v>953</v>
      </c>
      <c r="I43" s="235">
        <f>AVERAGE(0.56,0.66)</f>
        <v>0.6100000000000001</v>
      </c>
      <c r="J43" s="69">
        <f>_xlfn.LET(
  _xlpm.result, 1-((Main[[#This Row],[Cost]]+Main[[#This Row],[Duties]]+Main[[#This Row],[Transport]])/((Main[[#This Row],[Precio]]*0.96))),
  IF(_xlpm.result&lt;0, "BAJO", IF(_xlpm.result&gt;1, "ALTO", _xlpm.result))
)</f>
        <v>0.14455307262569816</v>
      </c>
      <c r="K43" s="131">
        <v>1.79</v>
      </c>
      <c r="L43" s="360" cm="1">
        <f t="array" aca="1" ref="L4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3" s="152">
        <f>Guias!$B$2</f>
        <v>46309</v>
      </c>
      <c r="N43" s="216">
        <f>ROUNDUP((Main[[#This Row],[Cost]]*Main[[#This Row],[Import Duties]]),2)</f>
        <v>9.9999999999999992E-2</v>
      </c>
      <c r="O43">
        <v>0</v>
      </c>
      <c r="P43">
        <v>1</v>
      </c>
      <c r="Q43">
        <v>0</v>
      </c>
      <c r="R43" s="217">
        <f>ROUNDUP(Main[[#This Row],[Transport2]]/Main[[#This Row],[Cantidad_Min]],2)</f>
        <v>0.76</v>
      </c>
      <c r="S43">
        <f>_xlfn.XLOOKUP(Main[[#This Row],[Type of Box]], Cajas[Nombre], Cajas[Largo])</f>
        <v>105</v>
      </c>
      <c r="T43">
        <f>_xlfn.XLOOKUP(Main[[#This Row],[Type of Box]], Cajas[Nombre], Cajas[Ancho])</f>
        <v>17</v>
      </c>
      <c r="U43">
        <f>_xlfn.XLOOKUP(Main[[#This Row],[Type of Box]], Cajas[Nombre], Cajas[Alto])</f>
        <v>17</v>
      </c>
      <c r="V4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3">
        <f>ROUNDUP(((Main[[#This Row],[Volumen]]*5.25))*1.36,2)</f>
        <v>36.119999999999997</v>
      </c>
      <c r="X43" s="219">
        <v>0.15859999999999999</v>
      </c>
      <c r="Y43" s="361">
        <f>Main[[#This Row],[Cantidad_Min]]*Main[[#This Row],[Precio]]*Main[[#This Row],[Qty]]</f>
        <v>85.92</v>
      </c>
      <c r="Z43">
        <f>_xlfn.XLOOKUP(Main[[#This Row],[Finca]], Fincas[Nombre], Fincas[ID])</f>
        <v>38</v>
      </c>
      <c r="AA43" t="str" cm="1">
        <f t="array" ref="AA4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43" s="2" t="s">
        <v>33</v>
      </c>
      <c r="AC43" s="5" t="s">
        <v>96</v>
      </c>
      <c r="AD43" s="224" t="s">
        <v>97</v>
      </c>
    </row>
    <row r="44" spans="1:30" x14ac:dyDescent="0.25">
      <c r="A44" s="385" t="s">
        <v>85</v>
      </c>
      <c r="B44" s="386">
        <v>1</v>
      </c>
      <c r="C44" s="386" t="s">
        <v>93</v>
      </c>
      <c r="D44" s="385">
        <v>200</v>
      </c>
      <c r="E44" s="387">
        <v>200</v>
      </c>
      <c r="F44" s="387" t="s">
        <v>89</v>
      </c>
      <c r="G44" t="str">
        <f>"50 Orange/50 Brighton/50 Jacaranda/50 Jetset " &amp; _xlfn.XLOOKUP(Main[[#This Row],[FechaEntrega]], Guias[Fecha], Guias[Llegada])</f>
        <v>50 Orange/50 Brighton/50 Jacaranda/50 Jetset (M/T)</v>
      </c>
      <c r="H44" s="1" t="s">
        <v>954</v>
      </c>
      <c r="I44" s="235">
        <v>0.434</v>
      </c>
      <c r="J44" s="69">
        <f>_xlfn.LET(
  _xlpm.result, 1-((Main[[#This Row],[Cost]]+Main[[#This Row],[Duties]]+Main[[#This Row],[Transport]])/((Main[[#This Row],[Precio]]*0.96))),
  IF(_xlpm.result&lt;0, "BAJO", IF(_xlpm.result&gt;1, "ALTO", _xlpm.result))
)</f>
        <v>7.3304263565891481E-2</v>
      </c>
      <c r="K44" s="131">
        <v>1.3870967741935483</v>
      </c>
      <c r="L44" s="360" cm="1">
        <f t="array" aca="1" ref="L4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4" s="152">
        <f>Guias!$B$2</f>
        <v>46309</v>
      </c>
      <c r="N44" s="216">
        <f>ROUNDUP((Main[[#This Row],[Cost]]*Main[[#This Row],[Import Duties]]),2)</f>
        <v>6.9999999999999993E-2</v>
      </c>
      <c r="O44">
        <v>0</v>
      </c>
      <c r="P44">
        <v>1</v>
      </c>
      <c r="Q44">
        <v>0</v>
      </c>
      <c r="R44" s="217">
        <f>ROUNDUP(Main[[#This Row],[Transport2]]/Main[[#This Row],[Cantidad_Min]],2)</f>
        <v>0.73</v>
      </c>
      <c r="S44">
        <f>_xlfn.XLOOKUP(Main[[#This Row],[Type of Box]], Cajas[Nombre], Cajas[Largo])</f>
        <v>105</v>
      </c>
      <c r="T44">
        <f>_xlfn.XLOOKUP(Main[[#This Row],[Type of Box]], Cajas[Nombre], Cajas[Ancho])</f>
        <v>35</v>
      </c>
      <c r="U44">
        <f>_xlfn.XLOOKUP(Main[[#This Row],[Type of Box]], Cajas[Nombre], Cajas[Alto])</f>
        <v>33</v>
      </c>
      <c r="V4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44">
        <f>ROUNDUP(((Main[[#This Row],[Volumen]]*5.25))*1.36,2)</f>
        <v>144.32</v>
      </c>
      <c r="X44" s="219">
        <v>0.15859999999999999</v>
      </c>
      <c r="Y44" s="361">
        <f>Main[[#This Row],[Cantidad_Min]]*Main[[#This Row],[Precio]]*Main[[#This Row],[Qty]]</f>
        <v>277.41935483870964</v>
      </c>
      <c r="Z44">
        <f>_xlfn.XLOOKUP(Main[[#This Row],[Finca]], Fincas[Nombre], Fincas[ID])</f>
        <v>38</v>
      </c>
      <c r="AA44" t="str" cm="1">
        <f t="array" ref="AA4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44" s="2" t="s">
        <v>33</v>
      </c>
      <c r="AC44" s="5"/>
      <c r="AD44" s="224" t="s">
        <v>94</v>
      </c>
    </row>
    <row r="45" spans="1:30" x14ac:dyDescent="0.25">
      <c r="A45" s="385" t="s">
        <v>85</v>
      </c>
      <c r="B45" s="386">
        <v>1</v>
      </c>
      <c r="C45" s="386" t="s">
        <v>35</v>
      </c>
      <c r="D45" s="385">
        <v>100</v>
      </c>
      <c r="E45" s="387">
        <v>100</v>
      </c>
      <c r="F45" s="387" t="s">
        <v>89</v>
      </c>
      <c r="G45" t="str">
        <f>"50 Vendela/50 Free Spirit  " &amp; _xlfn.XLOOKUP(Main[[#This Row],[FechaEntrega]], Guias[Fecha], Guias[Llegada])</f>
        <v>50 Vendela/50 Free Spirit  (M/T)</v>
      </c>
      <c r="H45" s="1" t="s">
        <v>955</v>
      </c>
      <c r="I45" s="235">
        <v>0.40400000000000003</v>
      </c>
      <c r="J45" s="69">
        <f>_xlfn.LET(
  _xlpm.result, 1-((Main[[#This Row],[Cost]]+Main[[#This Row],[Duties]]+Main[[#This Row],[Transport]])/((Main[[#This Row],[Precio]]*0.96))),
  IF(_xlpm.result&lt;0, "BAJO", IF(_xlpm.result&gt;1, "ALTO", _xlpm.result))
)</f>
        <v>0.20394021739130419</v>
      </c>
      <c r="K45" s="131">
        <v>1.4838709677419353</v>
      </c>
      <c r="L45" s="360" cm="1">
        <f t="array" aca="1" ref="L4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5" s="152">
        <f>Guias!$B$2</f>
        <v>46309</v>
      </c>
      <c r="N45" s="216">
        <f>ROUNDUP((Main[[#This Row],[Cost]]*Main[[#This Row],[Import Duties]]),2)</f>
        <v>6.9999999999999993E-2</v>
      </c>
      <c r="O45">
        <v>0</v>
      </c>
      <c r="P45">
        <v>1</v>
      </c>
      <c r="Q45">
        <v>0</v>
      </c>
      <c r="R45" s="217">
        <f>ROUNDUP(Main[[#This Row],[Transport2]]/Main[[#This Row],[Cantidad_Min]],2)</f>
        <v>0.66</v>
      </c>
      <c r="S45">
        <f>_xlfn.XLOOKUP(Main[[#This Row],[Type of Box]], Cajas[Nombre], Cajas[Largo])</f>
        <v>99</v>
      </c>
      <c r="T45">
        <f>_xlfn.XLOOKUP(Main[[#This Row],[Type of Box]], Cajas[Nombre], Cajas[Ancho])</f>
        <v>35</v>
      </c>
      <c r="U45">
        <f>_xlfn.XLOOKUP(Main[[#This Row],[Type of Box]], Cajas[Nombre], Cajas[Alto])</f>
        <v>16</v>
      </c>
      <c r="V4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45">
        <f>ROUNDUP(((Main[[#This Row],[Volumen]]*5.25))*1.36,2)</f>
        <v>65.98</v>
      </c>
      <c r="X45" s="219">
        <v>0.15859999999999999</v>
      </c>
      <c r="Y45" s="361">
        <f>Main[[#This Row],[Cantidad_Min]]*Main[[#This Row],[Precio]]*Main[[#This Row],[Qty]]</f>
        <v>148.38709677419354</v>
      </c>
      <c r="Z45">
        <f>_xlfn.XLOOKUP(Main[[#This Row],[Finca]], Fincas[Nombre], Fincas[ID])</f>
        <v>38</v>
      </c>
      <c r="AA45" t="str" cm="1">
        <f t="array" ref="AA4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45" s="2" t="s">
        <v>33</v>
      </c>
      <c r="AC45" s="5"/>
      <c r="AD45" s="224" t="s">
        <v>94</v>
      </c>
    </row>
    <row r="46" spans="1:30" x14ac:dyDescent="0.25">
      <c r="A46" s="385" t="s">
        <v>85</v>
      </c>
      <c r="B46" s="386">
        <v>1</v>
      </c>
      <c r="C46" s="386" t="s">
        <v>35</v>
      </c>
      <c r="D46" s="385">
        <v>100</v>
      </c>
      <c r="E46" s="387">
        <v>100</v>
      </c>
      <c r="F46" s="387" t="s">
        <v>55</v>
      </c>
      <c r="G46" t="str">
        <f>"Hearts/Cold Brew/Aloha/Faith " &amp; _xlfn.XLOOKUP(Main[[#This Row],[FechaEntrega]], Guias[Fecha], Guias[Llegada])</f>
        <v>Hearts/Cold Brew/Aloha/Faith (M/T)</v>
      </c>
      <c r="H46" s="1" t="s">
        <v>956</v>
      </c>
      <c r="I46" s="235">
        <v>0.36</v>
      </c>
      <c r="J46" s="69">
        <f>_xlfn.LET(
  _xlpm.result, 1-((Main[[#This Row],[Cost]]+Main[[#This Row],[Duties]]+Main[[#This Row],[Transport]])/((Main[[#This Row],[Precio]]*0.96))),
  IF(_xlpm.result&lt;0, "BAJO", IF(_xlpm.result&gt;1, "ALTO", _xlpm.result))
)</f>
        <v>0.22413793103448265</v>
      </c>
      <c r="K46" s="131">
        <v>1.45</v>
      </c>
      <c r="L46" s="360" cm="1">
        <f t="array" aca="1" ref="L4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6" s="152">
        <f>Guias!$B$2</f>
        <v>46309</v>
      </c>
      <c r="N46" s="216">
        <f>ROUNDUP((Main[[#This Row],[Cost]]*Main[[#This Row],[Import Duties]]),2)</f>
        <v>6.0000000000000005E-2</v>
      </c>
      <c r="O46">
        <v>0</v>
      </c>
      <c r="P46">
        <v>1</v>
      </c>
      <c r="Q46">
        <v>0</v>
      </c>
      <c r="R46" s="217">
        <f>ROUNDUP(Main[[#This Row],[Transport2]]/Main[[#This Row],[Cantidad_Min]],2)</f>
        <v>0.66</v>
      </c>
      <c r="S46">
        <f>_xlfn.XLOOKUP(Main[[#This Row],[Type of Box]], Cajas[Nombre], Cajas[Largo])</f>
        <v>99</v>
      </c>
      <c r="T46">
        <f>_xlfn.XLOOKUP(Main[[#This Row],[Type of Box]], Cajas[Nombre], Cajas[Ancho])</f>
        <v>35</v>
      </c>
      <c r="U46">
        <f>_xlfn.XLOOKUP(Main[[#This Row],[Type of Box]], Cajas[Nombre], Cajas[Alto])</f>
        <v>16</v>
      </c>
      <c r="V4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46">
        <f>ROUNDUP(((Main[[#This Row],[Volumen]]*5.25))*1.36,2)</f>
        <v>65.98</v>
      </c>
      <c r="X46" s="219">
        <v>0.15859999999999999</v>
      </c>
      <c r="Y46" s="361">
        <f>Main[[#This Row],[Cantidad_Min]]*Main[[#This Row],[Precio]]*Main[[#This Row],[Qty]]</f>
        <v>145</v>
      </c>
      <c r="Z46">
        <f>_xlfn.XLOOKUP(Main[[#This Row],[Finca]], Fincas[Nombre], Fincas[ID])</f>
        <v>38</v>
      </c>
      <c r="AA46" t="str" cm="1">
        <f t="array" ref="AA4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46" s="2" t="s">
        <v>33</v>
      </c>
      <c r="AC46" s="5" t="s">
        <v>98</v>
      </c>
      <c r="AD46" s="224" t="s">
        <v>97</v>
      </c>
    </row>
    <row r="47" spans="1:30" x14ac:dyDescent="0.25">
      <c r="A47" s="385" t="s">
        <v>85</v>
      </c>
      <c r="B47" s="386">
        <v>1</v>
      </c>
      <c r="C47" s="386" t="s">
        <v>31</v>
      </c>
      <c r="D47" s="385">
        <v>50</v>
      </c>
      <c r="E47" s="387">
        <v>50</v>
      </c>
      <c r="F47" s="387" t="s">
        <v>99</v>
      </c>
      <c r="G47" t="str">
        <f>"30 Rosanella/20 Jeanine " &amp; _xlfn.XLOOKUP(Main[[#This Row],[FechaEntrega]], Guias[Fecha], Guias[Llegada])</f>
        <v>30 Rosanella/20 Jeanine (M/T)</v>
      </c>
      <c r="H47" s="1" t="s">
        <v>957</v>
      </c>
      <c r="I47" s="235">
        <v>0.56000000000000005</v>
      </c>
      <c r="J47" s="69">
        <f>_xlfn.LET(
  _xlpm.result, 1-((Main[[#This Row],[Cost]]+Main[[#This Row],[Duties]]+Main[[#This Row],[Transport]])/((Main[[#This Row],[Precio]]*0.96))),
  IF(_xlpm.result&lt;0, "BAJO", IF(_xlpm.result&gt;1, "ALTO", _xlpm.result))
)</f>
        <v>0.37235915492957739</v>
      </c>
      <c r="K47" s="131">
        <v>2.290322580645161</v>
      </c>
      <c r="L47" s="360" cm="1">
        <f t="array" aca="1" ref="L4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7" s="152">
        <f>Guias!$B$2</f>
        <v>46309</v>
      </c>
      <c r="N47" s="216">
        <f>ROUNDUP((Main[[#This Row],[Cost]]*Main[[#This Row],[Import Duties]]),2)</f>
        <v>0.09</v>
      </c>
      <c r="O47">
        <v>0</v>
      </c>
      <c r="P47">
        <v>1</v>
      </c>
      <c r="Q47">
        <v>0</v>
      </c>
      <c r="R47" s="217">
        <f>ROUNDUP(Main[[#This Row],[Transport2]]/Main[[#This Row],[Cantidad_Min]],2)</f>
        <v>0.73</v>
      </c>
      <c r="S47">
        <f>_xlfn.XLOOKUP(Main[[#This Row],[Type of Box]], Cajas[Nombre], Cajas[Largo])</f>
        <v>105</v>
      </c>
      <c r="T47">
        <f>_xlfn.XLOOKUP(Main[[#This Row],[Type of Box]], Cajas[Nombre], Cajas[Ancho])</f>
        <v>17</v>
      </c>
      <c r="U47">
        <f>_xlfn.XLOOKUP(Main[[#This Row],[Type of Box]], Cajas[Nombre], Cajas[Alto])</f>
        <v>17</v>
      </c>
      <c r="V4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47">
        <f>ROUNDUP(((Main[[#This Row],[Volumen]]*5.25))*1.36,2)</f>
        <v>36.119999999999997</v>
      </c>
      <c r="X47" s="219">
        <v>0.15859999999999999</v>
      </c>
      <c r="Y47" s="361">
        <f>Main[[#This Row],[Cantidad_Min]]*Main[[#This Row],[Precio]]*Main[[#This Row],[Qty]]</f>
        <v>114.51612903225805</v>
      </c>
      <c r="Z47">
        <f>_xlfn.XLOOKUP(Main[[#This Row],[Finca]], Fincas[Nombre], Fincas[ID])</f>
        <v>38</v>
      </c>
      <c r="AA47" t="str" cm="1">
        <f t="array" ref="AA4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47" s="2" t="s">
        <v>33</v>
      </c>
      <c r="AC47" s="400"/>
      <c r="AD47" s="225" t="s">
        <v>100</v>
      </c>
    </row>
    <row r="48" spans="1:30" x14ac:dyDescent="0.25">
      <c r="A48" s="154" t="s">
        <v>85</v>
      </c>
      <c r="B48" s="155">
        <f>IF(Main[[#This Row],[SendEmail]]="Y", 1, 0)</f>
        <v>1</v>
      </c>
      <c r="C48" s="155" t="s">
        <v>93</v>
      </c>
      <c r="D48" s="154">
        <v>250</v>
      </c>
      <c r="E48" s="236">
        <v>250</v>
      </c>
      <c r="F48" s="236" t="s">
        <v>101</v>
      </c>
      <c r="G48" t="str">
        <f>"Explorer " &amp; _xlfn.XLOOKUP(Main[[#This Row],[FechaEntrega]], Guias[Fecha], Guias[Llegada])</f>
        <v>Explorer (M/T)</v>
      </c>
      <c r="H48" s="1" t="s">
        <v>958</v>
      </c>
      <c r="I48" s="235">
        <v>0.36399999999999999</v>
      </c>
      <c r="J48" s="69">
        <f>_xlfn.LET(
  _xlpm.result, 1-((Main[[#This Row],[Cost]]+Main[[#This Row],[Duties]]+Main[[#This Row],[Transport]])/((Main[[#This Row],[Precio]]*0.96))),
  IF(_xlpm.result&lt;0, "BAJO", IF(_xlpm.result&gt;1, "ALTO", _xlpm.result))
)</f>
        <v>0.16153017241379297</v>
      </c>
      <c r="K48" s="131">
        <v>1.2473118279569892</v>
      </c>
      <c r="L48" s="360" cm="1">
        <f t="array" aca="1" ref="L4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48" s="152">
        <f>Guias!$B$2</f>
        <v>46309</v>
      </c>
      <c r="N48" s="216">
        <f>ROUNDUP((Main[[#This Row],[Cost]]*Main[[#This Row],[Import Duties]]),2)</f>
        <v>6.0000000000000005E-2</v>
      </c>
      <c r="O48">
        <v>0</v>
      </c>
      <c r="P48">
        <v>1</v>
      </c>
      <c r="Q48">
        <v>0</v>
      </c>
      <c r="R48" s="217">
        <f>ROUNDUP(Main[[#This Row],[Transport2]]/Main[[#This Row],[Cantidad_Min]],2)</f>
        <v>0.57999999999999996</v>
      </c>
      <c r="S48">
        <f>_xlfn.XLOOKUP(Main[[#This Row],[Type of Box]], Cajas[Nombre], Cajas[Largo])</f>
        <v>105</v>
      </c>
      <c r="T48">
        <f>_xlfn.XLOOKUP(Main[[#This Row],[Type of Box]], Cajas[Nombre], Cajas[Ancho])</f>
        <v>35</v>
      </c>
      <c r="U48">
        <f>_xlfn.XLOOKUP(Main[[#This Row],[Type of Box]], Cajas[Nombre], Cajas[Alto])</f>
        <v>33</v>
      </c>
      <c r="V4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48">
        <f>ROUNDUP(((Main[[#This Row],[Volumen]]*5.25))*1.36,2)</f>
        <v>144.32</v>
      </c>
      <c r="X48" s="219">
        <v>0.15859999999999999</v>
      </c>
      <c r="Y48" s="361">
        <f>Main[[#This Row],[Cantidad_Min]]*Main[[#This Row],[Precio]]*Main[[#This Row],[Qty]]</f>
        <v>311.8279569892473</v>
      </c>
      <c r="Z48">
        <f>_xlfn.XLOOKUP(Main[[#This Row],[Finca]], Fincas[Nombre], Fincas[ID])</f>
        <v>38</v>
      </c>
      <c r="AA48" t="str" cm="1">
        <f t="array" ref="AA4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48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48" s="5"/>
      <c r="AD48" s="224" t="s">
        <v>102</v>
      </c>
    </row>
    <row r="49" spans="1:30" x14ac:dyDescent="0.25">
      <c r="A49" s="156" t="s">
        <v>85</v>
      </c>
      <c r="B49" s="157">
        <f>IF(Main[[#This Row],[SendEmail]]="Y", 1, 0)</f>
        <v>1</v>
      </c>
      <c r="C49" s="157" t="s">
        <v>35</v>
      </c>
      <c r="D49" s="156">
        <v>125</v>
      </c>
      <c r="E49" s="237">
        <v>125</v>
      </c>
      <c r="F49" s="237" t="s">
        <v>55</v>
      </c>
      <c r="G49" t="s">
        <v>103</v>
      </c>
      <c r="H49" s="1" t="s">
        <v>959</v>
      </c>
      <c r="I49" s="235">
        <v>0.36399999999999999</v>
      </c>
      <c r="J49" s="69">
        <f>_xlfn.LET(
  _xlpm.result, 1-((Main[[#This Row],[Cost]]+Main[[#This Row],[Duties]]+Main[[#This Row],[Transport]])/((Main[[#This Row],[Precio]]*0.96))),
  IF(_xlpm.result&lt;0, "BAJO", IF(_xlpm.result&gt;1, "ALTO", _xlpm.result))
)</f>
        <v>0.33305369127516782</v>
      </c>
      <c r="K49" s="131">
        <v>1.49</v>
      </c>
      <c r="L49" s="360" cm="1">
        <f t="array" aca="1" ref="L4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49" s="152">
        <f>Guias!$B$5</f>
        <v>46312</v>
      </c>
      <c r="N49" s="216">
        <f>ROUNDUP((Main[[#This Row],[Cost]]*Main[[#This Row],[Import Duties]]),2)</f>
        <v>6.0000000000000005E-2</v>
      </c>
      <c r="O49">
        <v>0</v>
      </c>
      <c r="P49">
        <v>1</v>
      </c>
      <c r="Q49">
        <v>0</v>
      </c>
      <c r="R49" s="217">
        <f>ROUNDUP(Main[[#This Row],[Transport2]]/Main[[#This Row],[Cantidad_Min]],2)</f>
        <v>0.53</v>
      </c>
      <c r="S49">
        <f>_xlfn.XLOOKUP(Main[[#This Row],[Type of Box]], Cajas[Nombre], Cajas[Largo])</f>
        <v>99</v>
      </c>
      <c r="T49">
        <f>_xlfn.XLOOKUP(Main[[#This Row],[Type of Box]], Cajas[Nombre], Cajas[Ancho])</f>
        <v>35</v>
      </c>
      <c r="U49">
        <f>_xlfn.XLOOKUP(Main[[#This Row],[Type of Box]], Cajas[Nombre], Cajas[Alto])</f>
        <v>16</v>
      </c>
      <c r="V4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49">
        <f>ROUNDUP(((Main[[#This Row],[Volumen]]*5.25))*1.36,2)</f>
        <v>65.98</v>
      </c>
      <c r="X49" s="219">
        <v>0.15859999999999999</v>
      </c>
      <c r="Y49" s="361">
        <f>Main[[#This Row],[Cantidad_Min]]*Main[[#This Row],[Precio]]*Main[[#This Row],[Qty]]</f>
        <v>186.25</v>
      </c>
      <c r="Z49">
        <f>_xlfn.XLOOKUP(Main[[#This Row],[Finca]], Fincas[Nombre], Fincas[ID])</f>
        <v>38</v>
      </c>
      <c r="AA49" t="str" cm="1">
        <f t="array" ref="AA4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49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49" s="5"/>
      <c r="AD49" s="224" t="s">
        <v>104</v>
      </c>
    </row>
    <row r="50" spans="1:30" x14ac:dyDescent="0.25">
      <c r="A50" s="156" t="s">
        <v>85</v>
      </c>
      <c r="B50" s="157">
        <v>1</v>
      </c>
      <c r="C50" s="157" t="s">
        <v>35</v>
      </c>
      <c r="D50" s="156">
        <v>125</v>
      </c>
      <c r="E50" s="237">
        <v>125</v>
      </c>
      <c r="F50" s="237" t="s">
        <v>55</v>
      </c>
      <c r="G50" t="str">
        <f>"Explorer " &amp; _xlfn.XLOOKUP(Main[[#This Row],[FechaEntrega]], Guias[Fecha], Guias[Llegada])</f>
        <v>Explorer (M/T)</v>
      </c>
      <c r="H50" s="1" t="s">
        <v>960</v>
      </c>
      <c r="I50" s="235">
        <v>0.36399999999999999</v>
      </c>
      <c r="J50" s="69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50" s="131">
        <f>IF(OR(AND(ISNUMBER(FIND("(*PAR)",
UPPER(Main[[#This Row],[Standing Orders]]))),
MOD(IFERROR(VALUE(Guias!$M$2),0),2)=0),
AND(ISNUMBER(FIND("(*IMPAR)",
UPPER(Main[[#This Row],[Standing Orders]]))),
MOD(IFERROR(VALUE(Guias!$M$2),
0),2)=1)), 1.33, 1.29)</f>
        <v>1.29</v>
      </c>
      <c r="L50" s="360" cm="1">
        <f t="array" aca="1" ref="L5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50" s="152">
        <f>Guias!$B$2</f>
        <v>46309</v>
      </c>
      <c r="N50" s="216">
        <f>ROUNDUP((Main[[#This Row],[Cost]]*Main[[#This Row],[Import Duties]]),2)</f>
        <v>6.0000000000000005E-2</v>
      </c>
      <c r="O50">
        <v>0</v>
      </c>
      <c r="P50">
        <v>1</v>
      </c>
      <c r="Q50">
        <v>0</v>
      </c>
      <c r="R50" s="217">
        <f>ROUNDUP(Main[[#This Row],[Transport2]]/Main[[#This Row],[Cantidad_Min]],2)</f>
        <v>0.53</v>
      </c>
      <c r="S50">
        <f>_xlfn.XLOOKUP(Main[[#This Row],[Type of Box]], Cajas[Nombre], Cajas[Largo])</f>
        <v>99</v>
      </c>
      <c r="T50">
        <f>_xlfn.XLOOKUP(Main[[#This Row],[Type of Box]], Cajas[Nombre], Cajas[Ancho])</f>
        <v>35</v>
      </c>
      <c r="U50">
        <f>_xlfn.XLOOKUP(Main[[#This Row],[Type of Box]], Cajas[Nombre], Cajas[Alto])</f>
        <v>16</v>
      </c>
      <c r="V5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0">
        <f>ROUNDUP(((Main[[#This Row],[Volumen]]*5.25))*1.36,2)</f>
        <v>65.98</v>
      </c>
      <c r="X50" s="219">
        <v>0.15859999999999999</v>
      </c>
      <c r="Y50" s="361">
        <f>Main[[#This Row],[Cantidad_Min]]*Main[[#This Row],[Precio]]*Main[[#This Row],[Qty]]</f>
        <v>161.25</v>
      </c>
      <c r="Z50">
        <f>_xlfn.XLOOKUP(Main[[#This Row],[Finca]], Fincas[Nombre], Fincas[ID])</f>
        <v>38</v>
      </c>
      <c r="AA50" t="str" cm="1">
        <f t="array" ref="AA5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0" s="2" t="s">
        <v>33</v>
      </c>
      <c r="AC50" s="5"/>
      <c r="AD50" s="224" t="s">
        <v>105</v>
      </c>
    </row>
    <row r="51" spans="1:30" x14ac:dyDescent="0.25">
      <c r="A51" s="33" t="s">
        <v>85</v>
      </c>
      <c r="B51" s="153">
        <v>1</v>
      </c>
      <c r="C51" s="153" t="s">
        <v>35</v>
      </c>
      <c r="D51" s="33">
        <v>125</v>
      </c>
      <c r="E51">
        <v>125</v>
      </c>
      <c r="F51" t="s">
        <v>106</v>
      </c>
      <c r="G51" t="s">
        <v>107</v>
      </c>
      <c r="H51" s="1" t="s">
        <v>961</v>
      </c>
      <c r="I51" s="235">
        <v>0.36399999999999999</v>
      </c>
      <c r="J51" s="69">
        <f>_xlfn.LET(
  _xlpm.result, 1-((Main[[#This Row],[Cost]]+Main[[#This Row],[Duties]]+Main[[#This Row],[Transport]])/((Main[[#This Row],[Precio]]*0.96))),
  IF(_xlpm.result&lt;0, "BAJO", IF(_xlpm.result&gt;1, "ALTO", _xlpm.result))
)</f>
        <v>0.25839552238805974</v>
      </c>
      <c r="K51" s="131">
        <v>1.34</v>
      </c>
      <c r="L51" s="360" cm="1">
        <f t="array" aca="1" ref="L5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51" s="152">
        <f>Guias!$B$5</f>
        <v>46312</v>
      </c>
      <c r="N51" s="216">
        <f>ROUNDUP((Main[[#This Row],[Cost]]*Main[[#This Row],[Import Duties]]),2)</f>
        <v>6.0000000000000005E-2</v>
      </c>
      <c r="O51">
        <v>0</v>
      </c>
      <c r="P51">
        <v>1</v>
      </c>
      <c r="Q51">
        <v>0</v>
      </c>
      <c r="R51" s="217">
        <f>ROUNDUP(Main[[#This Row],[Transport2]]/Main[[#This Row],[Cantidad_Min]],2)</f>
        <v>0.53</v>
      </c>
      <c r="S51">
        <f>_xlfn.XLOOKUP(Main[[#This Row],[Type of Box]], Cajas[Nombre], Cajas[Largo])</f>
        <v>99</v>
      </c>
      <c r="T51">
        <f>_xlfn.XLOOKUP(Main[[#This Row],[Type of Box]], Cajas[Nombre], Cajas[Ancho])</f>
        <v>35</v>
      </c>
      <c r="U51">
        <f>_xlfn.XLOOKUP(Main[[#This Row],[Type of Box]], Cajas[Nombre], Cajas[Alto])</f>
        <v>16</v>
      </c>
      <c r="V5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1">
        <f>ROUNDUP(((Main[[#This Row],[Volumen]]*5.25))*1.36,2)</f>
        <v>65.98</v>
      </c>
      <c r="X51" s="219">
        <v>0.15859999999999999</v>
      </c>
      <c r="Y51" s="361">
        <f>Main[[#This Row],[Cantidad_Min]]*Main[[#This Row],[Precio]]*Main[[#This Row],[Qty]]</f>
        <v>167.5</v>
      </c>
      <c r="Z51">
        <f>_xlfn.XLOOKUP(Main[[#This Row],[Finca]], Fincas[Nombre], Fincas[ID])</f>
        <v>38</v>
      </c>
      <c r="AA51" t="str" cm="1">
        <f t="array" ref="AA5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1" s="2" t="s">
        <v>33</v>
      </c>
      <c r="AC51" s="5"/>
      <c r="AD51" s="224"/>
    </row>
    <row r="52" spans="1:30" x14ac:dyDescent="0.25">
      <c r="A52" s="33" t="s">
        <v>85</v>
      </c>
      <c r="B52" s="153">
        <v>1</v>
      </c>
      <c r="C52" s="153" t="s">
        <v>35</v>
      </c>
      <c r="D52" s="33">
        <v>125</v>
      </c>
      <c r="E52">
        <v>125</v>
      </c>
      <c r="F52" t="s">
        <v>55</v>
      </c>
      <c r="G52" t="s">
        <v>108</v>
      </c>
      <c r="H52" s="1" t="s">
        <v>962</v>
      </c>
      <c r="I52" s="235">
        <v>0.36399999999999999</v>
      </c>
      <c r="J52" s="69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52" s="131">
        <v>1.29</v>
      </c>
      <c r="L52" s="360" cm="1">
        <f t="array" aca="1" ref="L5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52" s="152">
        <f>Guias!$B$5</f>
        <v>46312</v>
      </c>
      <c r="N52" s="216">
        <f>ROUNDUP((Main[[#This Row],[Cost]]*Main[[#This Row],[Import Duties]]),2)</f>
        <v>6.0000000000000005E-2</v>
      </c>
      <c r="O52">
        <v>0</v>
      </c>
      <c r="P52">
        <v>1</v>
      </c>
      <c r="Q52">
        <v>0</v>
      </c>
      <c r="R52" s="217">
        <f>ROUNDUP(Main[[#This Row],[Transport2]]/Main[[#This Row],[Cantidad_Min]],2)</f>
        <v>0.53</v>
      </c>
      <c r="S52">
        <f>_xlfn.XLOOKUP(Main[[#This Row],[Type of Box]], Cajas[Nombre], Cajas[Largo])</f>
        <v>99</v>
      </c>
      <c r="T52">
        <f>_xlfn.XLOOKUP(Main[[#This Row],[Type of Box]], Cajas[Nombre], Cajas[Ancho])</f>
        <v>35</v>
      </c>
      <c r="U52">
        <f>_xlfn.XLOOKUP(Main[[#This Row],[Type of Box]], Cajas[Nombre], Cajas[Alto])</f>
        <v>16</v>
      </c>
      <c r="V5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2">
        <f>ROUNDUP(((Main[[#This Row],[Volumen]]*5.25))*1.36,2)</f>
        <v>65.98</v>
      </c>
      <c r="X52" s="219">
        <v>0.15859999999999999</v>
      </c>
      <c r="Y52" s="361">
        <f>Main[[#This Row],[Cantidad_Min]]*Main[[#This Row],[Precio]]*Main[[#This Row],[Qty]]</f>
        <v>161.25</v>
      </c>
      <c r="Z52">
        <f>_xlfn.XLOOKUP(Main[[#This Row],[Finca]], Fincas[Nombre], Fincas[ID])</f>
        <v>38</v>
      </c>
      <c r="AA52" t="str" cm="1">
        <f t="array" ref="AA5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2" s="2" t="s">
        <v>33</v>
      </c>
      <c r="AC52" s="5"/>
      <c r="AD52" s="224"/>
    </row>
    <row r="53" spans="1:30" x14ac:dyDescent="0.25">
      <c r="A53" s="33" t="s">
        <v>85</v>
      </c>
      <c r="B53" s="153">
        <v>1</v>
      </c>
      <c r="C53" s="153" t="s">
        <v>35</v>
      </c>
      <c r="D53" s="33">
        <v>125</v>
      </c>
      <c r="E53">
        <v>125</v>
      </c>
      <c r="F53" t="s">
        <v>55</v>
      </c>
      <c r="G53" t="s">
        <v>109</v>
      </c>
      <c r="H53" s="1" t="s">
        <v>963</v>
      </c>
      <c r="I53" s="235">
        <v>0.36399999999999999</v>
      </c>
      <c r="J53" s="69">
        <f>_xlfn.LET(
  _xlpm.result, 1-((Main[[#This Row],[Cost]]+Main[[#This Row],[Duties]]+Main[[#This Row],[Transport]])/((Main[[#This Row],[Precio]]*0.96))),
  IF(_xlpm.result&lt;0, "BAJO", IF(_xlpm.result&gt;1, "ALTO", _xlpm.result))
)</f>
        <v>0.22965116279069764</v>
      </c>
      <c r="K53" s="131">
        <v>1.29</v>
      </c>
      <c r="L53" s="360" cm="1">
        <f t="array" aca="1" ref="L5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53" s="152">
        <f>Guias!$B$5</f>
        <v>46312</v>
      </c>
      <c r="N53" s="216">
        <f>ROUNDUP((Main[[#This Row],[Cost]]*Main[[#This Row],[Import Duties]]),2)</f>
        <v>6.0000000000000005E-2</v>
      </c>
      <c r="O53">
        <v>0</v>
      </c>
      <c r="P53">
        <v>1</v>
      </c>
      <c r="Q53">
        <v>0</v>
      </c>
      <c r="R53" s="217">
        <f>ROUNDUP(Main[[#This Row],[Transport2]]/Main[[#This Row],[Cantidad_Min]],2)</f>
        <v>0.53</v>
      </c>
      <c r="S53">
        <f>_xlfn.XLOOKUP(Main[[#This Row],[Type of Box]], Cajas[Nombre], Cajas[Largo])</f>
        <v>99</v>
      </c>
      <c r="T53">
        <f>_xlfn.XLOOKUP(Main[[#This Row],[Type of Box]], Cajas[Nombre], Cajas[Ancho])</f>
        <v>35</v>
      </c>
      <c r="U53">
        <f>_xlfn.XLOOKUP(Main[[#This Row],[Type of Box]], Cajas[Nombre], Cajas[Alto])</f>
        <v>16</v>
      </c>
      <c r="V5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3">
        <f>ROUNDUP(((Main[[#This Row],[Volumen]]*5.25))*1.36,2)</f>
        <v>65.98</v>
      </c>
      <c r="X53" s="219">
        <v>0.15859999999999999</v>
      </c>
      <c r="Y53" s="361">
        <f>Main[[#This Row],[Cantidad_Min]]*Main[[#This Row],[Precio]]*Main[[#This Row],[Qty]]</f>
        <v>161.25</v>
      </c>
      <c r="Z53">
        <f>_xlfn.XLOOKUP(Main[[#This Row],[Finca]], Fincas[Nombre], Fincas[ID])</f>
        <v>38</v>
      </c>
      <c r="AA53" t="str" cm="1">
        <f t="array" ref="AA5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3" s="2" t="s">
        <v>33</v>
      </c>
      <c r="AC53" s="5"/>
      <c r="AD53" s="224"/>
    </row>
    <row r="54" spans="1:30" x14ac:dyDescent="0.25">
      <c r="A54" s="33" t="s">
        <v>85</v>
      </c>
      <c r="B54" s="153">
        <v>2</v>
      </c>
      <c r="C54" s="153" t="s">
        <v>31</v>
      </c>
      <c r="D54" s="33">
        <v>48</v>
      </c>
      <c r="E54">
        <v>48</v>
      </c>
      <c r="F54" t="s">
        <v>110</v>
      </c>
      <c r="G54" t="s">
        <v>111</v>
      </c>
      <c r="H54" s="1" t="s">
        <v>964</v>
      </c>
      <c r="I54" s="235">
        <v>0.56399999999999995</v>
      </c>
      <c r="J54" s="69">
        <f>_xlfn.LET(
  _xlpm.result, 1-((Main[[#This Row],[Cost]]+Main[[#This Row],[Duties]]+Main[[#This Row],[Transport]])/((Main[[#This Row],[Precio]]*0.96))),
  IF(_xlpm.result&lt;0, "BAJO", IF(_xlpm.result&gt;1, "ALTO", _xlpm.result))
)</f>
        <v>0.22067901234567899</v>
      </c>
      <c r="K54" s="131">
        <v>1.89</v>
      </c>
      <c r="L54" s="360" cm="1">
        <f t="array" aca="1" ref="L5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54" s="152">
        <f>Guias!$B$5</f>
        <v>46312</v>
      </c>
      <c r="N54" s="216">
        <f>ROUNDUP((Main[[#This Row],[Cost]]*Main[[#This Row],[Import Duties]]),2)</f>
        <v>0.09</v>
      </c>
      <c r="O54">
        <v>0</v>
      </c>
      <c r="P54">
        <v>1</v>
      </c>
      <c r="Q54">
        <v>0</v>
      </c>
      <c r="R54" s="217">
        <f>ROUNDUP(Main[[#This Row],[Transport2]]/Main[[#This Row],[Cantidad_Min]],2)</f>
        <v>0.76</v>
      </c>
      <c r="S54">
        <f>_xlfn.XLOOKUP(Main[[#This Row],[Type of Box]], Cajas[Nombre], Cajas[Largo])</f>
        <v>105</v>
      </c>
      <c r="T54">
        <f>_xlfn.XLOOKUP(Main[[#This Row],[Type of Box]], Cajas[Nombre], Cajas[Ancho])</f>
        <v>17</v>
      </c>
      <c r="U54">
        <f>_xlfn.XLOOKUP(Main[[#This Row],[Type of Box]], Cajas[Nombre], Cajas[Alto])</f>
        <v>17</v>
      </c>
      <c r="V5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4">
        <f>ROUNDUP(((Main[[#This Row],[Volumen]]*5.25))*1.36,2)</f>
        <v>36.119999999999997</v>
      </c>
      <c r="X54" s="219">
        <v>0.15859999999999999</v>
      </c>
      <c r="Y54" s="361">
        <f>Main[[#This Row],[Cantidad_Min]]*Main[[#This Row],[Precio]]*Main[[#This Row],[Qty]]</f>
        <v>181.44</v>
      </c>
      <c r="Z54">
        <f>_xlfn.XLOOKUP(Main[[#This Row],[Finca]], Fincas[Nombre], Fincas[ID])</f>
        <v>38</v>
      </c>
      <c r="AA54" t="str" cm="1">
        <f t="array" ref="AA5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4" s="2" t="s">
        <v>33</v>
      </c>
      <c r="AC54" s="5"/>
      <c r="AD54" s="224"/>
    </row>
    <row r="55" spans="1:30" x14ac:dyDescent="0.25">
      <c r="A55" s="33" t="s">
        <v>85</v>
      </c>
      <c r="B55" s="153">
        <v>1</v>
      </c>
      <c r="C55" s="153" t="s">
        <v>35</v>
      </c>
      <c r="D55" s="33">
        <v>125</v>
      </c>
      <c r="E55">
        <v>125</v>
      </c>
      <c r="F55" t="s">
        <v>112</v>
      </c>
      <c r="G55" t="s">
        <v>113</v>
      </c>
      <c r="H55" s="1" t="s">
        <v>965</v>
      </c>
      <c r="I55" s="235">
        <v>0.55400000000000005</v>
      </c>
      <c r="J55" s="69">
        <f>_xlfn.LET(
  _xlpm.result, 1-((Main[[#This Row],[Cost]]+Main[[#This Row],[Duties]]+Main[[#This Row],[Transport]])/((Main[[#This Row],[Precio]]*0.96))),
  IF(_xlpm.result&lt;0, "BAJO", IF(_xlpm.result&gt;1, "ALTO", _xlpm.result))
)</f>
        <v>0.27638067061143978</v>
      </c>
      <c r="K55" s="131">
        <v>1.69</v>
      </c>
      <c r="L55" s="360" cm="1">
        <f t="array" aca="1" ref="L5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55" s="152">
        <f>Guias!$B$5</f>
        <v>46312</v>
      </c>
      <c r="N55" s="216">
        <f>ROUNDUP((Main[[#This Row],[Cost]]*Main[[#This Row],[Import Duties]]),2)</f>
        <v>0.09</v>
      </c>
      <c r="O55">
        <v>0</v>
      </c>
      <c r="P55">
        <v>1</v>
      </c>
      <c r="Q55">
        <v>0</v>
      </c>
      <c r="R55" s="217">
        <f>ROUNDUP(Main[[#This Row],[Transport2]]/Main[[#This Row],[Cantidad_Min]],2)</f>
        <v>0.53</v>
      </c>
      <c r="S55">
        <f>_xlfn.XLOOKUP(Main[[#This Row],[Type of Box]], Cajas[Nombre], Cajas[Largo])</f>
        <v>99</v>
      </c>
      <c r="T55">
        <f>_xlfn.XLOOKUP(Main[[#This Row],[Type of Box]], Cajas[Nombre], Cajas[Ancho])</f>
        <v>35</v>
      </c>
      <c r="U55">
        <f>_xlfn.XLOOKUP(Main[[#This Row],[Type of Box]], Cajas[Nombre], Cajas[Alto])</f>
        <v>16</v>
      </c>
      <c r="V5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5">
        <f>ROUNDUP(((Main[[#This Row],[Volumen]]*5.25))*1.36,2)</f>
        <v>65.98</v>
      </c>
      <c r="X55" s="219">
        <v>0.15859999999999999</v>
      </c>
      <c r="Y55" s="361">
        <f>Main[[#This Row],[Cantidad_Min]]*Main[[#This Row],[Precio]]*Main[[#This Row],[Qty]]</f>
        <v>211.25</v>
      </c>
      <c r="Z55">
        <f>_xlfn.XLOOKUP(Main[[#This Row],[Finca]], Fincas[Nombre], Fincas[ID])</f>
        <v>38</v>
      </c>
      <c r="AA55" t="str" cm="1">
        <f t="array" ref="AA5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5" s="2" t="s">
        <v>33</v>
      </c>
      <c r="AC55" s="5"/>
      <c r="AD55" s="226"/>
    </row>
    <row r="56" spans="1:30" x14ac:dyDescent="0.25">
      <c r="A56" s="33" t="s">
        <v>85</v>
      </c>
      <c r="B56" s="153">
        <v>1</v>
      </c>
      <c r="C56" s="153" t="s">
        <v>35</v>
      </c>
      <c r="D56" s="33">
        <v>125</v>
      </c>
      <c r="E56">
        <v>125</v>
      </c>
      <c r="F56" t="s">
        <v>112</v>
      </c>
      <c r="G56" t="s">
        <v>113</v>
      </c>
      <c r="H56" s="1" t="s">
        <v>966</v>
      </c>
      <c r="I56" s="235">
        <v>0.55400000000000005</v>
      </c>
      <c r="J56" s="69">
        <f>_xlfn.LET(
  _xlpm.result, 1-((Main[[#This Row],[Cost]]+Main[[#This Row],[Duties]]+Main[[#This Row],[Transport]])/((Main[[#This Row],[Precio]]*0.96))),
  IF(_xlpm.result&lt;0, "BAJO", IF(_xlpm.result&gt;1, "ALTO", _xlpm.result))
)</f>
        <v>0.27638067061143978</v>
      </c>
      <c r="K56" s="131">
        <v>1.69</v>
      </c>
      <c r="L56" s="360" cm="1">
        <f t="array" aca="1" ref="L5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56" s="152">
        <f>Guias!$B$5</f>
        <v>46312</v>
      </c>
      <c r="N56" s="216">
        <f>ROUNDUP((Main[[#This Row],[Cost]]*Main[[#This Row],[Import Duties]]),2)</f>
        <v>0.09</v>
      </c>
      <c r="O56">
        <v>0</v>
      </c>
      <c r="P56">
        <v>1</v>
      </c>
      <c r="Q56">
        <v>0</v>
      </c>
      <c r="R56" s="217">
        <f>ROUNDUP(Main[[#This Row],[Transport2]]/Main[[#This Row],[Cantidad_Min]],2)</f>
        <v>0.53</v>
      </c>
      <c r="S56">
        <f>_xlfn.XLOOKUP(Main[[#This Row],[Type of Box]], Cajas[Nombre], Cajas[Largo])</f>
        <v>99</v>
      </c>
      <c r="T56">
        <f>_xlfn.XLOOKUP(Main[[#This Row],[Type of Box]], Cajas[Nombre], Cajas[Ancho])</f>
        <v>35</v>
      </c>
      <c r="U56">
        <f>_xlfn.XLOOKUP(Main[[#This Row],[Type of Box]], Cajas[Nombre], Cajas[Alto])</f>
        <v>16</v>
      </c>
      <c r="V5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56">
        <f>ROUNDUP(((Main[[#This Row],[Volumen]]*5.25))*1.36,2)</f>
        <v>65.98</v>
      </c>
      <c r="X56" s="219">
        <v>0.15859999999999999</v>
      </c>
      <c r="Y56" s="361">
        <f>Main[[#This Row],[Cantidad_Min]]*Main[[#This Row],[Precio]]*Main[[#This Row],[Qty]]</f>
        <v>211.25</v>
      </c>
      <c r="Z56">
        <f>_xlfn.XLOOKUP(Main[[#This Row],[Finca]], Fincas[Nombre], Fincas[ID])</f>
        <v>38</v>
      </c>
      <c r="AA56" t="str" cm="1">
        <f t="array" ref="AA5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6" s="2" t="s">
        <v>33</v>
      </c>
      <c r="AC56" s="5"/>
      <c r="AD56" s="224"/>
    </row>
    <row r="57" spans="1:30" x14ac:dyDescent="0.25">
      <c r="A57" s="33" t="s">
        <v>85</v>
      </c>
      <c r="B57" s="153">
        <v>1</v>
      </c>
      <c r="C57" s="153" t="s">
        <v>31</v>
      </c>
      <c r="D57" s="33">
        <v>48</v>
      </c>
      <c r="E57">
        <v>48</v>
      </c>
      <c r="F57" t="s">
        <v>114</v>
      </c>
      <c r="G57" t="str">
        <f>"Piano " &amp; _xlfn.XLOOKUP(Main[[#This Row],[FechaEntrega]], Guias[Fecha], Guias[Llegada])</f>
        <v>Piano (T/W)</v>
      </c>
      <c r="H57" s="1" t="s">
        <v>967</v>
      </c>
      <c r="I57" s="235">
        <v>0.61399999999999999</v>
      </c>
      <c r="J57" s="69">
        <f>_xlfn.LET(
  _xlpm.result, 1-((Main[[#This Row],[Cost]]+Main[[#This Row],[Duties]]+Main[[#This Row],[Transport]])/((Main[[#This Row],[Precio]]*0.96))),
  IF(_xlpm.result&lt;0, "BAJO", IF(_xlpm.result&gt;1, "ALTO", _xlpm.result))
)</f>
        <v>0.22843383584589616</v>
      </c>
      <c r="K57" s="131">
        <v>1.99</v>
      </c>
      <c r="L57" s="360" cm="1">
        <f t="array" aca="1" ref="L5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57" s="152">
        <f>Guias!$B$3</f>
        <v>46310</v>
      </c>
      <c r="N57" s="216">
        <f>ROUNDUP((Main[[#This Row],[Cost]]*Main[[#This Row],[Import Duties]]),2)</f>
        <v>9.9999999999999992E-2</v>
      </c>
      <c r="O57">
        <v>0</v>
      </c>
      <c r="P57">
        <v>1</v>
      </c>
      <c r="Q57">
        <v>0</v>
      </c>
      <c r="R57" s="217">
        <f>ROUNDUP(Main[[#This Row],[Transport2]]/Main[[#This Row],[Cantidad_Min]],2)</f>
        <v>0.76</v>
      </c>
      <c r="S57">
        <f>_xlfn.XLOOKUP(Main[[#This Row],[Type of Box]], Cajas[Nombre], Cajas[Largo])</f>
        <v>105</v>
      </c>
      <c r="T57">
        <f>_xlfn.XLOOKUP(Main[[#This Row],[Type of Box]], Cajas[Nombre], Cajas[Ancho])</f>
        <v>17</v>
      </c>
      <c r="U57">
        <f>_xlfn.XLOOKUP(Main[[#This Row],[Type of Box]], Cajas[Nombre], Cajas[Alto])</f>
        <v>17</v>
      </c>
      <c r="V5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7">
        <f>ROUNDUP(((Main[[#This Row],[Volumen]]*5.25))*1.36,2)</f>
        <v>36.119999999999997</v>
      </c>
      <c r="X57" s="219">
        <v>0.15859999999999999</v>
      </c>
      <c r="Y57" s="361">
        <f>Main[[#This Row],[Cantidad_Min]]*Main[[#This Row],[Precio]]*Main[[#This Row],[Qty]]</f>
        <v>95.52</v>
      </c>
      <c r="Z57">
        <f>_xlfn.XLOOKUP(Main[[#This Row],[Finca]], Fincas[Nombre], Fincas[ID])</f>
        <v>38</v>
      </c>
      <c r="AA57" t="str" cm="1">
        <f t="array" ref="AA5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7" s="2" t="s">
        <v>33</v>
      </c>
      <c r="AC57" s="400"/>
      <c r="AD57" s="225"/>
    </row>
    <row r="58" spans="1:30" x14ac:dyDescent="0.25">
      <c r="A58" s="33" t="s">
        <v>85</v>
      </c>
      <c r="B58" s="153">
        <v>1</v>
      </c>
      <c r="C58" s="153" t="s">
        <v>31</v>
      </c>
      <c r="D58" s="33">
        <v>48</v>
      </c>
      <c r="E58">
        <v>48</v>
      </c>
      <c r="F58" t="s">
        <v>110</v>
      </c>
      <c r="G58" t="str">
        <f>"Piano " &amp; _xlfn.XLOOKUP(Main[[#This Row],[FechaEntrega]], Guias[Fecha], Guias[Llegada])</f>
        <v>Piano (T/W)</v>
      </c>
      <c r="H58" s="1" t="s">
        <v>968</v>
      </c>
      <c r="I58" s="235">
        <v>0.61399999999999999</v>
      </c>
      <c r="J58" s="69">
        <f>_xlfn.LET(
  _xlpm.result, 1-((Main[[#This Row],[Cost]]+Main[[#This Row],[Duties]]+Main[[#This Row],[Transport]])/((Main[[#This Row],[Precio]]*0.96))),
  IF(_xlpm.result&lt;0, "BAJO", IF(_xlpm.result&gt;1, "ALTO", _xlpm.result))
)</f>
        <v>0.22814189189189182</v>
      </c>
      <c r="K58" s="131">
        <v>1.9892473118279568</v>
      </c>
      <c r="L58" s="360" cm="1">
        <f t="array" aca="1" ref="L5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58" s="152">
        <f>Guias!$B$3</f>
        <v>46310</v>
      </c>
      <c r="N58" s="216">
        <f>ROUNDUP((Main[[#This Row],[Cost]]*Main[[#This Row],[Import Duties]]),2)</f>
        <v>9.9999999999999992E-2</v>
      </c>
      <c r="O58">
        <v>0</v>
      </c>
      <c r="P58">
        <v>1</v>
      </c>
      <c r="Q58">
        <v>0</v>
      </c>
      <c r="R58" s="217">
        <f>ROUNDUP(Main[[#This Row],[Transport2]]/Main[[#This Row],[Cantidad_Min]],2)</f>
        <v>0.76</v>
      </c>
      <c r="S58">
        <f>_xlfn.XLOOKUP(Main[[#This Row],[Type of Box]], Cajas[Nombre], Cajas[Largo])</f>
        <v>105</v>
      </c>
      <c r="T58">
        <f>_xlfn.XLOOKUP(Main[[#This Row],[Type of Box]], Cajas[Nombre], Cajas[Ancho])</f>
        <v>17</v>
      </c>
      <c r="U58">
        <f>_xlfn.XLOOKUP(Main[[#This Row],[Type of Box]], Cajas[Nombre], Cajas[Alto])</f>
        <v>17</v>
      </c>
      <c r="V5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8">
        <f>ROUNDUP(((Main[[#This Row],[Volumen]]*5.25))*1.36,2)</f>
        <v>36.119999999999997</v>
      </c>
      <c r="X58" s="219">
        <v>0.15859999999999999</v>
      </c>
      <c r="Y58" s="361">
        <f>Main[[#This Row],[Cantidad_Min]]*Main[[#This Row],[Precio]]*Main[[#This Row],[Qty]]</f>
        <v>95.483870967741922</v>
      </c>
      <c r="Z58">
        <f>_xlfn.XLOOKUP(Main[[#This Row],[Finca]], Fincas[Nombre], Fincas[ID])</f>
        <v>38</v>
      </c>
      <c r="AA58" t="str" cm="1">
        <f t="array" ref="AA5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8" s="2" t="s">
        <v>33</v>
      </c>
      <c r="AC58" s="400"/>
      <c r="AD58" s="225"/>
    </row>
    <row r="59" spans="1:30" x14ac:dyDescent="0.25">
      <c r="A59" s="33" t="s">
        <v>85</v>
      </c>
      <c r="B59" s="153">
        <v>1</v>
      </c>
      <c r="C59" s="153" t="s">
        <v>31</v>
      </c>
      <c r="D59" s="33">
        <v>50</v>
      </c>
      <c r="E59">
        <v>50</v>
      </c>
      <c r="F59" t="s">
        <v>115</v>
      </c>
      <c r="G59" t="str">
        <f>"Jeanine " &amp; _xlfn.XLOOKUP(Main[[#This Row],[FechaEntrega]], Guias[Fecha], Guias[Llegada])</f>
        <v>Jeanine (T/W)</v>
      </c>
      <c r="H59" s="1" t="s">
        <v>969</v>
      </c>
      <c r="I59" s="235">
        <v>0.56000000000000005</v>
      </c>
      <c r="J59" s="69">
        <f>_xlfn.LET(
  _xlpm.result, 1-((Main[[#This Row],[Cost]]+Main[[#This Row],[Duties]]+Main[[#This Row],[Transport]])/((Main[[#This Row],[Precio]]*0.96))),
  IF(_xlpm.result&lt;0, "BAJO", IF(_xlpm.result&gt;1, "ALTO", _xlpm.result))
)</f>
        <v>0.24041193181818188</v>
      </c>
      <c r="K59" s="131">
        <v>1.8924731182795698</v>
      </c>
      <c r="L59" s="360" cm="1">
        <f t="array" aca="1" ref="L5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59" s="152">
        <f>Guias!$B$3</f>
        <v>46310</v>
      </c>
      <c r="N59" s="216">
        <f>ROUNDUP((Main[[#This Row],[Cost]]*Main[[#This Row],[Import Duties]]),2)</f>
        <v>0.09</v>
      </c>
      <c r="O59">
        <v>0</v>
      </c>
      <c r="P59">
        <v>1</v>
      </c>
      <c r="Q59">
        <v>0</v>
      </c>
      <c r="R59" s="217">
        <f>ROUNDUP(Main[[#This Row],[Transport2]]/Main[[#This Row],[Cantidad_Min]],2)</f>
        <v>0.73</v>
      </c>
      <c r="S59">
        <f>_xlfn.XLOOKUP(Main[[#This Row],[Type of Box]], Cajas[Nombre], Cajas[Largo])</f>
        <v>105</v>
      </c>
      <c r="T59">
        <f>_xlfn.XLOOKUP(Main[[#This Row],[Type of Box]], Cajas[Nombre], Cajas[Ancho])</f>
        <v>17</v>
      </c>
      <c r="U59">
        <f>_xlfn.XLOOKUP(Main[[#This Row],[Type of Box]], Cajas[Nombre], Cajas[Alto])</f>
        <v>17</v>
      </c>
      <c r="V5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59">
        <f>ROUNDUP(((Main[[#This Row],[Volumen]]*5.25))*1.36,2)</f>
        <v>36.119999999999997</v>
      </c>
      <c r="X59" s="219">
        <v>0.15859999999999999</v>
      </c>
      <c r="Y59" s="361">
        <f>Main[[#This Row],[Cantidad_Min]]*Main[[#This Row],[Precio]]*Main[[#This Row],[Qty]]</f>
        <v>94.623655913978482</v>
      </c>
      <c r="Z59">
        <f>_xlfn.XLOOKUP(Main[[#This Row],[Finca]], Fincas[Nombre], Fincas[ID])</f>
        <v>38</v>
      </c>
      <c r="AA59" t="str" cm="1">
        <f t="array" ref="AA5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59" s="2" t="s">
        <v>33</v>
      </c>
      <c r="AC59" s="5"/>
      <c r="AD59" s="224"/>
    </row>
    <row r="60" spans="1:30" x14ac:dyDescent="0.25">
      <c r="A60" s="33" t="s">
        <v>85</v>
      </c>
      <c r="B60" s="153">
        <v>1</v>
      </c>
      <c r="C60" s="153" t="s">
        <v>35</v>
      </c>
      <c r="D60" s="33">
        <v>125</v>
      </c>
      <c r="E60">
        <v>125</v>
      </c>
      <c r="F60" t="s">
        <v>112</v>
      </c>
      <c r="G60" t="str">
        <f>"25 Playa Blanca/25 Quicksand/25 Barista/25 Symbol/25 Cold Brew " &amp; _xlfn.XLOOKUP(Main[[#This Row],[FechaEntrega]], Guias[Fecha], Guias[Llegada])</f>
        <v>25 Playa Blanca/25 Quicksand/25 Barista/25 Symbol/25 Cold Brew (T/W)</v>
      </c>
      <c r="H60" s="1" t="s">
        <v>970</v>
      </c>
      <c r="I60" s="235">
        <v>0.55400000000000005</v>
      </c>
      <c r="J60" s="69">
        <f>_xlfn.LET(
  _xlpm.result, 1-((Main[[#This Row],[Cost]]+Main[[#This Row],[Duties]]+Main[[#This Row],[Transport]])/((Main[[#This Row],[Precio]]*0.96))),
  IF(_xlpm.result&lt;0, "BAJO", IF(_xlpm.result&gt;1, "ALTO", _xlpm.result))
)</f>
        <v>0.2755971337579618</v>
      </c>
      <c r="K60" s="131">
        <v>1.6881720430107527</v>
      </c>
      <c r="L60" s="360" cm="1">
        <f t="array" aca="1" ref="L6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0" s="152">
        <f>Guias!$B$3</f>
        <v>46310</v>
      </c>
      <c r="N60" s="216">
        <f>ROUNDUP((Main[[#This Row],[Cost]]*Main[[#This Row],[Import Duties]]),2)</f>
        <v>0.09</v>
      </c>
      <c r="O60">
        <v>0</v>
      </c>
      <c r="P60">
        <v>1</v>
      </c>
      <c r="Q60">
        <v>0</v>
      </c>
      <c r="R60" s="217">
        <f>ROUNDUP(Main[[#This Row],[Transport2]]/Main[[#This Row],[Cantidad_Min]],2)</f>
        <v>0.53</v>
      </c>
      <c r="S60">
        <f>_xlfn.XLOOKUP(Main[[#This Row],[Type of Box]], Cajas[Nombre], Cajas[Largo])</f>
        <v>99</v>
      </c>
      <c r="T60">
        <f>_xlfn.XLOOKUP(Main[[#This Row],[Type of Box]], Cajas[Nombre], Cajas[Ancho])</f>
        <v>35</v>
      </c>
      <c r="U60">
        <f>_xlfn.XLOOKUP(Main[[#This Row],[Type of Box]], Cajas[Nombre], Cajas[Alto])</f>
        <v>16</v>
      </c>
      <c r="V6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0">
        <f>ROUNDUP(((Main[[#This Row],[Volumen]]*5.25))*1.36,2)</f>
        <v>65.98</v>
      </c>
      <c r="X60" s="219">
        <v>0.15859999999999999</v>
      </c>
      <c r="Y60" s="361">
        <f>Main[[#This Row],[Cantidad_Min]]*Main[[#This Row],[Precio]]*Main[[#This Row],[Qty]]</f>
        <v>211.02150537634409</v>
      </c>
      <c r="Z60">
        <f>_xlfn.XLOOKUP(Main[[#This Row],[Finca]], Fincas[Nombre], Fincas[ID])</f>
        <v>38</v>
      </c>
      <c r="AA60" t="str" cm="1">
        <f t="array" ref="AA6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0" s="2" t="s">
        <v>33</v>
      </c>
      <c r="AC60" s="5"/>
      <c r="AD60" s="224"/>
    </row>
    <row r="61" spans="1:30" x14ac:dyDescent="0.25">
      <c r="A61" s="33" t="s">
        <v>85</v>
      </c>
      <c r="B61" s="153">
        <v>1</v>
      </c>
      <c r="C61" s="153" t="s">
        <v>35</v>
      </c>
      <c r="D61" s="33">
        <v>125</v>
      </c>
      <c r="E61">
        <v>125</v>
      </c>
      <c r="F61" t="s">
        <v>112</v>
      </c>
      <c r="G61" t="str">
        <f>"25 Playa Blanca/25 Quicksand/25 Barista/25 Symbol/25 Cold Brew " &amp; _xlfn.XLOOKUP(Main[[#This Row],[FechaEntrega]], Guias[Fecha], Guias[Llegada])</f>
        <v>25 Playa Blanca/25 Quicksand/25 Barista/25 Symbol/25 Cold Brew (T/W)</v>
      </c>
      <c r="H61" s="1" t="s">
        <v>971</v>
      </c>
      <c r="I61" s="235">
        <v>0.55400000000000005</v>
      </c>
      <c r="J61" s="69">
        <f>_xlfn.LET(
  _xlpm.result, 1-((Main[[#This Row],[Cost]]+Main[[#This Row],[Duties]]+Main[[#This Row],[Transport]])/((Main[[#This Row],[Precio]]*0.96))),
  IF(_xlpm.result&lt;0, "BAJO", IF(_xlpm.result&gt;1, "ALTO", _xlpm.result))
)</f>
        <v>0.2755971337579618</v>
      </c>
      <c r="K61" s="131">
        <v>1.6881720430107527</v>
      </c>
      <c r="L61" s="360" cm="1">
        <f t="array" aca="1" ref="L6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1" s="152">
        <f>Guias!$B$3</f>
        <v>46310</v>
      </c>
      <c r="N61" s="216">
        <f>ROUNDUP((Main[[#This Row],[Cost]]*Main[[#This Row],[Import Duties]]),2)</f>
        <v>0.09</v>
      </c>
      <c r="O61">
        <v>0</v>
      </c>
      <c r="P61">
        <v>1</v>
      </c>
      <c r="Q61">
        <v>0</v>
      </c>
      <c r="R61" s="217">
        <f>ROUNDUP(Main[[#This Row],[Transport2]]/Main[[#This Row],[Cantidad_Min]],2)</f>
        <v>0.53</v>
      </c>
      <c r="S61">
        <f>_xlfn.XLOOKUP(Main[[#This Row],[Type of Box]], Cajas[Nombre], Cajas[Largo])</f>
        <v>99</v>
      </c>
      <c r="T61">
        <f>_xlfn.XLOOKUP(Main[[#This Row],[Type of Box]], Cajas[Nombre], Cajas[Ancho])</f>
        <v>35</v>
      </c>
      <c r="U61">
        <f>_xlfn.XLOOKUP(Main[[#This Row],[Type of Box]], Cajas[Nombre], Cajas[Alto])</f>
        <v>16</v>
      </c>
      <c r="V6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1">
        <f>ROUNDUP(((Main[[#This Row],[Volumen]]*5.25))*1.36,2)</f>
        <v>65.98</v>
      </c>
      <c r="X61" s="219">
        <v>0.15859999999999999</v>
      </c>
      <c r="Y61" s="361">
        <f>Main[[#This Row],[Cantidad_Min]]*Main[[#This Row],[Precio]]*Main[[#This Row],[Qty]]</f>
        <v>211.02150537634409</v>
      </c>
      <c r="Z61">
        <f>_xlfn.XLOOKUP(Main[[#This Row],[Finca]], Fincas[Nombre], Fincas[ID])</f>
        <v>38</v>
      </c>
      <c r="AA61" t="str" cm="1">
        <f t="array" ref="AA6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1" s="2" t="s">
        <v>33</v>
      </c>
      <c r="AC61" s="31"/>
      <c r="AD61" s="226"/>
    </row>
    <row r="62" spans="1:30" x14ac:dyDescent="0.25">
      <c r="A62" s="33" t="s">
        <v>85</v>
      </c>
      <c r="B62" s="153">
        <v>2</v>
      </c>
      <c r="C62" s="153" t="s">
        <v>31</v>
      </c>
      <c r="D62" s="33">
        <v>50</v>
      </c>
      <c r="E62">
        <v>50</v>
      </c>
      <c r="F62" t="s">
        <v>55</v>
      </c>
      <c r="G62" t="str">
        <f>"25 Explorer/25 Red Panther " &amp; _xlfn.XLOOKUP(Main[[#This Row],[FechaEntrega]], Guias[Fecha], Guias[Llegada])</f>
        <v>25 Explorer/25 Red Panther (T/W)</v>
      </c>
      <c r="H62" s="1" t="s">
        <v>972</v>
      </c>
      <c r="I62" s="235">
        <v>0.36399999999999999</v>
      </c>
      <c r="J62" s="69">
        <f>_xlfn.LET(
  _xlpm.result, 1-((Main[[#This Row],[Cost]]+Main[[#This Row],[Duties]]+Main[[#This Row],[Transport]])/((Main[[#This Row],[Precio]]*0.96))),
  IF(_xlpm.result&lt;0, "BAJO", IF(_xlpm.result&gt;1, "ALTO", _xlpm.result))
)</f>
        <v>0.21942640692640691</v>
      </c>
      <c r="K62" s="131">
        <v>1.54</v>
      </c>
      <c r="L62" s="360" cm="1">
        <f t="array" aca="1" ref="L6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2" s="152">
        <f>Guias!$B$3</f>
        <v>46310</v>
      </c>
      <c r="N62" s="216">
        <f>ROUNDUP((Main[[#This Row],[Cost]]*Main[[#This Row],[Import Duties]]),2)</f>
        <v>6.0000000000000005E-2</v>
      </c>
      <c r="O62">
        <v>0</v>
      </c>
      <c r="P62">
        <v>1</v>
      </c>
      <c r="Q62">
        <v>0</v>
      </c>
      <c r="R62" s="217">
        <f>ROUNDUP(Main[[#This Row],[Transport2]]/Main[[#This Row],[Cantidad_Min]],2)</f>
        <v>0.73</v>
      </c>
      <c r="S62">
        <f>_xlfn.XLOOKUP(Main[[#This Row],[Type of Box]], Cajas[Nombre], Cajas[Largo])</f>
        <v>105</v>
      </c>
      <c r="T62">
        <f>_xlfn.XLOOKUP(Main[[#This Row],[Type of Box]], Cajas[Nombre], Cajas[Ancho])</f>
        <v>17</v>
      </c>
      <c r="U62">
        <f>_xlfn.XLOOKUP(Main[[#This Row],[Type of Box]], Cajas[Nombre], Cajas[Alto])</f>
        <v>17</v>
      </c>
      <c r="V6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62">
        <f>ROUNDUP(((Main[[#This Row],[Volumen]]*5.25))*1.36,2)</f>
        <v>36.119999999999997</v>
      </c>
      <c r="X62" s="219">
        <v>0.15859999999999999</v>
      </c>
      <c r="Y62" s="361">
        <f>Main[[#This Row],[Cantidad_Min]]*Main[[#This Row],[Precio]]*Main[[#This Row],[Qty]]</f>
        <v>154</v>
      </c>
      <c r="Z62">
        <f>_xlfn.XLOOKUP(Main[[#This Row],[Finca]], Fincas[Nombre], Fincas[ID])</f>
        <v>38</v>
      </c>
      <c r="AA62" t="str" cm="1">
        <f t="array" ref="AA6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2" s="2" t="s">
        <v>33</v>
      </c>
      <c r="AC62" s="5"/>
      <c r="AD62" s="224"/>
    </row>
    <row r="63" spans="1:30" x14ac:dyDescent="0.25">
      <c r="A63" s="33" t="s">
        <v>85</v>
      </c>
      <c r="B63" s="153">
        <v>2</v>
      </c>
      <c r="C63" s="153" t="s">
        <v>35</v>
      </c>
      <c r="D63" s="33">
        <v>125</v>
      </c>
      <c r="E63">
        <v>125</v>
      </c>
      <c r="F63" t="s">
        <v>55</v>
      </c>
      <c r="G63" t="str">
        <f>"25 Red Panther/25 Free Spirit/25 Yellow/25 V.I.Pink/25 Lavender " &amp; _xlfn.XLOOKUP(Main[[#This Row],[FechaEntrega]], Guias[Fecha], Guias[Llegada])</f>
        <v>25 Red Panther/25 Free Spirit/25 Yellow/25 V.I.Pink/25 Lavender (T/W)</v>
      </c>
      <c r="H63" s="1" t="s">
        <v>973</v>
      </c>
      <c r="I63" s="235">
        <v>0.38400000000000001</v>
      </c>
      <c r="J63" s="69">
        <f>_xlfn.LET(
  _xlpm.result, 1-((Main[[#This Row],[Cost]]+Main[[#This Row],[Duties]]+Main[[#This Row],[Transport]])/((Main[[#This Row],[Precio]]*0.96))),
  IF(_xlpm.result&lt;0, "BAJO", IF(_xlpm.result&gt;1, "ALTO", _xlpm.result))
)</f>
        <v>0.26104651162790693</v>
      </c>
      <c r="K63" s="131">
        <v>1.3870967741935483</v>
      </c>
      <c r="L63" s="360" cm="1">
        <f t="array" aca="1" ref="L6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3" s="152">
        <f>Guias!$B$3</f>
        <v>46310</v>
      </c>
      <c r="N63" s="216">
        <f>ROUNDUP((Main[[#This Row],[Cost]]*Main[[#This Row],[Import Duties]]),2)</f>
        <v>6.9999999999999993E-2</v>
      </c>
      <c r="O63">
        <v>0</v>
      </c>
      <c r="P63">
        <v>1</v>
      </c>
      <c r="Q63">
        <v>0</v>
      </c>
      <c r="R63" s="217">
        <f>ROUNDUP(Main[[#This Row],[Transport2]]/Main[[#This Row],[Cantidad_Min]],2)</f>
        <v>0.53</v>
      </c>
      <c r="S63">
        <f>_xlfn.XLOOKUP(Main[[#This Row],[Type of Box]], Cajas[Nombre], Cajas[Largo])</f>
        <v>99</v>
      </c>
      <c r="T63">
        <f>_xlfn.XLOOKUP(Main[[#This Row],[Type of Box]], Cajas[Nombre], Cajas[Ancho])</f>
        <v>35</v>
      </c>
      <c r="U63">
        <f>_xlfn.XLOOKUP(Main[[#This Row],[Type of Box]], Cajas[Nombre], Cajas[Alto])</f>
        <v>16</v>
      </c>
      <c r="V6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3">
        <f>ROUNDUP(((Main[[#This Row],[Volumen]]*5.25))*1.36,2)</f>
        <v>65.98</v>
      </c>
      <c r="X63" s="219">
        <v>0.15859999999999999</v>
      </c>
      <c r="Y63" s="361">
        <f>Main[[#This Row],[Cantidad_Min]]*Main[[#This Row],[Precio]]*Main[[#This Row],[Qty]]</f>
        <v>346.77419354838707</v>
      </c>
      <c r="Z63">
        <f>_xlfn.XLOOKUP(Main[[#This Row],[Finca]], Fincas[Nombre], Fincas[ID])</f>
        <v>38</v>
      </c>
      <c r="AA63" t="str" cm="1">
        <f t="array" ref="AA6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3" s="2" t="s">
        <v>33</v>
      </c>
      <c r="AC63" s="5"/>
      <c r="AD63" s="224"/>
    </row>
    <row r="64" spans="1:30" x14ac:dyDescent="0.25">
      <c r="A64" s="33" t="s">
        <v>85</v>
      </c>
      <c r="B64" s="153">
        <v>1</v>
      </c>
      <c r="C64" s="153" t="s">
        <v>31</v>
      </c>
      <c r="D64" s="33">
        <v>55</v>
      </c>
      <c r="E64">
        <v>55</v>
      </c>
      <c r="F64" t="s">
        <v>116</v>
      </c>
      <c r="G64" t="str">
        <f>"25 Playa Blanca/30 Jeanine " &amp; _xlfn.XLOOKUP(Main[[#This Row],[FechaEntrega]], Guias[Fecha], Guias[Llegada])</f>
        <v>25 Playa Blanca/30 Jeanine (T/W)</v>
      </c>
      <c r="H64" s="1" t="s">
        <v>974</v>
      </c>
      <c r="I64" s="235">
        <v>0.54</v>
      </c>
      <c r="J64" s="69">
        <f>_xlfn.LET(
  _xlpm.result, 1-((Main[[#This Row],[Cost]]+Main[[#This Row],[Duties]]+Main[[#This Row],[Transport]])/((Main[[#This Row],[Precio]]*0.96))),
  IF(_xlpm.result&lt;0, "BAJO", IF(_xlpm.result&gt;1, "ALTO", _xlpm.result))
)</f>
        <v>0.24930167597765363</v>
      </c>
      <c r="K64" s="131">
        <v>1.79</v>
      </c>
      <c r="L64" s="360" cm="1">
        <f t="array" aca="1" ref="L6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4" s="152">
        <f>Guias!$B$3</f>
        <v>46310</v>
      </c>
      <c r="N64" s="216">
        <f>ROUNDUP((Main[[#This Row],[Cost]]*Main[[#This Row],[Import Duties]]),2)</f>
        <v>0.09</v>
      </c>
      <c r="O64">
        <v>0</v>
      </c>
      <c r="P64">
        <v>1</v>
      </c>
      <c r="Q64">
        <v>0</v>
      </c>
      <c r="R64" s="217">
        <f>ROUNDUP(Main[[#This Row],[Transport2]]/Main[[#This Row],[Cantidad_Min]],2)</f>
        <v>0.66</v>
      </c>
      <c r="S64">
        <f>_xlfn.XLOOKUP(Main[[#This Row],[Type of Box]], Cajas[Nombre], Cajas[Largo])</f>
        <v>105</v>
      </c>
      <c r="T64">
        <f>_xlfn.XLOOKUP(Main[[#This Row],[Type of Box]], Cajas[Nombre], Cajas[Ancho])</f>
        <v>17</v>
      </c>
      <c r="U64">
        <f>_xlfn.XLOOKUP(Main[[#This Row],[Type of Box]], Cajas[Nombre], Cajas[Alto])</f>
        <v>17</v>
      </c>
      <c r="V6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64">
        <f>ROUNDUP(((Main[[#This Row],[Volumen]]*5.25))*1.36,2)</f>
        <v>36.119999999999997</v>
      </c>
      <c r="X64" s="219">
        <v>0.15859999999999999</v>
      </c>
      <c r="Y64" s="361">
        <f>Main[[#This Row],[Cantidad_Min]]*Main[[#This Row],[Precio]]*Main[[#This Row],[Qty]]</f>
        <v>98.45</v>
      </c>
      <c r="Z64">
        <f>_xlfn.XLOOKUP(Main[[#This Row],[Finca]], Fincas[Nombre], Fincas[ID])</f>
        <v>38</v>
      </c>
      <c r="AA64" t="str" cm="1">
        <f t="array" ref="AA6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4" s="2" t="s">
        <v>33</v>
      </c>
      <c r="AC64" s="5"/>
      <c r="AD64" s="224"/>
    </row>
    <row r="65" spans="1:30" x14ac:dyDescent="0.25">
      <c r="A65" s="33" t="s">
        <v>85</v>
      </c>
      <c r="B65" s="153">
        <v>1</v>
      </c>
      <c r="C65" s="153" t="s">
        <v>31</v>
      </c>
      <c r="D65" s="33">
        <v>50</v>
      </c>
      <c r="E65">
        <v>50</v>
      </c>
      <c r="F65" t="s">
        <v>89</v>
      </c>
      <c r="G65" t="str">
        <f>"Freedom " &amp; _xlfn.XLOOKUP(Main[[#This Row],[FechaEntrega]], Guias[Fecha], Guias[Llegada])</f>
        <v>Freedom (M/T)</v>
      </c>
      <c r="H65" s="1" t="s">
        <v>975</v>
      </c>
      <c r="I65" s="235">
        <v>0.434</v>
      </c>
      <c r="J65" s="69">
        <f>_xlfn.LET(
  _xlpm.result, 1-((Main[[#This Row],[Cost]]+Main[[#This Row],[Duties]]+Main[[#This Row],[Transport]])/((Main[[#This Row],[Precio]]*0.96))),
  IF(_xlpm.result&lt;0, "BAJO", IF(_xlpm.result&gt;1, "ALTO", _xlpm.result))
)</f>
        <v>0.13730425055928408</v>
      </c>
      <c r="K65" s="131">
        <v>1.49</v>
      </c>
      <c r="L65" s="360" cm="1">
        <f t="array" aca="1" ref="L6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65" s="152">
        <f>Guias!$B$2</f>
        <v>46309</v>
      </c>
      <c r="N65" s="216">
        <f>ROUNDUP((Main[[#This Row],[Cost]]*Main[[#This Row],[Import Duties]]),2)</f>
        <v>6.9999999999999993E-2</v>
      </c>
      <c r="O65">
        <v>0</v>
      </c>
      <c r="P65">
        <v>1</v>
      </c>
      <c r="Q65">
        <v>0</v>
      </c>
      <c r="R65" s="217">
        <f>ROUNDUP(Main[[#This Row],[Transport2]]/Main[[#This Row],[Cantidad_Min]],2)</f>
        <v>0.73</v>
      </c>
      <c r="S65">
        <f>_xlfn.XLOOKUP(Main[[#This Row],[Type of Box]], Cajas[Nombre], Cajas[Largo])</f>
        <v>105</v>
      </c>
      <c r="T65">
        <f>_xlfn.XLOOKUP(Main[[#This Row],[Type of Box]], Cajas[Nombre], Cajas[Ancho])</f>
        <v>17</v>
      </c>
      <c r="U65">
        <f>_xlfn.XLOOKUP(Main[[#This Row],[Type of Box]], Cajas[Nombre], Cajas[Alto])</f>
        <v>17</v>
      </c>
      <c r="V6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65">
        <f>ROUNDUP(((Main[[#This Row],[Volumen]]*5.25))*1.36,2)</f>
        <v>36.119999999999997</v>
      </c>
      <c r="X65" s="219">
        <v>0.15859999999999999</v>
      </c>
      <c r="Y65" s="361">
        <f>Main[[#This Row],[Cantidad_Min]]*Main[[#This Row],[Precio]]*Main[[#This Row],[Qty]]</f>
        <v>74.5</v>
      </c>
      <c r="Z65">
        <f>_xlfn.XLOOKUP(Main[[#This Row],[Finca]], Fincas[Nombre], Fincas[ID])</f>
        <v>38</v>
      </c>
      <c r="AA65" t="str" cm="1">
        <f t="array" ref="AA6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5" s="2" t="s">
        <v>33</v>
      </c>
      <c r="AC65" s="5"/>
      <c r="AD65" s="224"/>
    </row>
    <row r="66" spans="1:30" x14ac:dyDescent="0.25">
      <c r="A66" s="33" t="s">
        <v>85</v>
      </c>
      <c r="B66" s="153">
        <v>1</v>
      </c>
      <c r="C66" s="153" t="s">
        <v>35</v>
      </c>
      <c r="D66" s="33">
        <v>125</v>
      </c>
      <c r="E66">
        <v>125</v>
      </c>
      <c r="F66" t="s">
        <v>55</v>
      </c>
      <c r="G66" t="str">
        <f>"Redvolution " &amp; _xlfn.XLOOKUP(Main[[#This Row],[FechaEntrega]], Guias[Fecha], Guias[Llegada])</f>
        <v>Redvolution (M/T)</v>
      </c>
      <c r="H66" s="1" t="s">
        <v>976</v>
      </c>
      <c r="I66" s="235">
        <v>0.36399999999999999</v>
      </c>
      <c r="J66" s="69">
        <f>_xlfn.LET(
  _xlpm.result, 1-((Main[[#This Row],[Cost]]+Main[[#This Row],[Duties]]+Main[[#This Row],[Transport]])/((Main[[#This Row],[Precio]]*0.96))),
  IF(_xlpm.result&lt;0, "BAJO", IF(_xlpm.result&gt;1, "ALTO", _xlpm.result))
)</f>
        <v>0.28507194244604306</v>
      </c>
      <c r="K66" s="131">
        <v>1.39</v>
      </c>
      <c r="L66" s="360" cm="1">
        <f t="array" aca="1" ref="L6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66" s="152">
        <f>Guias!$B$2</f>
        <v>46309</v>
      </c>
      <c r="N66" s="216">
        <f>ROUNDUP((Main[[#This Row],[Cost]]*Main[[#This Row],[Import Duties]]),2)</f>
        <v>6.0000000000000005E-2</v>
      </c>
      <c r="O66">
        <v>0</v>
      </c>
      <c r="P66">
        <v>1</v>
      </c>
      <c r="Q66">
        <v>0</v>
      </c>
      <c r="R66" s="217">
        <f>ROUNDUP(Main[[#This Row],[Transport2]]/Main[[#This Row],[Cantidad_Min]],2)</f>
        <v>0.53</v>
      </c>
      <c r="S66">
        <f>_xlfn.XLOOKUP(Main[[#This Row],[Type of Box]], Cajas[Nombre], Cajas[Largo])</f>
        <v>99</v>
      </c>
      <c r="T66">
        <f>_xlfn.XLOOKUP(Main[[#This Row],[Type of Box]], Cajas[Nombre], Cajas[Ancho])</f>
        <v>35</v>
      </c>
      <c r="U66">
        <f>_xlfn.XLOOKUP(Main[[#This Row],[Type of Box]], Cajas[Nombre], Cajas[Alto])</f>
        <v>16</v>
      </c>
      <c r="V6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6">
        <f>ROUNDUP(((Main[[#This Row],[Volumen]]*5.25))*1.36,2)</f>
        <v>65.98</v>
      </c>
      <c r="X66" s="219">
        <v>0.15859999999999999</v>
      </c>
      <c r="Y66" s="361">
        <f>Main[[#This Row],[Cantidad_Min]]*Main[[#This Row],[Precio]]*Main[[#This Row],[Qty]]</f>
        <v>173.75</v>
      </c>
      <c r="Z66">
        <f>_xlfn.XLOOKUP(Main[[#This Row],[Finca]], Fincas[Nombre], Fincas[ID])</f>
        <v>38</v>
      </c>
      <c r="AA66" t="str" cm="1">
        <f t="array" ref="AA6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6" s="2" t="s">
        <v>33</v>
      </c>
      <c r="AC66" s="5"/>
      <c r="AD66" s="224"/>
    </row>
    <row r="67" spans="1:30" ht="15.75" thickBot="1" x14ac:dyDescent="0.3">
      <c r="A67" s="33" t="s">
        <v>85</v>
      </c>
      <c r="B67" s="153">
        <v>1</v>
      </c>
      <c r="C67" s="153" t="s">
        <v>35</v>
      </c>
      <c r="D67" s="33">
        <v>125</v>
      </c>
      <c r="E67">
        <v>125</v>
      </c>
      <c r="F67" t="s">
        <v>55</v>
      </c>
      <c r="G67" t="str">
        <f>"Fortune " &amp; _xlfn.XLOOKUP(Main[[#This Row],[FechaEntrega]], Guias[Fecha], Guias[Llegada])</f>
        <v>Fortune (M/T)</v>
      </c>
      <c r="H67" s="1" t="s">
        <v>977</v>
      </c>
      <c r="I67" s="235">
        <v>0.36399999999999999</v>
      </c>
      <c r="J67" s="69">
        <f>_xlfn.LET(
  _xlpm.result, 1-((Main[[#This Row],[Cost]]+Main[[#This Row],[Duties]]+Main[[#This Row],[Transport]])/((Main[[#This Row],[Precio]]*0.96))),
  IF(_xlpm.result&lt;0, "BAJO", IF(_xlpm.result&gt;1, "ALTO", _xlpm.result))
)</f>
        <v>0.28507194244604306</v>
      </c>
      <c r="K67" s="131">
        <v>1.39</v>
      </c>
      <c r="L67" s="360" cm="1">
        <f t="array" aca="1" ref="L6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67" s="152">
        <f>Guias!$B$2</f>
        <v>46309</v>
      </c>
      <c r="N67" s="216">
        <f>ROUNDUP((Main[[#This Row],[Cost]]*Main[[#This Row],[Import Duties]]),2)</f>
        <v>6.0000000000000005E-2</v>
      </c>
      <c r="O67">
        <v>0</v>
      </c>
      <c r="P67">
        <v>1</v>
      </c>
      <c r="Q67">
        <v>0</v>
      </c>
      <c r="R67" s="217">
        <f>ROUNDUP(Main[[#This Row],[Transport2]]/Main[[#This Row],[Cantidad_Min]],2)</f>
        <v>0.53</v>
      </c>
      <c r="S67">
        <f>_xlfn.XLOOKUP(Main[[#This Row],[Type of Box]], Cajas[Nombre], Cajas[Largo])</f>
        <v>99</v>
      </c>
      <c r="T67">
        <f>_xlfn.XLOOKUP(Main[[#This Row],[Type of Box]], Cajas[Nombre], Cajas[Ancho])</f>
        <v>35</v>
      </c>
      <c r="U67">
        <f>_xlfn.XLOOKUP(Main[[#This Row],[Type of Box]], Cajas[Nombre], Cajas[Alto])</f>
        <v>16</v>
      </c>
      <c r="V6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67">
        <f>ROUNDUP(((Main[[#This Row],[Volumen]]*5.25))*1.36,2)</f>
        <v>65.98</v>
      </c>
      <c r="X67" s="219">
        <v>0.15859999999999999</v>
      </c>
      <c r="Y67" s="361">
        <f>Main[[#This Row],[Cantidad_Min]]*Main[[#This Row],[Precio]]*Main[[#This Row],[Qty]]</f>
        <v>173.75</v>
      </c>
      <c r="Z67">
        <f>_xlfn.XLOOKUP(Main[[#This Row],[Finca]], Fincas[Nombre], Fincas[ID])</f>
        <v>38</v>
      </c>
      <c r="AA67" t="str" cm="1">
        <f t="array" ref="AA6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7" s="2" t="s">
        <v>33</v>
      </c>
      <c r="AC67" s="5"/>
      <c r="AD67" s="224"/>
    </row>
    <row r="68" spans="1:30" ht="15.75" thickBot="1" x14ac:dyDescent="0.3">
      <c r="A68" s="416" t="s">
        <v>117</v>
      </c>
      <c r="B68" s="417">
        <v>4</v>
      </c>
      <c r="C68" s="417" t="s">
        <v>31</v>
      </c>
      <c r="D68" s="416">
        <v>70</v>
      </c>
      <c r="E68" s="418">
        <v>70</v>
      </c>
      <c r="F68" s="418" t="s">
        <v>118</v>
      </c>
      <c r="G68" s="418" t="str">
        <f>"10 Red/10 Green/10 Burgundy/10 Coral/20 Pinks/10 White-Cream " &amp; _xlfn.XLOOKUP(Main[[#This Row],[FechaEntrega]], Guias[Fecha], Guias[Llegada])</f>
        <v>10 Red/10 Green/10 Burgundy/10 Coral/20 Pinks/10 White-Cream (T/W)</v>
      </c>
      <c r="H68" s="1" t="s">
        <v>978</v>
      </c>
      <c r="I68" s="419">
        <v>0.28000000000000003</v>
      </c>
      <c r="J68" s="420">
        <f>_xlfn.LET(
  _xlpm.result, 1-((Main[[#This Row],[Cost]]+Main[[#This Row],[Duties]]+Main[[#This Row],[Transport]])/((Main[[#This Row],[Precio]]*0.96))),
  IF(_xlpm.result&lt;0, "BAJO", IF(_xlpm.result&gt;1, "ALTO", _xlpm.result))
)</f>
        <v>0.25595238095238082</v>
      </c>
      <c r="K68" s="421">
        <v>1.19</v>
      </c>
      <c r="L68" s="422" cm="1">
        <f t="array" aca="1" ref="L6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8" s="423">
        <f>Guias!$B$3</f>
        <v>46310</v>
      </c>
      <c r="N68" s="424">
        <f>ROUNDUP((Main[[#This Row],[Cost]]*Main[[#This Row],[Import Duties]]),2)</f>
        <v>0.05</v>
      </c>
      <c r="O68" s="418">
        <v>0</v>
      </c>
      <c r="P68" s="418">
        <v>1</v>
      </c>
      <c r="Q68" s="418">
        <v>0</v>
      </c>
      <c r="R68" s="425">
        <f>ROUNDUP(Main[[#This Row],[Transport2]]/Main[[#This Row],[Cantidad_Min]],2)</f>
        <v>0.52</v>
      </c>
      <c r="S68" s="418">
        <f>_xlfn.XLOOKUP(Main[[#This Row],[Type of Box]], Cajas[Nombre], Cajas[Largo])</f>
        <v>105</v>
      </c>
      <c r="T68" s="418">
        <f>_xlfn.XLOOKUP(Main[[#This Row],[Type of Box]], Cajas[Nombre], Cajas[Ancho])</f>
        <v>17</v>
      </c>
      <c r="U68" s="418">
        <f>_xlfn.XLOOKUP(Main[[#This Row],[Type of Box]], Cajas[Nombre], Cajas[Alto])</f>
        <v>17</v>
      </c>
      <c r="V68" s="4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68" s="418">
        <f>ROUNDUP(((Main[[#This Row],[Volumen]]*5.25))*1.36,2)</f>
        <v>36.119999999999997</v>
      </c>
      <c r="X68" s="426">
        <v>0.15859999999999999</v>
      </c>
      <c r="Y68" s="427">
        <f>Main[[#This Row],[Cantidad_Min]]*Main[[#This Row],[Precio]]*Main[[#This Row],[Qty]]</f>
        <v>333.2</v>
      </c>
      <c r="Z68" s="418">
        <f>_xlfn.XLOOKUP(Main[[#This Row],[Finca]], Fincas[Nombre], Fincas[ID])</f>
        <v>16</v>
      </c>
      <c r="AA68" s="418" t="str" cm="1">
        <f t="array" ref="AA6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8" s="428" t="s">
        <v>33</v>
      </c>
      <c r="AC68" s="429"/>
      <c r="AD68" s="430" t="s">
        <v>119</v>
      </c>
    </row>
    <row r="69" spans="1:30" x14ac:dyDescent="0.25">
      <c r="A69" s="413" t="s">
        <v>120</v>
      </c>
      <c r="B69" s="414">
        <v>1</v>
      </c>
      <c r="C69" s="414" t="s">
        <v>31</v>
      </c>
      <c r="D69" s="413">
        <v>120</v>
      </c>
      <c r="E69" s="415">
        <v>120</v>
      </c>
      <c r="F69" s="415" t="s">
        <v>121</v>
      </c>
      <c r="G69" s="228" t="str">
        <f>"Assorted Colors " &amp; _xlfn.XLOOKUP(Main[[#This Row],[FechaEntrega]], Guias[Fecha], Guias[Llegada])</f>
        <v>Assorted Colors (T/W)</v>
      </c>
      <c r="H69" s="1" t="s">
        <v>979</v>
      </c>
      <c r="I69" s="352">
        <v>0.2</v>
      </c>
      <c r="J69" s="286">
        <f>_xlfn.LET(
  _xlpm.result, 1-((Main[[#This Row],[Cost]]+Main[[#This Row],[Duties]]+Main[[#This Row],[Transport]])/((Main[[#This Row],[Precio]]*0.96))),
  IF(_xlpm.result&lt;0, "BAJO", IF(_xlpm.result&gt;1, "ALTO", _xlpm.result))
)</f>
        <v>0.22578828828828812</v>
      </c>
      <c r="K69" s="239">
        <f>IF(OR(AND(ISNUMBER(FIND("(*PAR)",
UPPER(Main[[#This Row],[Standing Orders]]))),
MOD(IFERROR(VALUE(Guias!$M$2),0),2)=0),
AND(ISNUMBER(FIND("(*IMPAR)",
UPPER(Main[[#This Row],[Standing Orders]]))),
MOD(IFERROR(VALUE(Guias!$M$2),
0),2)=1)), 0.79, 0.74)</f>
        <v>0.74</v>
      </c>
      <c r="L69" s="353" cm="1">
        <f t="array" aca="1" ref="L6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69" s="354">
        <f>Guias!$B$3</f>
        <v>46310</v>
      </c>
      <c r="N69" s="355">
        <f>ROUNDUP((Main[[#This Row],[Cost]]*Main[[#This Row],[Import Duties]]),2)</f>
        <v>0.04</v>
      </c>
      <c r="O69" s="228">
        <v>0</v>
      </c>
      <c r="P69" s="228">
        <v>1</v>
      </c>
      <c r="Q69" s="228">
        <v>0</v>
      </c>
      <c r="R69" s="356">
        <f>ROUNDUP(Main[[#This Row],[Transport2]]/Main[[#This Row],[Cantidad_Min]],2)</f>
        <v>0.31</v>
      </c>
      <c r="S69" s="228">
        <f>_xlfn.XLOOKUP(Main[[#This Row],[Type of Box]], Cajas[Nombre], Cajas[Largo])</f>
        <v>105</v>
      </c>
      <c r="T69" s="228">
        <f>_xlfn.XLOOKUP(Main[[#This Row],[Type of Box]], Cajas[Nombre], Cajas[Ancho])</f>
        <v>17</v>
      </c>
      <c r="U69" s="228">
        <f>_xlfn.XLOOKUP(Main[[#This Row],[Type of Box]], Cajas[Nombre], Cajas[Alto])</f>
        <v>17</v>
      </c>
      <c r="V69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69" s="228">
        <f>ROUNDUP(((Main[[#This Row],[Volumen]]*5.25))*1.36,2)</f>
        <v>36.119999999999997</v>
      </c>
      <c r="X69" s="357">
        <v>0.15859999999999999</v>
      </c>
      <c r="Y69" s="358">
        <f>Main[[#This Row],[Cantidad_Min]]*Main[[#This Row],[Precio]]*Main[[#This Row],[Qty]]</f>
        <v>88.8</v>
      </c>
      <c r="Z69" s="228">
        <f>_xlfn.XLOOKUP(Main[[#This Row],[Finca]], Fincas[Nombre], Fincas[ID])</f>
        <v>34</v>
      </c>
      <c r="AA69" s="228" t="str" cm="1">
        <f t="array" ref="AA6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69" s="18" t="s">
        <v>33</v>
      </c>
      <c r="AC69" s="379"/>
      <c r="AD69" s="372" t="s">
        <v>122</v>
      </c>
    </row>
    <row r="70" spans="1:30" x14ac:dyDescent="0.25">
      <c r="A70" s="33" t="s">
        <v>120</v>
      </c>
      <c r="B70" s="153">
        <v>1</v>
      </c>
      <c r="C70" s="153" t="s">
        <v>31</v>
      </c>
      <c r="D70" s="33">
        <v>120</v>
      </c>
      <c r="E70">
        <v>120</v>
      </c>
      <c r="F70" t="s">
        <v>123</v>
      </c>
      <c r="G70" t="str">
        <f>"Assorted Colors " &amp; _xlfn.XLOOKUP(Main[[#This Row],[FechaEntrega]], Guias[Fecha], Guias[Llegada])</f>
        <v>Assorted Colors (T/W)</v>
      </c>
      <c r="H70" s="1" t="s">
        <v>980</v>
      </c>
      <c r="I70" s="235">
        <v>0.2</v>
      </c>
      <c r="J70" s="69">
        <f>_xlfn.LET(
  _xlpm.result, 1-((Main[[#This Row],[Cost]]+Main[[#This Row],[Duties]]+Main[[#This Row],[Transport]])/((Main[[#This Row],[Precio]]*0.96))),
  IF(_xlpm.result&lt;0, "BAJO", IF(_xlpm.result&gt;1, "ALTO", _xlpm.result))
)</f>
        <v>0.22578828828828812</v>
      </c>
      <c r="K70" s="131">
        <v>0.74</v>
      </c>
      <c r="L70" s="360" cm="1">
        <f t="array" aca="1" ref="L7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70" s="152">
        <f>Guias!$B$3</f>
        <v>46310</v>
      </c>
      <c r="N70" s="216">
        <f>ROUNDUP((Main[[#This Row],[Cost]]*Main[[#This Row],[Import Duties]]),2)</f>
        <v>0.04</v>
      </c>
      <c r="O70">
        <v>0</v>
      </c>
      <c r="P70">
        <v>1</v>
      </c>
      <c r="Q70">
        <v>0</v>
      </c>
      <c r="R70" s="217">
        <f>ROUNDUP(Main[[#This Row],[Transport2]]/Main[[#This Row],[Cantidad_Min]],2)</f>
        <v>0.31</v>
      </c>
      <c r="S70">
        <f>_xlfn.XLOOKUP(Main[[#This Row],[Type of Box]], Cajas[Nombre], Cajas[Largo])</f>
        <v>105</v>
      </c>
      <c r="T70">
        <f>_xlfn.XLOOKUP(Main[[#This Row],[Type of Box]], Cajas[Nombre], Cajas[Ancho])</f>
        <v>17</v>
      </c>
      <c r="U70">
        <f>_xlfn.XLOOKUP(Main[[#This Row],[Type of Box]], Cajas[Nombre], Cajas[Alto])</f>
        <v>17</v>
      </c>
      <c r="V7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0">
        <f>ROUNDUP(((Main[[#This Row],[Volumen]]*5.25))*1.36,2)</f>
        <v>36.119999999999997</v>
      </c>
      <c r="X70" s="219">
        <v>0.15859999999999999</v>
      </c>
      <c r="Y70" s="361">
        <f>Main[[#This Row],[Cantidad_Min]]*Main[[#This Row],[Precio]]*Main[[#This Row],[Qty]]</f>
        <v>88.8</v>
      </c>
      <c r="Z70">
        <f>_xlfn.XLOOKUP(Main[[#This Row],[Finca]], Fincas[Nombre], Fincas[ID])</f>
        <v>34</v>
      </c>
      <c r="AA70" t="str" cm="1">
        <f t="array" ref="AA7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70" s="2" t="s">
        <v>33</v>
      </c>
      <c r="AC70" s="31"/>
      <c r="AD70" s="382"/>
    </row>
    <row r="71" spans="1:30" ht="15" customHeight="1" thickBot="1" x14ac:dyDescent="0.3">
      <c r="A71" s="362" t="s">
        <v>120</v>
      </c>
      <c r="B71" s="363">
        <v>3</v>
      </c>
      <c r="C71" s="363" t="s">
        <v>31</v>
      </c>
      <c r="D71" s="362">
        <v>120</v>
      </c>
      <c r="E71" s="233">
        <v>120</v>
      </c>
      <c r="F71" s="233" t="s">
        <v>124</v>
      </c>
      <c r="G71" s="233" t="str">
        <f>"Minami Select/Mini - Assorted Colors " &amp; _xlfn.XLOOKUP(Main[[#This Row],[FechaEntrega]], Guias[Fecha], Guias[Llegada])</f>
        <v>Minami Select/Mini - Assorted Colors (T/W)</v>
      </c>
      <c r="H71" s="1" t="s">
        <v>981</v>
      </c>
      <c r="I71" s="364">
        <v>0.2</v>
      </c>
      <c r="J71" s="293">
        <f>_xlfn.LET(
  _xlpm.result, 1-((Main[[#This Row],[Cost]]+Main[[#This Row],[Duties]]+Main[[#This Row],[Transport]])/((Main[[#This Row],[Precio]]*0.96))),
  IF(_xlpm.result&lt;0, "BAJO", IF(_xlpm.result&gt;1, "ALTO", _xlpm.result))
)</f>
        <v>0.22578828828828812</v>
      </c>
      <c r="K71" s="240">
        <v>0.74</v>
      </c>
      <c r="L71" s="365" cm="1">
        <f t="array" aca="1" ref="L7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71" s="366">
        <f>Guias!$B$3</f>
        <v>46310</v>
      </c>
      <c r="N71" s="367">
        <f>ROUNDUP((Main[[#This Row],[Cost]]*Main[[#This Row],[Import Duties]]),2)</f>
        <v>0.04</v>
      </c>
      <c r="O71" s="233">
        <v>0</v>
      </c>
      <c r="P71" s="233">
        <v>1</v>
      </c>
      <c r="Q71" s="233">
        <v>0</v>
      </c>
      <c r="R71" s="368">
        <f>ROUNDUP(Main[[#This Row],[Transport2]]/Main[[#This Row],[Cantidad_Min]],2)</f>
        <v>0.31</v>
      </c>
      <c r="S71" s="233">
        <f>_xlfn.XLOOKUP(Main[[#This Row],[Type of Box]], Cajas[Nombre], Cajas[Largo])</f>
        <v>105</v>
      </c>
      <c r="T71" s="233">
        <f>_xlfn.XLOOKUP(Main[[#This Row],[Type of Box]], Cajas[Nombre], Cajas[Ancho])</f>
        <v>17</v>
      </c>
      <c r="U71" s="233">
        <f>_xlfn.XLOOKUP(Main[[#This Row],[Type of Box]], Cajas[Nombre], Cajas[Alto])</f>
        <v>17</v>
      </c>
      <c r="V71" s="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1" s="233">
        <f>ROUNDUP(((Main[[#This Row],[Volumen]]*5.25))*1.36,2)</f>
        <v>36.119999999999997</v>
      </c>
      <c r="X71" s="369">
        <v>0.15859999999999999</v>
      </c>
      <c r="Y71" s="370">
        <f>Main[[#This Row],[Cantidad_Min]]*Main[[#This Row],[Precio]]*Main[[#This Row],[Qty]]</f>
        <v>266.39999999999998</v>
      </c>
      <c r="Z71" s="233">
        <f>_xlfn.XLOOKUP(Main[[#This Row],[Finca]], Fincas[Nombre], Fincas[ID])</f>
        <v>34</v>
      </c>
      <c r="AA71" s="233" t="str" cm="1">
        <f t="array" ref="AA7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71" s="73" t="s">
        <v>33</v>
      </c>
      <c r="AC71" s="72"/>
      <c r="AD71" s="371" t="s">
        <v>125</v>
      </c>
    </row>
    <row r="72" spans="1:30" ht="15" customHeight="1" x14ac:dyDescent="0.25">
      <c r="A72" s="385" t="s">
        <v>126</v>
      </c>
      <c r="B72" s="386">
        <v>1</v>
      </c>
      <c r="C72" s="386" t="s">
        <v>35</v>
      </c>
      <c r="D72" s="385">
        <f>15*15</f>
        <v>225</v>
      </c>
      <c r="E72" s="387">
        <f>15*15</f>
        <v>225</v>
      </c>
      <c r="F72" s="387" t="s">
        <v>127</v>
      </c>
      <c r="G72" t="s">
        <v>128</v>
      </c>
      <c r="H72" s="1" t="s">
        <v>982</v>
      </c>
      <c r="I72" s="235">
        <v>0.2</v>
      </c>
      <c r="J72" s="69">
        <f>_xlfn.LET(
  _xlpm.result, 1-((Main[[#This Row],[Cost]]+Main[[#This Row],[Duties]]+Main[[#This Row],[Transport]])/((Main[[#This Row],[Precio]]*0.96))),
  IF(_xlpm.result&lt;0, "BAJO", IF(_xlpm.result&gt;1, "ALTO", _xlpm.result))
)</f>
        <v>0.21874999999999989</v>
      </c>
      <c r="K72" s="131">
        <v>0.72</v>
      </c>
      <c r="L72" s="360" cm="1">
        <f t="array" aca="1" ref="L7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72" s="152">
        <f>Guias!$B$7</f>
        <v>46314</v>
      </c>
      <c r="N72" s="216">
        <f>ROUNDUP((Main[[#This Row],[Cost]]*Main[[#This Row],[Import Duties]]),2)</f>
        <v>0.04</v>
      </c>
      <c r="O72">
        <v>0</v>
      </c>
      <c r="P72">
        <v>1</v>
      </c>
      <c r="Q72">
        <v>0</v>
      </c>
      <c r="R72" s="217">
        <f>ROUNDUP(Main[[#This Row],[Transport2]]/Main[[#This Row],[Cantidad_Min]],2)</f>
        <v>0.3</v>
      </c>
      <c r="S72">
        <f>_xlfn.XLOOKUP(Main[[#This Row],[Type of Box]], Cajas[Nombre], Cajas[Largo])</f>
        <v>99</v>
      </c>
      <c r="T72">
        <f>_xlfn.XLOOKUP(Main[[#This Row],[Type of Box]], Cajas[Nombre], Cajas[Ancho])</f>
        <v>35</v>
      </c>
      <c r="U72">
        <f>_xlfn.XLOOKUP(Main[[#This Row],[Type of Box]], Cajas[Nombre], Cajas[Alto])</f>
        <v>16</v>
      </c>
      <c r="V7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2">
        <f>ROUNDUP(((Main[[#This Row],[Volumen]]*5.25))*1.36,2)</f>
        <v>65.98</v>
      </c>
      <c r="X72" s="219">
        <v>0.15859999999999999</v>
      </c>
      <c r="Y72" s="361">
        <f>Main[[#This Row],[Cantidad_Min]]*Main[[#This Row],[Precio]]*Main[[#This Row],[Qty]]</f>
        <v>162</v>
      </c>
      <c r="Z72">
        <f>_xlfn.XLOOKUP(Main[[#This Row],[Finca]], Fincas[Nombre], Fincas[ID])</f>
        <v>72</v>
      </c>
      <c r="AA72" t="str" cm="1">
        <f t="array" ref="AA7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72" s="2" t="s">
        <v>33</v>
      </c>
      <c r="AC72" s="5" t="s">
        <v>129</v>
      </c>
      <c r="AD72" s="224" t="s">
        <v>130</v>
      </c>
    </row>
    <row r="73" spans="1:30" ht="15" customHeight="1" x14ac:dyDescent="0.25">
      <c r="A73" s="385" t="s">
        <v>126</v>
      </c>
      <c r="B73" s="386">
        <v>1</v>
      </c>
      <c r="C73" s="386" t="s">
        <v>35</v>
      </c>
      <c r="D73" s="385">
        <v>125</v>
      </c>
      <c r="E73" s="387">
        <v>125</v>
      </c>
      <c r="F73" s="387" t="s">
        <v>131</v>
      </c>
      <c r="G73" t="str">
        <f>"Free Spirit/Think Pink/Explorer/Hot Explorer/White " &amp; _xlfn.XLOOKUP(Main[[#This Row],[FechaEntrega]], Guias[Fecha], Guias[Llegada])</f>
        <v>Free Spirit/Think Pink/Explorer/Hot Explorer/White (W/T)</v>
      </c>
      <c r="H73" s="1" t="s">
        <v>983</v>
      </c>
      <c r="I73" s="235">
        <v>0.46</v>
      </c>
      <c r="J73" s="69">
        <f>_xlfn.LET(
  _xlpm.result, 1-((Main[[#This Row],[Cost]]+Main[[#This Row],[Duties]]+Main[[#This Row],[Transport]])/((Main[[#This Row],[Precio]]*0.96))),
  IF(_xlpm.result&lt;0, "BAJO", IF(_xlpm.result&gt;1, "ALTO", _xlpm.result))
)</f>
        <v>0.22644589552238803</v>
      </c>
      <c r="K73" s="131">
        <v>1.4408602150537635</v>
      </c>
      <c r="L73" s="360" cm="1">
        <f t="array" aca="1" ref="L7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73" s="152">
        <f>Guias!$B$4</f>
        <v>46311</v>
      </c>
      <c r="N73" s="216">
        <f>ROUNDUP((Main[[#This Row],[Cost]]*Main[[#This Row],[Import Duties]]),2)</f>
        <v>0.08</v>
      </c>
      <c r="O73">
        <v>0</v>
      </c>
      <c r="P73">
        <v>1</v>
      </c>
      <c r="Q73">
        <v>0</v>
      </c>
      <c r="R73" s="217">
        <f>ROUNDUP(Main[[#This Row],[Transport2]]/Main[[#This Row],[Cantidad_Min]],2)</f>
        <v>0.53</v>
      </c>
      <c r="S73">
        <f>_xlfn.XLOOKUP(Main[[#This Row],[Type of Box]], Cajas[Nombre], Cajas[Largo])</f>
        <v>99</v>
      </c>
      <c r="T73">
        <f>_xlfn.XLOOKUP(Main[[#This Row],[Type of Box]], Cajas[Nombre], Cajas[Ancho])</f>
        <v>35</v>
      </c>
      <c r="U73">
        <f>_xlfn.XLOOKUP(Main[[#This Row],[Type of Box]], Cajas[Nombre], Cajas[Alto])</f>
        <v>16</v>
      </c>
      <c r="V7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3">
        <f>ROUNDUP(((Main[[#This Row],[Volumen]]*5.25))*1.36,2)</f>
        <v>65.98</v>
      </c>
      <c r="X73" s="219">
        <v>0.15859999999999999</v>
      </c>
      <c r="Y73" s="361">
        <f>Main[[#This Row],[Cantidad_Min]]*Main[[#This Row],[Precio]]*Main[[#This Row],[Qty]]</f>
        <v>180.10752688172045</v>
      </c>
      <c r="Z73">
        <f>_xlfn.XLOOKUP(Main[[#This Row],[Finca]], Fincas[Nombre], Fincas[ID])</f>
        <v>72</v>
      </c>
      <c r="AA73" t="str" cm="1">
        <f t="array" ref="AA7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73" s="2" t="s">
        <v>33</v>
      </c>
      <c r="AC73" s="5" t="s">
        <v>132</v>
      </c>
      <c r="AD73" s="224" t="s">
        <v>133</v>
      </c>
    </row>
    <row r="74" spans="1:30" ht="15" customHeight="1" x14ac:dyDescent="0.25">
      <c r="A74" s="385" t="s">
        <v>126</v>
      </c>
      <c r="B74" s="386">
        <v>1</v>
      </c>
      <c r="C74" s="386" t="s">
        <v>31</v>
      </c>
      <c r="D74" s="385">
        <v>50</v>
      </c>
      <c r="E74" s="387">
        <v>50</v>
      </c>
      <c r="F74" s="387" t="s">
        <v>134</v>
      </c>
      <c r="G74" t="str">
        <f>"Rainbow " &amp; _xlfn.XLOOKUP(Main[[#This Row],[FechaEntrega]], Guias[Fecha], Guias[Llegada])</f>
        <v>Rainbow (W/T)</v>
      </c>
      <c r="H74" s="1" t="s">
        <v>984</v>
      </c>
      <c r="I74" s="235">
        <v>0.31</v>
      </c>
      <c r="J74" s="69">
        <f>_xlfn.LET(
  _xlpm.result, 1-((Main[[#This Row],[Cost]]+Main[[#This Row],[Duties]]+Main[[#This Row],[Transport]])/((Main[[#This Row],[Precio]]*0.96))),
  IF(_xlpm.result&lt;0, "BAJO", IF(_xlpm.result&gt;1, "ALTO", _xlpm.result))
)</f>
        <v>0.23797539149888147</v>
      </c>
      <c r="K74" s="131">
        <v>1.49</v>
      </c>
      <c r="L74" s="360" cm="1">
        <f t="array" aca="1" ref="L7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74" s="152">
        <f>Guias!$B$4</f>
        <v>46311</v>
      </c>
      <c r="N74" s="216">
        <f>ROUNDUP((Main[[#This Row],[Cost]]*Main[[#This Row],[Import Duties]]),2)</f>
        <v>0.05</v>
      </c>
      <c r="O74">
        <v>0</v>
      </c>
      <c r="P74">
        <v>1</v>
      </c>
      <c r="Q74">
        <v>0</v>
      </c>
      <c r="R74" s="217">
        <f>ROUNDUP(Main[[#This Row],[Transport2]]/Main[[#This Row],[Cantidad_Min]],2)</f>
        <v>0.73</v>
      </c>
      <c r="S74">
        <f>_xlfn.XLOOKUP(Main[[#This Row],[Type of Box]], Cajas[Nombre], Cajas[Largo])</f>
        <v>105</v>
      </c>
      <c r="T74">
        <f>_xlfn.XLOOKUP(Main[[#This Row],[Type of Box]], Cajas[Nombre], Cajas[Ancho])</f>
        <v>17</v>
      </c>
      <c r="U74">
        <f>_xlfn.XLOOKUP(Main[[#This Row],[Type of Box]], Cajas[Nombre], Cajas[Alto])</f>
        <v>17</v>
      </c>
      <c r="V7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4">
        <f>ROUNDUP(((Main[[#This Row],[Volumen]]*5.25))*1.36,2)</f>
        <v>36.119999999999997</v>
      </c>
      <c r="X74" s="219">
        <v>0.15859999999999999</v>
      </c>
      <c r="Y74" s="361">
        <f>Main[[#This Row],[Cantidad_Min]]*Main[[#This Row],[Precio]]*Main[[#This Row],[Qty]]</f>
        <v>74.5</v>
      </c>
      <c r="Z74">
        <f>_xlfn.XLOOKUP(Main[[#This Row],[Finca]], Fincas[Nombre], Fincas[ID])</f>
        <v>72</v>
      </c>
      <c r="AA74" t="str" cm="1">
        <f t="array" ref="AA7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74" s="2" t="s">
        <v>33</v>
      </c>
      <c r="AC74" s="5"/>
      <c r="AD74" s="224" t="s">
        <v>135</v>
      </c>
    </row>
    <row r="75" spans="1:30" ht="15" customHeight="1" x14ac:dyDescent="0.25">
      <c r="A75" s="385" t="s">
        <v>126</v>
      </c>
      <c r="B75" s="386">
        <v>1</v>
      </c>
      <c r="C75" s="386" t="s">
        <v>31</v>
      </c>
      <c r="D75" s="385">
        <v>50</v>
      </c>
      <c r="E75" s="387">
        <v>50</v>
      </c>
      <c r="F75" s="387" t="s">
        <v>55</v>
      </c>
      <c r="G75" t="str">
        <f>"Red Panther " &amp; _xlfn.XLOOKUP(Main[[#This Row],[FechaEntrega]], Guias[Fecha], Guias[Llegada])</f>
        <v>Red Panther (T/W)</v>
      </c>
      <c r="H75" s="1" t="s">
        <v>985</v>
      </c>
      <c r="I75" s="235">
        <v>0.41</v>
      </c>
      <c r="J75" s="69">
        <f>_xlfn.LET(
  _xlpm.result, 1-((Main[[#This Row],[Cost]]+Main[[#This Row],[Duties]]+Main[[#This Row],[Transport]])/((Main[[#This Row],[Precio]]*0.96))),
  IF(_xlpm.result&lt;0, "BAJO", IF(_xlpm.result&gt;1, "ALTO", _xlpm.result))
)</f>
        <v>0.20798141891891886</v>
      </c>
      <c r="K75" s="131">
        <v>1.5913978494623655</v>
      </c>
      <c r="L75" s="360" cm="1">
        <f t="array" aca="1" ref="L7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75" s="152">
        <f>Guias!$B$3</f>
        <v>46310</v>
      </c>
      <c r="N75" s="398">
        <f>ROUNDUP((Main[[#This Row],[Cost]]*Main[[#This Row],[Import Duties]]),2)</f>
        <v>6.9999999999999993E-2</v>
      </c>
      <c r="O75">
        <v>0</v>
      </c>
      <c r="P75">
        <v>1</v>
      </c>
      <c r="Q75">
        <v>0</v>
      </c>
      <c r="R75" s="399">
        <f>ROUNDUP(Main[[#This Row],[Transport2]]/Main[[#This Row],[Cantidad_Min]],2)</f>
        <v>0.73</v>
      </c>
      <c r="S75">
        <f>_xlfn.XLOOKUP(Main[[#This Row],[Type of Box]], Cajas[Nombre], Cajas[Largo])</f>
        <v>105</v>
      </c>
      <c r="T75">
        <f>_xlfn.XLOOKUP(Main[[#This Row],[Type of Box]], Cajas[Nombre], Cajas[Ancho])</f>
        <v>17</v>
      </c>
      <c r="U75">
        <f>_xlfn.XLOOKUP(Main[[#This Row],[Type of Box]], Cajas[Nombre], Cajas[Alto])</f>
        <v>17</v>
      </c>
      <c r="V7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5">
        <f>ROUNDUP(((Main[[#This Row],[Volumen]]*5.25))*1.36,2)</f>
        <v>36.119999999999997</v>
      </c>
      <c r="X75" s="219">
        <v>0.15859999999999999</v>
      </c>
      <c r="Y75" s="361">
        <f>Main[[#This Row],[Cantidad_Min]]*Main[[#This Row],[Precio]]*Main[[#This Row],[Qty]]</f>
        <v>79.569892473118273</v>
      </c>
      <c r="Z75">
        <f>_xlfn.XLOOKUP(Main[[#This Row],[Finca]], Fincas[Nombre], Fincas[ID])</f>
        <v>72</v>
      </c>
      <c r="AA75" t="str" cm="1">
        <f t="array" ref="AA7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75" s="2" t="s">
        <v>33</v>
      </c>
      <c r="AC75" s="5"/>
      <c r="AD75" s="224" t="s">
        <v>136</v>
      </c>
    </row>
    <row r="76" spans="1:30" ht="15" customHeight="1" x14ac:dyDescent="0.25">
      <c r="A76" s="385" t="s">
        <v>126</v>
      </c>
      <c r="B76" s="386">
        <v>1</v>
      </c>
      <c r="C76" s="386" t="s">
        <v>35</v>
      </c>
      <c r="D76" s="385">
        <v>100</v>
      </c>
      <c r="E76" s="387">
        <v>100</v>
      </c>
      <c r="F76" s="387" t="s">
        <v>89</v>
      </c>
      <c r="G76" t="str">
        <f>"Free Spirit 40cm/Phoenix 60cm/Candlelight 60cm/Shocking Blue 60cm " &amp; _xlfn.XLOOKUP(Main[[#This Row],[FechaEntrega]], Guias[Fecha], Guias[Llegada])</f>
        <v>Free Spirit 40cm/Phoenix 60cm/Candlelight 60cm/Shocking Blue 60cm (T/W)</v>
      </c>
      <c r="H76" s="1" t="s">
        <v>986</v>
      </c>
      <c r="I76" s="235">
        <v>0.33</v>
      </c>
      <c r="J76" s="69">
        <f>_xlfn.LET(
  _xlpm.result, 1-((Main[[#This Row],[Cost]]+Main[[#This Row],[Duties]]+Main[[#This Row],[Transport]])/((Main[[#This Row],[Precio]]*0.96))),
  IF(_xlpm.result&lt;0, "BAJO", IF(_xlpm.result&gt;1, "ALTO", _xlpm.result))
)</f>
        <v>0.29435483870967738</v>
      </c>
      <c r="K76" s="131">
        <v>1.55</v>
      </c>
      <c r="L76" s="360" cm="1">
        <f t="array" aca="1" ref="L7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76" s="152">
        <f>Guias!$B$3</f>
        <v>46310</v>
      </c>
      <c r="N76" s="216">
        <f>ROUNDUP((Main[[#This Row],[Cost]]*Main[[#This Row],[Import Duties]]),2)</f>
        <v>6.0000000000000005E-2</v>
      </c>
      <c r="O76">
        <v>0</v>
      </c>
      <c r="P76">
        <v>1</v>
      </c>
      <c r="Q76">
        <v>0</v>
      </c>
      <c r="R76" s="217">
        <f>ROUNDUP(Main[[#This Row],[Transport2]]/Main[[#This Row],[Cantidad_Min]],2)</f>
        <v>0.66</v>
      </c>
      <c r="S76">
        <f>_xlfn.XLOOKUP(Main[[#This Row],[Type of Box]], Cajas[Nombre], Cajas[Largo])</f>
        <v>99</v>
      </c>
      <c r="T76">
        <f>_xlfn.XLOOKUP(Main[[#This Row],[Type of Box]], Cajas[Nombre], Cajas[Ancho])</f>
        <v>35</v>
      </c>
      <c r="U76">
        <f>_xlfn.XLOOKUP(Main[[#This Row],[Type of Box]], Cajas[Nombre], Cajas[Alto])</f>
        <v>16</v>
      </c>
      <c r="V7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6">
        <f>ROUNDUP(((Main[[#This Row],[Volumen]]*5.25))*1.36,2)</f>
        <v>65.98</v>
      </c>
      <c r="X76" s="219">
        <v>0.15859999999999999</v>
      </c>
      <c r="Y76" s="361">
        <f>Main[[#This Row],[Cantidad_Min]]*Main[[#This Row],[Precio]]*Main[[#This Row],[Qty]]</f>
        <v>155</v>
      </c>
      <c r="Z76">
        <f>_xlfn.XLOOKUP(Main[[#This Row],[Finca]], Fincas[Nombre], Fincas[ID])</f>
        <v>72</v>
      </c>
      <c r="AA76" t="str" cm="1">
        <f t="array" ref="AA7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vcalero,</v>
      </c>
      <c r="AB76" s="2" t="s">
        <v>33</v>
      </c>
      <c r="AC76" s="400"/>
      <c r="AD76" s="224" t="s">
        <v>137</v>
      </c>
    </row>
    <row r="77" spans="1:30" ht="15" customHeight="1" x14ac:dyDescent="0.25">
      <c r="A77" s="385" t="s">
        <v>126</v>
      </c>
      <c r="B77" s="386">
        <v>1</v>
      </c>
      <c r="C77" s="386" t="s">
        <v>31</v>
      </c>
      <c r="D77" s="385">
        <v>50</v>
      </c>
      <c r="E77" s="387">
        <v>50</v>
      </c>
      <c r="F77" s="387" t="s">
        <v>55</v>
      </c>
      <c r="G77" t="str">
        <f>"Playa Blanca " &amp; _xlfn.XLOOKUP(Main[[#This Row],[FechaEntrega]], Guias[Fecha], Guias[Llegada])</f>
        <v>Playa Blanca (M/T)</v>
      </c>
      <c r="H77" s="1" t="s">
        <v>987</v>
      </c>
      <c r="I77" s="235">
        <v>0.51</v>
      </c>
      <c r="J77" s="69">
        <f>_xlfn.LET(
  _xlpm.result, 1-((Main[[#This Row],[Cost]]+Main[[#This Row],[Duties]]+Main[[#This Row],[Transport]])/((Main[[#This Row],[Precio]]*0.96))),
  IF(_xlpm.result&lt;0, "BAJO", IF(_xlpm.result&gt;1, "ALTO", _xlpm.result))
)</f>
        <v>0.19472656249999998</v>
      </c>
      <c r="K77" s="131">
        <v>1.7204301075268817</v>
      </c>
      <c r="L77" s="360" cm="1">
        <f t="array" aca="1" ref="L7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77" s="152">
        <f>Guias!$B$2</f>
        <v>46309</v>
      </c>
      <c r="N77" s="216">
        <f>ROUNDUP((Main[[#This Row],[Cost]]*Main[[#This Row],[Import Duties]]),2)</f>
        <v>0.09</v>
      </c>
      <c r="O77">
        <v>0</v>
      </c>
      <c r="P77">
        <v>1</v>
      </c>
      <c r="Q77">
        <v>0</v>
      </c>
      <c r="R77" s="217">
        <f>ROUNDUP(Main[[#This Row],[Transport2]]/Main[[#This Row],[Cantidad_Min]],2)</f>
        <v>0.73</v>
      </c>
      <c r="S77">
        <f>_xlfn.XLOOKUP(Main[[#This Row],[Type of Box]], Cajas[Nombre], Cajas[Largo])</f>
        <v>105</v>
      </c>
      <c r="T77">
        <f>_xlfn.XLOOKUP(Main[[#This Row],[Type of Box]], Cajas[Nombre], Cajas[Ancho])</f>
        <v>17</v>
      </c>
      <c r="U77">
        <f>_xlfn.XLOOKUP(Main[[#This Row],[Type of Box]], Cajas[Nombre], Cajas[Alto])</f>
        <v>17</v>
      </c>
      <c r="V7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7">
        <f>ROUNDUP(((Main[[#This Row],[Volumen]]*5.25))*1.36,2)</f>
        <v>36.119999999999997</v>
      </c>
      <c r="X77" s="219">
        <v>0.15859999999999999</v>
      </c>
      <c r="Y77" s="361">
        <f>Main[[#This Row],[Cantidad_Min]]*Main[[#This Row],[Precio]]*Main[[#This Row],[Qty]]</f>
        <v>86.021505376344081</v>
      </c>
      <c r="Z77">
        <f>_xlfn.XLOOKUP(Main[[#This Row],[Finca]], Fincas[Nombre], Fincas[ID])</f>
        <v>72</v>
      </c>
      <c r="AA77" t="str" cm="1">
        <f t="array" ref="AA7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77" s="2" t="s">
        <v>33</v>
      </c>
      <c r="AC77" s="5"/>
      <c r="AD77" s="224" t="s">
        <v>138</v>
      </c>
    </row>
    <row r="78" spans="1:30" ht="15" customHeight="1" x14ac:dyDescent="0.25">
      <c r="A78" s="385" t="s">
        <v>126</v>
      </c>
      <c r="B78" s="386">
        <v>1</v>
      </c>
      <c r="C78" s="386" t="s">
        <v>31</v>
      </c>
      <c r="D78" s="385">
        <v>50</v>
      </c>
      <c r="E78" s="387">
        <v>50</v>
      </c>
      <c r="F78" s="387" t="s">
        <v>89</v>
      </c>
      <c r="G78" t="str">
        <f>"Explorer " &amp; _xlfn.XLOOKUP(Main[[#This Row],[FechaEntrega]], Guias[Fecha], Guias[Llegada])</f>
        <v>Explorer (M/T)</v>
      </c>
      <c r="H78" s="1" t="s">
        <v>988</v>
      </c>
      <c r="I78" s="235">
        <v>0.38</v>
      </c>
      <c r="J78" s="69">
        <f>_xlfn.LET(
  _xlpm.result, 1-((Main[[#This Row],[Cost]]+Main[[#This Row],[Duties]]+Main[[#This Row],[Transport]])/((Main[[#This Row],[Precio]]*0.96))),
  IF(_xlpm.result&lt;0, "BAJO", IF(_xlpm.result&gt;1, "ALTO", _xlpm.result))
)</f>
        <v>0.21703767123287676</v>
      </c>
      <c r="K78" s="131">
        <v>1.5698924731182795</v>
      </c>
      <c r="L78" s="360" cm="1">
        <f t="array" aca="1" ref="L7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78" s="152">
        <f>Guias!$B$2</f>
        <v>46309</v>
      </c>
      <c r="N78" s="216">
        <f>ROUNDUP((Main[[#This Row],[Cost]]*Main[[#This Row],[Import Duties]]),2)</f>
        <v>6.9999999999999993E-2</v>
      </c>
      <c r="O78">
        <v>0</v>
      </c>
      <c r="P78">
        <v>1</v>
      </c>
      <c r="Q78">
        <v>0</v>
      </c>
      <c r="R78" s="217">
        <f>ROUNDUP(Main[[#This Row],[Transport2]]/Main[[#This Row],[Cantidad_Min]],2)</f>
        <v>0.73</v>
      </c>
      <c r="S78">
        <f>_xlfn.XLOOKUP(Main[[#This Row],[Type of Box]], Cajas[Nombre], Cajas[Largo])</f>
        <v>105</v>
      </c>
      <c r="T78">
        <f>_xlfn.XLOOKUP(Main[[#This Row],[Type of Box]], Cajas[Nombre], Cajas[Ancho])</f>
        <v>17</v>
      </c>
      <c r="U78">
        <f>_xlfn.XLOOKUP(Main[[#This Row],[Type of Box]], Cajas[Nombre], Cajas[Alto])</f>
        <v>17</v>
      </c>
      <c r="V7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78">
        <f>ROUNDUP(((Main[[#This Row],[Volumen]]*5.25))*1.36,2)</f>
        <v>36.119999999999997</v>
      </c>
      <c r="X78" s="219">
        <v>0.15859999999999999</v>
      </c>
      <c r="Y78" s="361">
        <f>Main[[#This Row],[Cantidad_Min]]*Main[[#This Row],[Precio]]*Main[[#This Row],[Qty]]</f>
        <v>78.494623655913969</v>
      </c>
      <c r="Z78">
        <f>_xlfn.XLOOKUP(Main[[#This Row],[Finca]], Fincas[Nombre], Fincas[ID])</f>
        <v>72</v>
      </c>
      <c r="AA78" t="str" cm="1">
        <f t="array" ref="AA7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78" s="2" t="s">
        <v>33</v>
      </c>
      <c r="AC78" s="5"/>
      <c r="AD78" s="224" t="s">
        <v>139</v>
      </c>
    </row>
    <row r="79" spans="1:30" ht="15" customHeight="1" x14ac:dyDescent="0.25">
      <c r="A79" s="385" t="s">
        <v>126</v>
      </c>
      <c r="B79" s="386">
        <v>1</v>
      </c>
      <c r="C79" s="386" t="s">
        <v>35</v>
      </c>
      <c r="D79" s="385">
        <v>125</v>
      </c>
      <c r="E79" s="387">
        <v>125</v>
      </c>
      <c r="F79" s="387" t="s">
        <v>55</v>
      </c>
      <c r="G79" t="str">
        <f>"Explorer " &amp; _xlfn.XLOOKUP(Main[[#This Row],[FechaEntrega]], Guias[Fecha], Guias[Llegada])</f>
        <v>Explorer (M/T)</v>
      </c>
      <c r="H79" s="1" t="s">
        <v>989</v>
      </c>
      <c r="I79" s="235">
        <v>0.36</v>
      </c>
      <c r="J79" s="69">
        <f>_xlfn.LET(
  _xlpm.result, 1-((Main[[#This Row],[Cost]]+Main[[#This Row],[Duties]]+Main[[#This Row],[Transport]])/((Main[[#This Row],[Precio]]*0.96))),
  IF(_xlpm.result&lt;0, "BAJO", IF(_xlpm.result&gt;1, "ALTO", _xlpm.result))
)</f>
        <v>0.28657945736434109</v>
      </c>
      <c r="K79" s="131">
        <v>1.3870967741935483</v>
      </c>
      <c r="L79" s="360" cm="1">
        <f t="array" aca="1" ref="L7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79" s="152">
        <f>Guias!$B$2</f>
        <v>46309</v>
      </c>
      <c r="N79" s="216">
        <f>ROUNDUP((Main[[#This Row],[Cost]]*Main[[#This Row],[Import Duties]]),2)</f>
        <v>6.0000000000000005E-2</v>
      </c>
      <c r="O79">
        <v>0</v>
      </c>
      <c r="P79">
        <v>1</v>
      </c>
      <c r="Q79">
        <v>0</v>
      </c>
      <c r="R79" s="217">
        <f>ROUNDUP(Main[[#This Row],[Transport2]]/Main[[#This Row],[Cantidad_Min]],2)</f>
        <v>0.53</v>
      </c>
      <c r="S79">
        <f>_xlfn.XLOOKUP(Main[[#This Row],[Type of Box]], Cajas[Nombre], Cajas[Largo])</f>
        <v>99</v>
      </c>
      <c r="T79">
        <f>_xlfn.XLOOKUP(Main[[#This Row],[Type of Box]], Cajas[Nombre], Cajas[Ancho])</f>
        <v>35</v>
      </c>
      <c r="U79">
        <f>_xlfn.XLOOKUP(Main[[#This Row],[Type of Box]], Cajas[Nombre], Cajas[Alto])</f>
        <v>16</v>
      </c>
      <c r="V7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79">
        <f>ROUNDUP(((Main[[#This Row],[Volumen]]*5.25))*1.36,2)</f>
        <v>65.98</v>
      </c>
      <c r="X79" s="219">
        <v>0.15859999999999999</v>
      </c>
      <c r="Y79" s="361">
        <f>Main[[#This Row],[Cantidad_Min]]*Main[[#This Row],[Precio]]*Main[[#This Row],[Qty]]</f>
        <v>173.38709677419354</v>
      </c>
      <c r="Z79">
        <f>_xlfn.XLOOKUP(Main[[#This Row],[Finca]], Fincas[Nombre], Fincas[ID])</f>
        <v>72</v>
      </c>
      <c r="AA79" t="str" cm="1">
        <f t="array" ref="AA7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79" s="2" t="s">
        <v>33</v>
      </c>
      <c r="AC79" s="400"/>
      <c r="AD79" s="225" t="s">
        <v>140</v>
      </c>
    </row>
    <row r="80" spans="1:30" ht="15" customHeight="1" x14ac:dyDescent="0.25">
      <c r="A80" s="385" t="s">
        <v>126</v>
      </c>
      <c r="B80" s="386">
        <v>1</v>
      </c>
      <c r="C80" s="386" t="s">
        <v>31</v>
      </c>
      <c r="D80" s="385">
        <v>60</v>
      </c>
      <c r="E80" s="387">
        <v>60</v>
      </c>
      <c r="F80" s="387" t="s">
        <v>141</v>
      </c>
      <c r="G80" t="str">
        <f>"10 Yellow/10 Orange/10 White/10 Pink/10 Hot Pink/10 Red " &amp; _xlfn.XLOOKUP(Main[[#This Row],[FechaEntrega]], Guias[Fecha], Guias[Llegada])</f>
        <v>10 Yellow/10 Orange/10 White/10 Pink/10 Hot Pink/10 Red (M/T)</v>
      </c>
      <c r="H80" s="1" t="s">
        <v>990</v>
      </c>
      <c r="I80" s="235">
        <v>0.36</v>
      </c>
      <c r="J80" s="69">
        <f>_xlfn.LET(
  _xlpm.result, 1-((Main[[#This Row],[Cost]]+Main[[#This Row],[Duties]]+Main[[#This Row],[Transport]])/((Main[[#This Row],[Precio]]*0.96))),
  IF(_xlpm.result&lt;0, "BAJO", IF(_xlpm.result&gt;1, "ALTO", _xlpm.result))
)</f>
        <v>0.22811750599520375</v>
      </c>
      <c r="K80" s="131">
        <v>1.39</v>
      </c>
      <c r="L80" s="360" cm="1">
        <f t="array" aca="1" ref="L8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0" s="152">
        <f>Guias!$B$2</f>
        <v>46309</v>
      </c>
      <c r="N80" s="216">
        <f>ROUNDUP((Main[[#This Row],[Cost]]*Main[[#This Row],[Import Duties]]),2)</f>
        <v>6.0000000000000005E-2</v>
      </c>
      <c r="O80">
        <v>0</v>
      </c>
      <c r="P80">
        <v>1</v>
      </c>
      <c r="Q80">
        <v>0</v>
      </c>
      <c r="R80" s="217">
        <f>ROUNDUP(Main[[#This Row],[Transport2]]/Main[[#This Row],[Cantidad_Min]],2)</f>
        <v>0.61</v>
      </c>
      <c r="S80">
        <f>_xlfn.XLOOKUP(Main[[#This Row],[Type of Box]], Cajas[Nombre], Cajas[Largo])</f>
        <v>105</v>
      </c>
      <c r="T80">
        <f>_xlfn.XLOOKUP(Main[[#This Row],[Type of Box]], Cajas[Nombre], Cajas[Ancho])</f>
        <v>17</v>
      </c>
      <c r="U80">
        <f>_xlfn.XLOOKUP(Main[[#This Row],[Type of Box]], Cajas[Nombre], Cajas[Alto])</f>
        <v>17</v>
      </c>
      <c r="V8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80">
        <f>ROUNDUP(((Main[[#This Row],[Volumen]]*5.25))*1.36,2)</f>
        <v>36.119999999999997</v>
      </c>
      <c r="X80" s="219">
        <v>0.15859999999999999</v>
      </c>
      <c r="Y80" s="361">
        <f>Main[[#This Row],[Cantidad_Min]]*Main[[#This Row],[Precio]]*Main[[#This Row],[Qty]]</f>
        <v>83.399999999999991</v>
      </c>
      <c r="Z80">
        <f>_xlfn.XLOOKUP(Main[[#This Row],[Finca]], Fincas[Nombre], Fincas[ID])</f>
        <v>72</v>
      </c>
      <c r="AA80" t="str" cm="1">
        <f t="array" ref="AA8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denriquez,</v>
      </c>
      <c r="AB80" s="2" t="s">
        <v>33</v>
      </c>
      <c r="AC80" s="31"/>
      <c r="AD80" s="224" t="s">
        <v>142</v>
      </c>
    </row>
    <row r="81" spans="1:30" ht="15" customHeight="1" x14ac:dyDescent="0.25">
      <c r="A81" s="385" t="s">
        <v>126</v>
      </c>
      <c r="B81" s="386">
        <v>1</v>
      </c>
      <c r="C81" s="386" t="s">
        <v>35</v>
      </c>
      <c r="D81" s="385">
        <v>100</v>
      </c>
      <c r="E81" s="387">
        <v>100</v>
      </c>
      <c r="F81" s="387" t="s">
        <v>55</v>
      </c>
      <c r="G81" t="str">
        <f>"25 Explorer/25 Mondial/25 Deep Purple/25 Hot Pink " &amp; _xlfn.XLOOKUP(Main[[#This Row],[FechaEntrega]], Guias[Fecha], Guias[Llegada])</f>
        <v>25 Explorer/25 Mondial/25 Deep Purple/25 Hot Pink (M/T)</v>
      </c>
      <c r="H81" s="1" t="s">
        <v>991</v>
      </c>
      <c r="I81" s="235">
        <v>0.33</v>
      </c>
      <c r="J81" s="69">
        <f>_xlfn.LET(
  _xlpm.result, 1-((Main[[#This Row],[Cost]]+Main[[#This Row],[Duties]]+Main[[#This Row],[Transport]])/((Main[[#This Row],[Precio]]*0.96))),
  IF(_xlpm.result&lt;0, "BAJO", IF(_xlpm.result&gt;1, "ALTO", _xlpm.result))
)</f>
        <v>0.21754807692307665</v>
      </c>
      <c r="K81" s="131">
        <v>1.397849462365591</v>
      </c>
      <c r="L81" s="360" cm="1">
        <f t="array" aca="1" ref="L8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1" s="152">
        <f>Guias!$B$2</f>
        <v>46309</v>
      </c>
      <c r="N81" s="216">
        <f>ROUNDUP((Main[[#This Row],[Cost]]*Main[[#This Row],[Import Duties]]),2)</f>
        <v>6.0000000000000005E-2</v>
      </c>
      <c r="O81">
        <v>0</v>
      </c>
      <c r="P81">
        <v>1</v>
      </c>
      <c r="Q81">
        <v>0</v>
      </c>
      <c r="R81" s="217">
        <f>ROUNDUP(Main[[#This Row],[Transport2]]/Main[[#This Row],[Cantidad_Min]],2)</f>
        <v>0.66</v>
      </c>
      <c r="S81">
        <f>_xlfn.XLOOKUP(Main[[#This Row],[Type of Box]], Cajas[Nombre], Cajas[Largo])</f>
        <v>99</v>
      </c>
      <c r="T81">
        <f>_xlfn.XLOOKUP(Main[[#This Row],[Type of Box]], Cajas[Nombre], Cajas[Ancho])</f>
        <v>35</v>
      </c>
      <c r="U81">
        <f>_xlfn.XLOOKUP(Main[[#This Row],[Type of Box]], Cajas[Nombre], Cajas[Alto])</f>
        <v>16</v>
      </c>
      <c r="V8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1">
        <f>ROUNDUP(((Main[[#This Row],[Volumen]]*5.25))*1.36,2)</f>
        <v>65.98</v>
      </c>
      <c r="X81" s="219">
        <v>0.15859999999999999</v>
      </c>
      <c r="Y81" s="361">
        <f>Main[[#This Row],[Cantidad_Min]]*Main[[#This Row],[Precio]]*Main[[#This Row],[Qty]]</f>
        <v>139.78494623655911</v>
      </c>
      <c r="Z81">
        <f>_xlfn.XLOOKUP(Main[[#This Row],[Finca]], Fincas[Nombre], Fincas[ID])</f>
        <v>72</v>
      </c>
      <c r="AA81" t="str" cm="1">
        <f t="array" ref="AA8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81" s="2" t="s">
        <v>33</v>
      </c>
      <c r="AC81" s="5"/>
      <c r="AD81" s="224" t="s">
        <v>143</v>
      </c>
    </row>
    <row r="82" spans="1:30" ht="15" customHeight="1" x14ac:dyDescent="0.25">
      <c r="A82" s="385" t="s">
        <v>126</v>
      </c>
      <c r="B82" s="386">
        <v>1</v>
      </c>
      <c r="C82" s="386" t="s">
        <v>35</v>
      </c>
      <c r="D82" s="385">
        <v>96</v>
      </c>
      <c r="E82" s="387">
        <v>96</v>
      </c>
      <c r="F82" s="387" t="s">
        <v>144</v>
      </c>
      <c r="G82" t="str">
        <f>"Roses/Garden Roses/Garden Spray " &amp; _xlfn.XLOOKUP(Main[[#This Row],[FechaEntrega]], Guias[Fecha], Guias[Llegada])</f>
        <v>Roses/Garden Roses/Garden Spray (M/T)</v>
      </c>
      <c r="H82" s="1" t="s">
        <v>992</v>
      </c>
      <c r="I82" s="235">
        <v>0.46</v>
      </c>
      <c r="J82" s="69">
        <f>_xlfn.LET(
  _xlpm.result, 1-((Main[[#This Row],[Cost]]+Main[[#This Row],[Duties]]+Main[[#This Row],[Transport]])/((Main[[#This Row],[Precio]]*0.96))),
  IF(_xlpm.result&lt;0, "BAJO", IF(_xlpm.result&gt;1, "ALTO", _xlpm.result))
)</f>
        <v>0.14276079136690645</v>
      </c>
      <c r="K82" s="131">
        <v>1.4946236559139785</v>
      </c>
      <c r="L82" s="360" cm="1">
        <f t="array" aca="1" ref="L8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2" s="152">
        <f>Guias!$B$2</f>
        <v>46309</v>
      </c>
      <c r="N82" s="216">
        <f>ROUNDUP((Main[[#This Row],[Cost]]*Main[[#This Row],[Import Duties]]),2)</f>
        <v>0.08</v>
      </c>
      <c r="O82">
        <v>0</v>
      </c>
      <c r="P82">
        <v>1</v>
      </c>
      <c r="Q82">
        <v>0</v>
      </c>
      <c r="R82" s="217">
        <f>ROUNDUP(Main[[#This Row],[Transport2]]/Main[[#This Row],[Cantidad_Min]],2)</f>
        <v>0.69000000000000006</v>
      </c>
      <c r="S82">
        <f>_xlfn.XLOOKUP(Main[[#This Row],[Type of Box]], Cajas[Nombre], Cajas[Largo])</f>
        <v>99</v>
      </c>
      <c r="T82">
        <f>_xlfn.XLOOKUP(Main[[#This Row],[Type of Box]], Cajas[Nombre], Cajas[Ancho])</f>
        <v>35</v>
      </c>
      <c r="U82">
        <f>_xlfn.XLOOKUP(Main[[#This Row],[Type of Box]], Cajas[Nombre], Cajas[Alto])</f>
        <v>16</v>
      </c>
      <c r="V8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2">
        <f>ROUNDUP(((Main[[#This Row],[Volumen]]*5.25))*1.36,2)</f>
        <v>65.98</v>
      </c>
      <c r="X82" s="219">
        <v>0.15859999999999999</v>
      </c>
      <c r="Y82" s="361">
        <f>Main[[#This Row],[Cantidad_Min]]*Main[[#This Row],[Precio]]*Main[[#This Row],[Qty]]</f>
        <v>143.48387096774195</v>
      </c>
      <c r="Z82">
        <f>_xlfn.XLOOKUP(Main[[#This Row],[Finca]], Fincas[Nombre], Fincas[ID])</f>
        <v>72</v>
      </c>
      <c r="AA82" t="str" cm="1">
        <f t="array" ref="AA8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82" s="2" t="s">
        <v>33</v>
      </c>
      <c r="AC82" s="5"/>
      <c r="AD82" s="224" t="s">
        <v>145</v>
      </c>
    </row>
    <row r="83" spans="1:30" ht="15" customHeight="1" x14ac:dyDescent="0.25">
      <c r="A83" s="385" t="s">
        <v>126</v>
      </c>
      <c r="B83" s="386">
        <v>1</v>
      </c>
      <c r="C83" s="386" t="s">
        <v>35</v>
      </c>
      <c r="D83" s="385">
        <v>124</v>
      </c>
      <c r="E83" s="387">
        <v>124</v>
      </c>
      <c r="F83" s="387" t="s">
        <v>55</v>
      </c>
      <c r="G83" t="str">
        <f>"24 Candy Xpression/25 Babbaloo/25 Key Lime Pie/25 Tibet/25 Think Pink  " &amp; _xlfn.XLOOKUP(Main[[#This Row],[FechaEntrega]], Guias[Fecha], Guias[Llegada])</f>
        <v>24 Candy Xpression/25 Babbaloo/25 Key Lime Pie/25 Tibet/25 Think Pink  (M/T)</v>
      </c>
      <c r="H83" s="1" t="s">
        <v>993</v>
      </c>
      <c r="I83" s="235">
        <v>0.47</v>
      </c>
      <c r="J83" s="69">
        <f>_xlfn.LET(
  _xlpm.result, 1-((Main[[#This Row],[Cost]]+Main[[#This Row],[Duties]]+Main[[#This Row],[Transport]])/((Main[[#This Row],[Precio]]*0.96))),
  IF(_xlpm.result&lt;0, "BAJO", IF(_xlpm.result&gt;1, "ALTO", _xlpm.result))
)</f>
        <v>0.24033273381294962</v>
      </c>
      <c r="K83" s="131">
        <v>1.4946236559139783</v>
      </c>
      <c r="L83" s="360" cm="1">
        <f t="array" aca="1" ref="L8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3" s="152">
        <f>Guias!$B$2</f>
        <v>46309</v>
      </c>
      <c r="N83" s="216">
        <f>ROUNDUP((Main[[#This Row],[Cost]]*Main[[#This Row],[Import Duties]]),2)</f>
        <v>0.08</v>
      </c>
      <c r="O83">
        <v>0</v>
      </c>
      <c r="P83">
        <v>1</v>
      </c>
      <c r="Q83">
        <v>0</v>
      </c>
      <c r="R83" s="217">
        <f>ROUNDUP(Main[[#This Row],[Transport2]]/Main[[#This Row],[Cantidad_Min]],2)</f>
        <v>0.54</v>
      </c>
      <c r="S83">
        <f>_xlfn.XLOOKUP(Main[[#This Row],[Type of Box]], Cajas[Nombre], Cajas[Largo])</f>
        <v>99</v>
      </c>
      <c r="T83">
        <f>_xlfn.XLOOKUP(Main[[#This Row],[Type of Box]], Cajas[Nombre], Cajas[Ancho])</f>
        <v>35</v>
      </c>
      <c r="U83">
        <f>_xlfn.XLOOKUP(Main[[#This Row],[Type of Box]], Cajas[Nombre], Cajas[Alto])</f>
        <v>16</v>
      </c>
      <c r="V8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3">
        <f>ROUNDUP(((Main[[#This Row],[Volumen]]*5.25))*1.36,2)</f>
        <v>65.98</v>
      </c>
      <c r="X83" s="219">
        <v>0.15859999999999999</v>
      </c>
      <c r="Y83" s="361">
        <f>Main[[#This Row],[Cantidad_Min]]*Main[[#This Row],[Precio]]*Main[[#This Row],[Qty]]</f>
        <v>185.33333333333331</v>
      </c>
      <c r="Z83">
        <f>_xlfn.XLOOKUP(Main[[#This Row],[Finca]], Fincas[Nombre], Fincas[ID])</f>
        <v>72</v>
      </c>
      <c r="AA83" t="str" cm="1">
        <f t="array" ref="AA8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83" s="2" t="s">
        <v>33</v>
      </c>
      <c r="AC83" s="5"/>
      <c r="AD83" s="224" t="s">
        <v>79</v>
      </c>
    </row>
    <row r="84" spans="1:30" ht="15" customHeight="1" x14ac:dyDescent="0.25">
      <c r="A84" s="385" t="s">
        <v>126</v>
      </c>
      <c r="B84" s="386">
        <v>1</v>
      </c>
      <c r="C84" s="386" t="s">
        <v>35</v>
      </c>
      <c r="D84" s="385">
        <v>124</v>
      </c>
      <c r="E84" s="387">
        <v>124</v>
      </c>
      <c r="F84" s="387" t="s">
        <v>55</v>
      </c>
      <c r="G84" t="str">
        <f>"25 Think Pink/25 Babbaloo/25 Key Lime Pie/25 Tibet/24 Candy Xpression " &amp; _xlfn.XLOOKUP(Main[[#This Row],[FechaEntrega]], Guias[Fecha], Guias[Llegada])</f>
        <v>25 Think Pink/25 Babbaloo/25 Key Lime Pie/25 Tibet/24 Candy Xpression (M/T)</v>
      </c>
      <c r="H84" s="1" t="s">
        <v>994</v>
      </c>
      <c r="I84" s="235">
        <v>0.45999999999999996</v>
      </c>
      <c r="J84" s="69">
        <f>_xlfn.LET(
  _xlpm.result, 1-((Main[[#This Row],[Cost]]+Main[[#This Row],[Duties]]+Main[[#This Row],[Transport]])/((Main[[#This Row],[Precio]]*0.96))),
  IF(_xlpm.result&lt;0, "BAJO", IF(_xlpm.result&gt;1, "ALTO", _xlpm.result))
)</f>
        <v>0.2473021582733812</v>
      </c>
      <c r="K84" s="131">
        <v>1.4946236559139785</v>
      </c>
      <c r="L84" s="360" cm="1">
        <f t="array" aca="1" ref="L8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4" s="152">
        <f>Guias!$B$2</f>
        <v>46309</v>
      </c>
      <c r="N84" s="216">
        <f>ROUNDUP((Main[[#This Row],[Cost]]*Main[[#This Row],[Import Duties]]),2)</f>
        <v>0.08</v>
      </c>
      <c r="O84">
        <v>0</v>
      </c>
      <c r="P84">
        <v>1</v>
      </c>
      <c r="Q84">
        <v>0</v>
      </c>
      <c r="R84" s="217">
        <f>ROUNDUP(Main[[#This Row],[Transport2]]/Main[[#This Row],[Cantidad_Min]],2)</f>
        <v>0.54</v>
      </c>
      <c r="S84">
        <f>_xlfn.XLOOKUP(Main[[#This Row],[Type of Box]], Cajas[Nombre], Cajas[Largo])</f>
        <v>99</v>
      </c>
      <c r="T84">
        <f>_xlfn.XLOOKUP(Main[[#This Row],[Type of Box]], Cajas[Nombre], Cajas[Ancho])</f>
        <v>35</v>
      </c>
      <c r="U84">
        <f>_xlfn.XLOOKUP(Main[[#This Row],[Type of Box]], Cajas[Nombre], Cajas[Alto])</f>
        <v>16</v>
      </c>
      <c r="V8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4">
        <f>ROUNDUP(((Main[[#This Row],[Volumen]]*5.25))*1.36,2)</f>
        <v>65.98</v>
      </c>
      <c r="X84" s="219">
        <v>0.15859999999999999</v>
      </c>
      <c r="Y84" s="361">
        <f>Main[[#This Row],[Cantidad_Min]]*Main[[#This Row],[Precio]]*Main[[#This Row],[Qty]]</f>
        <v>185.33333333333334</v>
      </c>
      <c r="Z84">
        <f>_xlfn.XLOOKUP(Main[[#This Row],[Finca]], Fincas[Nombre], Fincas[ID])</f>
        <v>72</v>
      </c>
      <c r="AA84" t="str" cm="1">
        <f t="array" ref="AA8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84" s="2" t="s">
        <v>33</v>
      </c>
      <c r="AC84" s="5"/>
      <c r="AD84" s="224" t="s">
        <v>79</v>
      </c>
    </row>
    <row r="85" spans="1:30" ht="15" customHeight="1" x14ac:dyDescent="0.25">
      <c r="A85" s="385" t="s">
        <v>126</v>
      </c>
      <c r="B85" s="386">
        <v>1</v>
      </c>
      <c r="C85" s="386" t="s">
        <v>35</v>
      </c>
      <c r="D85" s="385">
        <f>15*15</f>
        <v>225</v>
      </c>
      <c r="E85" s="387">
        <f>15*15</f>
        <v>225</v>
      </c>
      <c r="F85" s="387" t="s">
        <v>127</v>
      </c>
      <c r="G85" t="str">
        <f>"12 Roses + 3 Fillers " &amp; _xlfn.XLOOKUP(Main[[#This Row],[FechaEntrega]], Guias[Fecha], Guias[Llegada])</f>
        <v>12 Roses + 3 Fillers (M/T)</v>
      </c>
      <c r="H85" s="1" t="s">
        <v>995</v>
      </c>
      <c r="I85" s="235">
        <v>0.2</v>
      </c>
      <c r="J85" s="69">
        <f>_xlfn.LET(
  _xlpm.result, 1-((Main[[#This Row],[Cost]]+Main[[#This Row],[Duties]]+Main[[#This Row],[Transport]])/((Main[[#This Row],[Precio]]*0.96))),
  IF(_xlpm.result&lt;0, "BAJO", IF(_xlpm.result&gt;1, "ALTO", _xlpm.result))
)</f>
        <v>0.21874999999999989</v>
      </c>
      <c r="K85" s="131">
        <v>0.72</v>
      </c>
      <c r="L85" s="360" cm="1">
        <f t="array" aca="1" ref="L8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5" s="152">
        <f>Guias!$B$2</f>
        <v>46309</v>
      </c>
      <c r="N85" s="216">
        <f>ROUNDUP((Main[[#This Row],[Cost]]*Main[[#This Row],[Import Duties]]),2)</f>
        <v>0.04</v>
      </c>
      <c r="O85">
        <v>0</v>
      </c>
      <c r="P85">
        <v>1</v>
      </c>
      <c r="Q85">
        <v>0</v>
      </c>
      <c r="R85" s="217">
        <f>ROUNDUP(Main[[#This Row],[Transport2]]/Main[[#This Row],[Cantidad_Min]],2)</f>
        <v>0.3</v>
      </c>
      <c r="S85">
        <f>_xlfn.XLOOKUP(Main[[#This Row],[Type of Box]], Cajas[Nombre], Cajas[Largo])</f>
        <v>99</v>
      </c>
      <c r="T85">
        <f>_xlfn.XLOOKUP(Main[[#This Row],[Type of Box]], Cajas[Nombre], Cajas[Ancho])</f>
        <v>35</v>
      </c>
      <c r="U85">
        <f>_xlfn.XLOOKUP(Main[[#This Row],[Type of Box]], Cajas[Nombre], Cajas[Alto])</f>
        <v>16</v>
      </c>
      <c r="V8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5">
        <f>ROUNDUP(((Main[[#This Row],[Volumen]]*5.25))*1.36,2)</f>
        <v>65.98</v>
      </c>
      <c r="X85" s="219">
        <v>0.15859999999999999</v>
      </c>
      <c r="Y85" s="361">
        <f>Main[[#This Row],[Cantidad_Min]]*Main[[#This Row],[Precio]]*Main[[#This Row],[Qty]]</f>
        <v>162</v>
      </c>
      <c r="Z85">
        <f>_xlfn.XLOOKUP(Main[[#This Row],[Finca]], Fincas[Nombre], Fincas[ID])</f>
        <v>72</v>
      </c>
      <c r="AA85" t="str" cm="1">
        <f t="array" ref="AA8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85" s="2" t="s">
        <v>33</v>
      </c>
      <c r="AC85" s="5" t="s">
        <v>129</v>
      </c>
      <c r="AD85" s="224" t="s">
        <v>130</v>
      </c>
    </row>
    <row r="86" spans="1:30" ht="15" customHeight="1" x14ac:dyDescent="0.25">
      <c r="A86" s="385" t="s">
        <v>126</v>
      </c>
      <c r="B86" s="386">
        <v>1</v>
      </c>
      <c r="C86" s="386" t="s">
        <v>35</v>
      </c>
      <c r="D86" s="385">
        <v>125</v>
      </c>
      <c r="E86" s="387">
        <v>125</v>
      </c>
      <c r="F86" s="387" t="s">
        <v>55</v>
      </c>
      <c r="G86" t="str">
        <f>"25 Think Pink/25 Babbaloo/25 Key lime pie/25 Tibet/25 Powderpuff " &amp; _xlfn.XLOOKUP(Main[[#This Row],[FechaEntrega]], Guias[Fecha], Guias[Llegada])</f>
        <v>25 Think Pink/25 Babbaloo/25 Key lime pie/25 Tibet/25 Powderpuff (M/T)</v>
      </c>
      <c r="H86" s="1" t="s">
        <v>996</v>
      </c>
      <c r="I86" s="235">
        <v>0.45999999999999996</v>
      </c>
      <c r="J86" s="69">
        <f>_xlfn.LET(
  _xlpm.result, 1-((Main[[#This Row],[Cost]]+Main[[#This Row],[Duties]]+Main[[#This Row],[Transport]])/((Main[[#This Row],[Precio]]*0.96))),
  IF(_xlpm.result&lt;0, "BAJO", IF(_xlpm.result&gt;1, "ALTO", _xlpm.result))
)</f>
        <v>0.25427158273381301</v>
      </c>
      <c r="K86" s="131">
        <v>1.4946236559139785</v>
      </c>
      <c r="L86" s="360" cm="1">
        <f t="array" aca="1" ref="L8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6" s="152">
        <f>Guias!$B$2</f>
        <v>46309</v>
      </c>
      <c r="N86" s="216">
        <f>ROUNDUP((Main[[#This Row],[Cost]]*Main[[#This Row],[Import Duties]]),2)</f>
        <v>0.08</v>
      </c>
      <c r="O86">
        <v>0</v>
      </c>
      <c r="P86">
        <v>1</v>
      </c>
      <c r="Q86">
        <v>0</v>
      </c>
      <c r="R86" s="217">
        <f>ROUNDUP(Main[[#This Row],[Transport2]]/Main[[#This Row],[Cantidad_Min]],2)</f>
        <v>0.53</v>
      </c>
      <c r="S86">
        <f>_xlfn.XLOOKUP(Main[[#This Row],[Type of Box]], Cajas[Nombre], Cajas[Largo])</f>
        <v>99</v>
      </c>
      <c r="T86">
        <f>_xlfn.XLOOKUP(Main[[#This Row],[Type of Box]], Cajas[Nombre], Cajas[Ancho])</f>
        <v>35</v>
      </c>
      <c r="U86">
        <f>_xlfn.XLOOKUP(Main[[#This Row],[Type of Box]], Cajas[Nombre], Cajas[Alto])</f>
        <v>16</v>
      </c>
      <c r="V8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6">
        <f>ROUNDUP(((Main[[#This Row],[Volumen]]*5.25))*1.36,2)</f>
        <v>65.98</v>
      </c>
      <c r="X86" s="219">
        <v>0.15859999999999999</v>
      </c>
      <c r="Y86" s="361">
        <f>Main[[#This Row],[Cantidad_Min]]*Main[[#This Row],[Precio]]*Main[[#This Row],[Qty]]</f>
        <v>186.82795698924733</v>
      </c>
      <c r="Z86">
        <f>_xlfn.XLOOKUP(Main[[#This Row],[Finca]], Fincas[Nombre], Fincas[ID])</f>
        <v>72</v>
      </c>
      <c r="AA86" t="str" cm="1">
        <f t="array" ref="AA8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86" s="2" t="s">
        <v>33</v>
      </c>
      <c r="AC86" s="5"/>
      <c r="AD86" s="224" t="s">
        <v>79</v>
      </c>
    </row>
    <row r="87" spans="1:30" ht="15" customHeight="1" x14ac:dyDescent="0.25">
      <c r="A87" s="154" t="s">
        <v>126</v>
      </c>
      <c r="B87" s="155">
        <v>1</v>
      </c>
      <c r="C87" s="155" t="s">
        <v>35</v>
      </c>
      <c r="D87" s="154">
        <v>125</v>
      </c>
      <c r="E87" s="236">
        <v>125</v>
      </c>
      <c r="F87" s="236" t="s">
        <v>55</v>
      </c>
      <c r="G87" t="str">
        <f>"Explorer/Tibet/Shimmer/Hot Explorer/Deep Purple " &amp; _xlfn.XLOOKUP(Main[[#This Row],[FechaEntrega]], Guias[Fecha], Guias[Llegada])</f>
        <v>Explorer/Tibet/Shimmer/Hot Explorer/Deep Purple (W/T)</v>
      </c>
      <c r="H87" s="1" t="s">
        <v>997</v>
      </c>
      <c r="I87" s="235">
        <v>0.36</v>
      </c>
      <c r="J87" s="69">
        <f>_xlfn.LET(
  _xlpm.result, 1-((Main[[#This Row],[Cost]]+Main[[#This Row],[Duties]]+Main[[#This Row],[Transport]])/((Main[[#This Row],[Precio]]*0.96))),
  IF(_xlpm.result&lt;0, "BAJO", IF(_xlpm.result&gt;1, "ALTO", _xlpm.result))
)</f>
        <v>0.2328811369509044</v>
      </c>
      <c r="K87" s="131">
        <v>1.29</v>
      </c>
      <c r="L87" s="360" cm="1">
        <f t="array" aca="1" ref="L8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87" s="152">
        <f>Guias!$B$4</f>
        <v>46311</v>
      </c>
      <c r="N87" s="216">
        <f>ROUNDUP((Main[[#This Row],[Cost]]*Main[[#This Row],[Import Duties]]),2)</f>
        <v>6.0000000000000005E-2</v>
      </c>
      <c r="O87">
        <v>0</v>
      </c>
      <c r="P87">
        <v>1</v>
      </c>
      <c r="Q87">
        <v>0</v>
      </c>
      <c r="R87" s="217">
        <f>ROUNDUP(Main[[#This Row],[Transport2]]/Main[[#This Row],[Cantidad_Min]],2)</f>
        <v>0.53</v>
      </c>
      <c r="S87">
        <f>_xlfn.XLOOKUP(Main[[#This Row],[Type of Box]], Cajas[Nombre], Cajas[Largo])</f>
        <v>99</v>
      </c>
      <c r="T87">
        <f>_xlfn.XLOOKUP(Main[[#This Row],[Type of Box]], Cajas[Nombre], Cajas[Ancho])</f>
        <v>35</v>
      </c>
      <c r="U87">
        <f>_xlfn.XLOOKUP(Main[[#This Row],[Type of Box]], Cajas[Nombre], Cajas[Alto])</f>
        <v>16</v>
      </c>
      <c r="V8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7">
        <f>ROUNDUP(((Main[[#This Row],[Volumen]]*5.25))*1.36,2)</f>
        <v>65.98</v>
      </c>
      <c r="X87" s="219">
        <v>0.15859999999999999</v>
      </c>
      <c r="Y87" s="361">
        <f>Main[[#This Row],[Cantidad_Min]]*Main[[#This Row],[Precio]]*Main[[#This Row],[Qty]]</f>
        <v>161.25</v>
      </c>
      <c r="Z87">
        <f>_xlfn.XLOOKUP(Main[[#This Row],[Finca]], Fincas[Nombre], Fincas[ID])</f>
        <v>72</v>
      </c>
      <c r="AA87" t="str" cm="1">
        <f t="array" ref="AA8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87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87" s="400"/>
      <c r="AD87" s="224" t="s">
        <v>146</v>
      </c>
    </row>
    <row r="88" spans="1:30" ht="15" customHeight="1" x14ac:dyDescent="0.25">
      <c r="A88" s="154" t="s">
        <v>126</v>
      </c>
      <c r="B88" s="155">
        <v>1</v>
      </c>
      <c r="C88" s="155" t="s">
        <v>31</v>
      </c>
      <c r="D88" s="154">
        <v>60</v>
      </c>
      <c r="E88" s="236">
        <v>60</v>
      </c>
      <c r="F88" s="236" t="s">
        <v>141</v>
      </c>
      <c r="G88" t="str">
        <f>"10 Yellow/10 Orange/10 White/10 Pink/10 Hot Pink/10 Red " &amp; _xlfn.XLOOKUP(Main[[#This Row],[FechaEntrega]], Guias[Fecha], Guias[Llegada])</f>
        <v>10 Yellow/10 Orange/10 White/10 Pink/10 Hot Pink/10 Red (M/T)</v>
      </c>
      <c r="H88" s="1" t="s">
        <v>998</v>
      </c>
      <c r="I88" s="235">
        <v>0.36</v>
      </c>
      <c r="J88" s="69">
        <f>_xlfn.LET(
  _xlpm.result, 1-((Main[[#This Row],[Cost]]+Main[[#This Row],[Duties]]+Main[[#This Row],[Transport]])/((Main[[#This Row],[Precio]]*0.96))),
  IF(_xlpm.result&lt;0, "BAJO", IF(_xlpm.result&gt;1, "ALTO", _xlpm.result))
)</f>
        <v>0.22811750599520375</v>
      </c>
      <c r="K88" s="131">
        <v>1.39</v>
      </c>
      <c r="L88" s="360" cm="1">
        <f t="array" aca="1" ref="L8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8" s="152">
        <f>Guias!$B$2</f>
        <v>46309</v>
      </c>
      <c r="N88" s="216">
        <f>ROUNDUP((Main[[#This Row],[Cost]]*Main[[#This Row],[Import Duties]]),2)</f>
        <v>6.0000000000000005E-2</v>
      </c>
      <c r="O88">
        <v>0</v>
      </c>
      <c r="P88">
        <v>1</v>
      </c>
      <c r="Q88">
        <v>0</v>
      </c>
      <c r="R88" s="217">
        <f>ROUNDUP(Main[[#This Row],[Transport2]]/Main[[#This Row],[Cantidad_Min]],2)</f>
        <v>0.61</v>
      </c>
      <c r="S88">
        <f>_xlfn.XLOOKUP(Main[[#This Row],[Type of Box]], Cajas[Nombre], Cajas[Largo])</f>
        <v>105</v>
      </c>
      <c r="T88">
        <f>_xlfn.XLOOKUP(Main[[#This Row],[Type of Box]], Cajas[Nombre], Cajas[Ancho])</f>
        <v>17</v>
      </c>
      <c r="U88">
        <f>_xlfn.XLOOKUP(Main[[#This Row],[Type of Box]], Cajas[Nombre], Cajas[Alto])</f>
        <v>17</v>
      </c>
      <c r="V8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88">
        <f>ROUNDUP(((Main[[#This Row],[Volumen]]*5.25))*1.36,2)</f>
        <v>36.119999999999997</v>
      </c>
      <c r="X88" s="219">
        <v>0.15859999999999999</v>
      </c>
      <c r="Y88" s="361">
        <f>Main[[#This Row],[Cantidad_Min]]*Main[[#This Row],[Precio]]*Main[[#This Row],[Qty]]</f>
        <v>83.399999999999991</v>
      </c>
      <c r="Z88">
        <f>_xlfn.XLOOKUP(Main[[#This Row],[Finca]], Fincas[Nombre], Fincas[ID])</f>
        <v>72</v>
      </c>
      <c r="AA88" t="str" cm="1">
        <f t="array" ref="AA8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88" s="2" t="s">
        <v>33</v>
      </c>
      <c r="AC88" s="31"/>
      <c r="AD88" s="224" t="s">
        <v>60</v>
      </c>
    </row>
    <row r="89" spans="1:30" ht="15" customHeight="1" x14ac:dyDescent="0.25">
      <c r="A89" s="154" t="s">
        <v>126</v>
      </c>
      <c r="B89" s="155">
        <f>IF(Main[[#This Row],[SendEmail]]="Y", 1, 0)</f>
        <v>1</v>
      </c>
      <c r="C89" s="155" t="s">
        <v>35</v>
      </c>
      <c r="D89" s="154">
        <v>144</v>
      </c>
      <c r="E89" s="236">
        <v>144</v>
      </c>
      <c r="F89" s="236" t="s">
        <v>147</v>
      </c>
      <c r="G89" t="str">
        <f>"Roses/Garden Roses/Spray Roses " &amp; _xlfn.XLOOKUP(Main[[#This Row],[FechaEntrega]], Guias[Fecha], Guias[Llegada])</f>
        <v>Roses/Garden Roses/Spray Roses (M/T)</v>
      </c>
      <c r="H89" s="1" t="s">
        <v>999</v>
      </c>
      <c r="I89" s="235">
        <v>0.46</v>
      </c>
      <c r="J89" s="69">
        <f>_xlfn.LET(
  _xlpm.result, 1-((Main[[#This Row],[Cost]]+Main[[#This Row],[Duties]]+Main[[#This Row],[Transport]])/((Main[[#This Row],[Precio]]*0.96))),
  IF(_xlpm.result&lt;0, "BAJO", IF(_xlpm.result&gt;1, "ALTO", _xlpm.result))
)</f>
        <v>0.3101545253863135</v>
      </c>
      <c r="K89" s="131">
        <v>1.51</v>
      </c>
      <c r="L89" s="360" cm="1">
        <f t="array" aca="1" ref="L8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89" s="152">
        <f>Guias!$B$2</f>
        <v>46309</v>
      </c>
      <c r="N89" s="216">
        <f>ROUNDUP((Main[[#This Row],[Cost]]*Main[[#This Row],[Import Duties]]),2)</f>
        <v>0.08</v>
      </c>
      <c r="O89">
        <v>0</v>
      </c>
      <c r="P89">
        <v>1</v>
      </c>
      <c r="Q89">
        <v>0</v>
      </c>
      <c r="R89" s="217">
        <f>ROUNDUP(Main[[#This Row],[Transport2]]/Main[[#This Row],[Cantidad_Min]],2)</f>
        <v>0.46</v>
      </c>
      <c r="S89">
        <f>_xlfn.XLOOKUP(Main[[#This Row],[Type of Box]], Cajas[Nombre], Cajas[Largo])</f>
        <v>99</v>
      </c>
      <c r="T89">
        <f>_xlfn.XLOOKUP(Main[[#This Row],[Type of Box]], Cajas[Nombre], Cajas[Ancho])</f>
        <v>35</v>
      </c>
      <c r="U89">
        <f>_xlfn.XLOOKUP(Main[[#This Row],[Type of Box]], Cajas[Nombre], Cajas[Alto])</f>
        <v>16</v>
      </c>
      <c r="V8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89">
        <f>ROUNDUP(((Main[[#This Row],[Volumen]]*5.25))*1.36,2)</f>
        <v>65.98</v>
      </c>
      <c r="X89" s="219">
        <v>0.15859999999999999</v>
      </c>
      <c r="Y89" s="361">
        <f>Main[[#This Row],[Cantidad_Min]]*Main[[#This Row],[Precio]]*Main[[#This Row],[Qty]]</f>
        <v>217.44</v>
      </c>
      <c r="Z89">
        <f>_xlfn.XLOOKUP(Main[[#This Row],[Finca]], Fincas[Nombre], Fincas[ID])</f>
        <v>72</v>
      </c>
      <c r="AA89" t="str" cm="1">
        <f t="array" ref="AA8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89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89" s="5"/>
      <c r="AD89" s="224" t="s">
        <v>148</v>
      </c>
    </row>
    <row r="90" spans="1:30" ht="15" customHeight="1" x14ac:dyDescent="0.25">
      <c r="A90" s="33" t="s">
        <v>126</v>
      </c>
      <c r="B90" s="153">
        <v>1</v>
      </c>
      <c r="C90" s="153" t="s">
        <v>35</v>
      </c>
      <c r="D90" s="33">
        <v>100</v>
      </c>
      <c r="E90">
        <v>100</v>
      </c>
      <c r="F90" t="s">
        <v>89</v>
      </c>
      <c r="G90" t="str">
        <f>"50 Explorer/25 Mondial/25 Pink Mondial " &amp; _xlfn.XLOOKUP(Main[[#This Row],[FechaEntrega]], Guias[Fecha], Guias[Llegada])</f>
        <v>50 Explorer/25 Mondial/25 Pink Mondial (M/T)</v>
      </c>
      <c r="H90" s="1" t="s">
        <v>1000</v>
      </c>
      <c r="I90" s="235">
        <v>0.31</v>
      </c>
      <c r="J90" s="69">
        <f>_xlfn.LET(
  _xlpm.result, 1-((Main[[#This Row],[Cost]]+Main[[#This Row],[Duties]]+Main[[#This Row],[Transport]])/((Main[[#This Row],[Precio]]*0.96))),
  IF(_xlpm.result&lt;0, "BAJO", IF(_xlpm.result&gt;1, "ALTO", _xlpm.result))
)</f>
        <v>0.28691275167785224</v>
      </c>
      <c r="K90" s="131">
        <v>1.49</v>
      </c>
      <c r="L90" s="360" cm="1">
        <f t="array" aca="1" ref="L9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90" s="152">
        <f>Guias!$B$2</f>
        <v>46309</v>
      </c>
      <c r="N90" s="216">
        <f>ROUNDUP((Main[[#This Row],[Cost]]*Main[[#This Row],[Import Duties]]),2)</f>
        <v>0.05</v>
      </c>
      <c r="O90">
        <v>0</v>
      </c>
      <c r="P90">
        <v>1</v>
      </c>
      <c r="Q90">
        <v>0</v>
      </c>
      <c r="R90" s="217">
        <f>ROUNDUP(Main[[#This Row],[Transport2]]/Main[[#This Row],[Cantidad_Min]],2)</f>
        <v>0.66</v>
      </c>
      <c r="S90">
        <f>_xlfn.XLOOKUP(Main[[#This Row],[Type of Box]], Cajas[Nombre], Cajas[Largo])</f>
        <v>99</v>
      </c>
      <c r="T90">
        <f>_xlfn.XLOOKUP(Main[[#This Row],[Type of Box]], Cajas[Nombre], Cajas[Ancho])</f>
        <v>35</v>
      </c>
      <c r="U90">
        <f>_xlfn.XLOOKUP(Main[[#This Row],[Type of Box]], Cajas[Nombre], Cajas[Alto])</f>
        <v>16</v>
      </c>
      <c r="V9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0">
        <f>ROUNDUP(((Main[[#This Row],[Volumen]]*5.25))*1.36,2)</f>
        <v>65.98</v>
      </c>
      <c r="X90" s="219">
        <v>0.15859999999999999</v>
      </c>
      <c r="Y90" s="361">
        <f>Main[[#This Row],[Cantidad_Min]]*Main[[#This Row],[Precio]]*Main[[#This Row],[Qty]]</f>
        <v>149</v>
      </c>
      <c r="Z90">
        <f>_xlfn.XLOOKUP(Main[[#This Row],[Finca]], Fincas[Nombre], Fincas[ID])</f>
        <v>72</v>
      </c>
      <c r="AA90" t="str" cm="1">
        <f t="array" ref="AA9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0" s="2" t="s">
        <v>33</v>
      </c>
      <c r="AC90" s="400"/>
      <c r="AD90" s="225"/>
    </row>
    <row r="91" spans="1:30" ht="15" customHeight="1" x14ac:dyDescent="0.25">
      <c r="A91" s="33" t="s">
        <v>126</v>
      </c>
      <c r="B91" s="153">
        <v>1</v>
      </c>
      <c r="C91" s="153" t="s">
        <v>35</v>
      </c>
      <c r="D91" s="33">
        <v>100</v>
      </c>
      <c r="E91">
        <v>100</v>
      </c>
      <c r="F91" t="s">
        <v>89</v>
      </c>
      <c r="G91" t="str">
        <f>"25 Deep Purple/25 Yellow/25 Free Spirit/25 Lola " &amp; _xlfn.XLOOKUP(Main[[#This Row],[FechaEntrega]], Guias[Fecha], Guias[Llegada])</f>
        <v>25 Deep Purple/25 Yellow/25 Free Spirit/25 Lola (M/T)</v>
      </c>
      <c r="H91" s="1" t="s">
        <v>1001</v>
      </c>
      <c r="I91" s="235">
        <v>0.36</v>
      </c>
      <c r="J91" s="69">
        <f>_xlfn.LET(
  _xlpm.result, 1-((Main[[#This Row],[Cost]]+Main[[#This Row],[Duties]]+Main[[#This Row],[Transport]])/((Main[[#This Row],[Precio]]*0.96))),
  IF(_xlpm.result&lt;0, "BAJO", IF(_xlpm.result&gt;1, "ALTO", _xlpm.result))
)</f>
        <v>0.27419354838709675</v>
      </c>
      <c r="K91" s="131">
        <v>1.55</v>
      </c>
      <c r="L91" s="360" cm="1">
        <f t="array" aca="1" ref="L9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91" s="152">
        <f>Guias!$B$2</f>
        <v>46309</v>
      </c>
      <c r="N91" s="216">
        <f>ROUNDUP((Main[[#This Row],[Cost]]*Main[[#This Row],[Import Duties]]),2)</f>
        <v>6.0000000000000005E-2</v>
      </c>
      <c r="O91">
        <v>0</v>
      </c>
      <c r="P91">
        <v>1</v>
      </c>
      <c r="Q91">
        <v>0</v>
      </c>
      <c r="R91" s="217">
        <f>ROUNDUP(Main[[#This Row],[Transport2]]/Main[[#This Row],[Cantidad_Min]],2)</f>
        <v>0.66</v>
      </c>
      <c r="S91">
        <f>_xlfn.XLOOKUP(Main[[#This Row],[Type of Box]], Cajas[Nombre], Cajas[Largo])</f>
        <v>99</v>
      </c>
      <c r="T91">
        <f>_xlfn.XLOOKUP(Main[[#This Row],[Type of Box]], Cajas[Nombre], Cajas[Ancho])</f>
        <v>35</v>
      </c>
      <c r="U91">
        <f>_xlfn.XLOOKUP(Main[[#This Row],[Type of Box]], Cajas[Nombre], Cajas[Alto])</f>
        <v>16</v>
      </c>
      <c r="V9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1">
        <f>ROUNDUP(((Main[[#This Row],[Volumen]]*5.25))*1.36,2)</f>
        <v>65.98</v>
      </c>
      <c r="X91" s="219">
        <v>0.15859999999999999</v>
      </c>
      <c r="Y91" s="361">
        <f>Main[[#This Row],[Cantidad_Min]]*Main[[#This Row],[Precio]]*Main[[#This Row],[Qty]]</f>
        <v>155</v>
      </c>
      <c r="Z91">
        <f>_xlfn.XLOOKUP(Main[[#This Row],[Finca]], Fincas[Nombre], Fincas[ID])</f>
        <v>72</v>
      </c>
      <c r="AA91" t="str" cm="1">
        <f t="array" ref="AA9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1" s="2" t="s">
        <v>33</v>
      </c>
      <c r="AC91" s="400"/>
      <c r="AD91" s="225"/>
    </row>
    <row r="92" spans="1:30" ht="15" customHeight="1" x14ac:dyDescent="0.25">
      <c r="A92" s="33" t="s">
        <v>126</v>
      </c>
      <c r="B92" s="153">
        <v>1</v>
      </c>
      <c r="C92" s="153" t="s">
        <v>31</v>
      </c>
      <c r="D92" s="33">
        <v>50</v>
      </c>
      <c r="E92">
        <v>50</v>
      </c>
      <c r="F92" t="s">
        <v>99</v>
      </c>
      <c r="G92" t="str">
        <f>"30 Rosanella/20 Jeanine " &amp; _xlfn.XLOOKUP(Main[[#This Row],[FechaEntrega]], Guias[Fecha], Guias[Llegada])</f>
        <v>30 Rosanella/20 Jeanine (M/T)</v>
      </c>
      <c r="H92" s="1" t="s">
        <v>1002</v>
      </c>
      <c r="I92" s="235">
        <v>0.51</v>
      </c>
      <c r="J92" s="69">
        <f>_xlfn.LET(
  _xlpm.result, 1-((Main[[#This Row],[Cost]]+Main[[#This Row],[Duties]]+Main[[#This Row],[Transport]])/((Main[[#This Row],[Precio]]*0.96))),
  IF(_xlpm.result&lt;0, "BAJO", IF(_xlpm.result&gt;1, "ALTO", _xlpm.result))
)</f>
        <v>0.22602420856610794</v>
      </c>
      <c r="K92" s="131">
        <v>1.79</v>
      </c>
      <c r="L92" s="360" cm="1">
        <f t="array" aca="1" ref="L9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92" s="152">
        <f>Guias!$B$2</f>
        <v>46309</v>
      </c>
      <c r="N92" s="216">
        <f>ROUNDUP((Main[[#This Row],[Cost]]*Main[[#This Row],[Import Duties]]),2)</f>
        <v>0.09</v>
      </c>
      <c r="O92">
        <v>0</v>
      </c>
      <c r="P92">
        <v>1</v>
      </c>
      <c r="Q92">
        <v>0</v>
      </c>
      <c r="R92" s="217">
        <f>ROUNDUP(Main[[#This Row],[Transport2]]/Main[[#This Row],[Cantidad_Min]],2)</f>
        <v>0.73</v>
      </c>
      <c r="S92">
        <f>_xlfn.XLOOKUP(Main[[#This Row],[Type of Box]], Cajas[Nombre], Cajas[Largo])</f>
        <v>105</v>
      </c>
      <c r="T92">
        <f>_xlfn.XLOOKUP(Main[[#This Row],[Type of Box]], Cajas[Nombre], Cajas[Ancho])</f>
        <v>17</v>
      </c>
      <c r="U92">
        <f>_xlfn.XLOOKUP(Main[[#This Row],[Type of Box]], Cajas[Nombre], Cajas[Alto])</f>
        <v>17</v>
      </c>
      <c r="V9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92">
        <f>ROUNDUP(((Main[[#This Row],[Volumen]]*5.25))*1.36,2)</f>
        <v>36.119999999999997</v>
      </c>
      <c r="X92" s="219">
        <v>0.15859999999999999</v>
      </c>
      <c r="Y92" s="361">
        <f>Main[[#This Row],[Cantidad_Min]]*Main[[#This Row],[Precio]]*Main[[#This Row],[Qty]]</f>
        <v>89.5</v>
      </c>
      <c r="Z92">
        <f>_xlfn.XLOOKUP(Main[[#This Row],[Finca]], Fincas[Nombre], Fincas[ID])</f>
        <v>72</v>
      </c>
      <c r="AA92" t="str" cm="1">
        <f t="array" ref="AA9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2" s="2" t="s">
        <v>33</v>
      </c>
      <c r="AC92" s="400"/>
      <c r="AD92" s="382"/>
    </row>
    <row r="93" spans="1:30" x14ac:dyDescent="0.25">
      <c r="A93" s="33" t="s">
        <v>126</v>
      </c>
      <c r="B93" s="153">
        <v>1</v>
      </c>
      <c r="C93" s="153" t="s">
        <v>35</v>
      </c>
      <c r="D93" s="33">
        <v>125</v>
      </c>
      <c r="E93">
        <v>125</v>
      </c>
      <c r="F93" t="s">
        <v>55</v>
      </c>
      <c r="G93" t="s">
        <v>149</v>
      </c>
      <c r="H93" s="1" t="s">
        <v>1003</v>
      </c>
      <c r="I93" s="235">
        <v>0.36</v>
      </c>
      <c r="J93" s="69">
        <f>_xlfn.LET(
  _xlpm.result, 1-((Main[[#This Row],[Cost]]+Main[[#This Row],[Duties]]+Main[[#This Row],[Transport]])/((Main[[#This Row],[Precio]]*0.96))),
  IF(_xlpm.result&lt;0, "BAJO", IF(_xlpm.result&gt;1, "ALTO", _xlpm.result))
)</f>
        <v>0.2328811369509044</v>
      </c>
      <c r="K93" s="131">
        <v>1.29</v>
      </c>
      <c r="L93" s="360" cm="1">
        <f t="array" aca="1" ref="L9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93" s="152">
        <f>Guias!$B$5</f>
        <v>46312</v>
      </c>
      <c r="N93" s="216">
        <f>ROUNDUP((Main[[#This Row],[Cost]]*Main[[#This Row],[Import Duties]]),2)</f>
        <v>6.0000000000000005E-2</v>
      </c>
      <c r="O93">
        <v>0</v>
      </c>
      <c r="P93">
        <v>1</v>
      </c>
      <c r="Q93">
        <v>0</v>
      </c>
      <c r="R93" s="217">
        <f>ROUNDUP(Main[[#This Row],[Transport2]]/Main[[#This Row],[Cantidad_Min]],2)</f>
        <v>0.53</v>
      </c>
      <c r="S93">
        <f>_xlfn.XLOOKUP(Main[[#This Row],[Type of Box]], Cajas[Nombre], Cajas[Largo])</f>
        <v>99</v>
      </c>
      <c r="T93">
        <f>_xlfn.XLOOKUP(Main[[#This Row],[Type of Box]], Cajas[Nombre], Cajas[Ancho])</f>
        <v>35</v>
      </c>
      <c r="U93">
        <f>_xlfn.XLOOKUP(Main[[#This Row],[Type of Box]], Cajas[Nombre], Cajas[Alto])</f>
        <v>16</v>
      </c>
      <c r="V9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3">
        <f>ROUNDUP(((Main[[#This Row],[Volumen]]*5.25))*1.36,2)</f>
        <v>65.98</v>
      </c>
      <c r="X93" s="219">
        <v>0.15859999999999999</v>
      </c>
      <c r="Y93" s="361">
        <f>Main[[#This Row],[Cantidad_Min]]*Main[[#This Row],[Precio]]*Main[[#This Row],[Qty]]</f>
        <v>161.25</v>
      </c>
      <c r="Z93">
        <f>_xlfn.XLOOKUP(Main[[#This Row],[Finca]], Fincas[Nombre], Fincas[ID])</f>
        <v>72</v>
      </c>
      <c r="AA93" t="str" cm="1">
        <f t="array" ref="AA9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3" s="2" t="s">
        <v>33</v>
      </c>
      <c r="AC93" s="5"/>
      <c r="AD93" s="224"/>
    </row>
    <row r="94" spans="1:30" x14ac:dyDescent="0.25">
      <c r="A94" s="33" t="s">
        <v>126</v>
      </c>
      <c r="B94" s="153">
        <v>1</v>
      </c>
      <c r="C94" s="153" t="s">
        <v>35</v>
      </c>
      <c r="D94" s="33">
        <v>125</v>
      </c>
      <c r="E94">
        <v>125</v>
      </c>
      <c r="F94" t="s">
        <v>106</v>
      </c>
      <c r="G94" t="s">
        <v>108</v>
      </c>
      <c r="H94" s="1" t="s">
        <v>1004</v>
      </c>
      <c r="I94" s="235">
        <v>0.38</v>
      </c>
      <c r="J94" s="69">
        <f>_xlfn.LET(
  _xlpm.result, 1-((Main[[#This Row],[Cost]]+Main[[#This Row],[Duties]]+Main[[#This Row],[Transport]])/((Main[[#This Row],[Precio]]*0.96))),
  IF(_xlpm.result&lt;0, "BAJO", IF(_xlpm.result&gt;1, "ALTO", _xlpm.result))
)</f>
        <v>0.23818407960199006</v>
      </c>
      <c r="K94" s="131">
        <v>1.34</v>
      </c>
      <c r="L94" s="360" cm="1">
        <f t="array" aca="1" ref="L9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94" s="152">
        <f>Guias!$B$5</f>
        <v>46312</v>
      </c>
      <c r="N94" s="216">
        <f>ROUNDUP((Main[[#This Row],[Cost]]*Main[[#This Row],[Import Duties]]),2)</f>
        <v>6.9999999999999993E-2</v>
      </c>
      <c r="O94">
        <v>0</v>
      </c>
      <c r="P94">
        <v>1</v>
      </c>
      <c r="Q94">
        <v>0</v>
      </c>
      <c r="R94" s="217">
        <f>ROUNDUP(Main[[#This Row],[Transport2]]/Main[[#This Row],[Cantidad_Min]],2)</f>
        <v>0.53</v>
      </c>
      <c r="S94">
        <f>_xlfn.XLOOKUP(Main[[#This Row],[Type of Box]], Cajas[Nombre], Cajas[Largo])</f>
        <v>99</v>
      </c>
      <c r="T94">
        <f>_xlfn.XLOOKUP(Main[[#This Row],[Type of Box]], Cajas[Nombre], Cajas[Ancho])</f>
        <v>35</v>
      </c>
      <c r="U94">
        <f>_xlfn.XLOOKUP(Main[[#This Row],[Type of Box]], Cajas[Nombre], Cajas[Alto])</f>
        <v>16</v>
      </c>
      <c r="V9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4">
        <f>ROUNDUP(((Main[[#This Row],[Volumen]]*5.25))*1.36,2)</f>
        <v>65.98</v>
      </c>
      <c r="X94" s="219">
        <v>0.15859999999999999</v>
      </c>
      <c r="Y94" s="361">
        <f>Main[[#This Row],[Cantidad_Min]]*Main[[#This Row],[Precio]]*Main[[#This Row],[Qty]]</f>
        <v>167.5</v>
      </c>
      <c r="Z94">
        <f>_xlfn.XLOOKUP(Main[[#This Row],[Finca]], Fincas[Nombre], Fincas[ID])</f>
        <v>72</v>
      </c>
      <c r="AA94" t="str" cm="1">
        <f t="array" ref="AA9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4" s="2" t="s">
        <v>33</v>
      </c>
      <c r="AC94" s="5"/>
      <c r="AD94" s="224"/>
    </row>
    <row r="95" spans="1:30" x14ac:dyDescent="0.25">
      <c r="A95" s="33" t="s">
        <v>126</v>
      </c>
      <c r="B95" s="153">
        <v>4</v>
      </c>
      <c r="C95" s="153" t="s">
        <v>31</v>
      </c>
      <c r="D95" s="33">
        <v>48</v>
      </c>
      <c r="E95">
        <v>48</v>
      </c>
      <c r="F95" t="s">
        <v>72</v>
      </c>
      <c r="G95" t="s">
        <v>150</v>
      </c>
      <c r="H95" s="1" t="s">
        <v>1005</v>
      </c>
      <c r="I95" s="235">
        <v>0.51</v>
      </c>
      <c r="J95" s="69">
        <f>_xlfn.LET(
  _xlpm.result, 1-((Main[[#This Row],[Cost]]+Main[[#This Row],[Duties]]+Main[[#This Row],[Transport]])/((Main[[#This Row],[Precio]]*0.96))),
  IF(_xlpm.result&lt;0, "BAJO", IF(_xlpm.result&gt;1, "ALTO", _xlpm.result))
)</f>
        <v>0.20856610800744879</v>
      </c>
      <c r="K95" s="131">
        <v>1.79</v>
      </c>
      <c r="L95" s="360" cm="1">
        <f t="array" aca="1" ref="L9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95" s="152">
        <f>Guias!$B$5</f>
        <v>46312</v>
      </c>
      <c r="N95" s="216">
        <f>ROUNDUP((Main[[#This Row],[Cost]]*Main[[#This Row],[Import Duties]]),2)</f>
        <v>0.09</v>
      </c>
      <c r="O95">
        <v>0</v>
      </c>
      <c r="P95">
        <v>1</v>
      </c>
      <c r="Q95">
        <v>0</v>
      </c>
      <c r="R95" s="217">
        <f>ROUNDUP(Main[[#This Row],[Transport2]]/Main[[#This Row],[Cantidad_Min]],2)</f>
        <v>0.76</v>
      </c>
      <c r="S95">
        <f>_xlfn.XLOOKUP(Main[[#This Row],[Type of Box]], Cajas[Nombre], Cajas[Largo])</f>
        <v>105</v>
      </c>
      <c r="T95">
        <f>_xlfn.XLOOKUP(Main[[#This Row],[Type of Box]], Cajas[Nombre], Cajas[Ancho])</f>
        <v>17</v>
      </c>
      <c r="U95">
        <f>_xlfn.XLOOKUP(Main[[#This Row],[Type of Box]], Cajas[Nombre], Cajas[Alto])</f>
        <v>17</v>
      </c>
      <c r="V9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95">
        <f>ROUNDUP(((Main[[#This Row],[Volumen]]*5.25))*1.36,2)</f>
        <v>36.119999999999997</v>
      </c>
      <c r="X95" s="219">
        <v>0.15859999999999999</v>
      </c>
      <c r="Y95" s="361">
        <f>Main[[#This Row],[Cantidad_Min]]*Main[[#This Row],[Precio]]*Main[[#This Row],[Qty]]</f>
        <v>343.68</v>
      </c>
      <c r="Z95">
        <f>_xlfn.XLOOKUP(Main[[#This Row],[Finca]], Fincas[Nombre], Fincas[ID])</f>
        <v>72</v>
      </c>
      <c r="AA95" t="str" cm="1">
        <f t="array" ref="AA9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5" s="2" t="s">
        <v>33</v>
      </c>
      <c r="AC95" s="5"/>
      <c r="AD95" s="224"/>
    </row>
    <row r="96" spans="1:30" x14ac:dyDescent="0.25">
      <c r="A96" s="33" t="s">
        <v>126</v>
      </c>
      <c r="B96" s="153">
        <v>2</v>
      </c>
      <c r="C96" s="153" t="s">
        <v>35</v>
      </c>
      <c r="D96" s="33">
        <v>125</v>
      </c>
      <c r="E96">
        <v>125</v>
      </c>
      <c r="F96" t="s">
        <v>106</v>
      </c>
      <c r="G96" t="str">
        <f>"Freedom " &amp; _xlfn.XLOOKUP(Main[[#This Row],[FechaEntrega]], Guias[Fecha], Guias[Llegada])</f>
        <v>Freedom (W/T)</v>
      </c>
      <c r="H96" s="1" t="s">
        <v>1006</v>
      </c>
      <c r="I96" s="235">
        <v>0.38</v>
      </c>
      <c r="J96" s="69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96" s="131">
        <v>1.39</v>
      </c>
      <c r="L96" s="360" cm="1">
        <f t="array" aca="1" ref="L9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96" s="152">
        <f>Guias!$B$4</f>
        <v>46311</v>
      </c>
      <c r="N96" s="216">
        <f>ROUNDUP((Main[[#This Row],[Cost]]*Main[[#This Row],[Import Duties]]),2)</f>
        <v>6.9999999999999993E-2</v>
      </c>
      <c r="O96">
        <v>0</v>
      </c>
      <c r="P96">
        <v>1</v>
      </c>
      <c r="Q96">
        <v>0</v>
      </c>
      <c r="R96" s="217">
        <f>ROUNDUP(Main[[#This Row],[Transport2]]/Main[[#This Row],[Cantidad_Min]],2)</f>
        <v>0.53</v>
      </c>
      <c r="S96">
        <f>_xlfn.XLOOKUP(Main[[#This Row],[Type of Box]], Cajas[Nombre], Cajas[Largo])</f>
        <v>99</v>
      </c>
      <c r="T96">
        <f>_xlfn.XLOOKUP(Main[[#This Row],[Type of Box]], Cajas[Nombre], Cajas[Ancho])</f>
        <v>35</v>
      </c>
      <c r="U96">
        <f>_xlfn.XLOOKUP(Main[[#This Row],[Type of Box]], Cajas[Nombre], Cajas[Alto])</f>
        <v>16</v>
      </c>
      <c r="V9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6">
        <f>ROUNDUP(((Main[[#This Row],[Volumen]]*5.25))*1.36,2)</f>
        <v>65.98</v>
      </c>
      <c r="X96" s="219">
        <v>0.15859999999999999</v>
      </c>
      <c r="Y96" s="361">
        <f>Main[[#This Row],[Cantidad_Min]]*Main[[#This Row],[Precio]]*Main[[#This Row],[Qty]]</f>
        <v>347.5</v>
      </c>
      <c r="Z96">
        <f>_xlfn.XLOOKUP(Main[[#This Row],[Finca]], Fincas[Nombre], Fincas[ID])</f>
        <v>72</v>
      </c>
      <c r="AA96" t="str" cm="1">
        <f t="array" ref="AA9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6" s="2" t="s">
        <v>33</v>
      </c>
      <c r="AC96" s="5"/>
      <c r="AD96" s="224"/>
    </row>
    <row r="97" spans="1:30" x14ac:dyDescent="0.25">
      <c r="A97" s="33" t="s">
        <v>126</v>
      </c>
      <c r="B97" s="153">
        <v>2</v>
      </c>
      <c r="C97" s="153" t="s">
        <v>35</v>
      </c>
      <c r="D97" s="33">
        <v>125</v>
      </c>
      <c r="E97">
        <v>125</v>
      </c>
      <c r="F97" t="s">
        <v>55</v>
      </c>
      <c r="G97" t="str">
        <f>"Fortune " &amp; _xlfn.XLOOKUP(Main[[#This Row],[FechaEntrega]], Guias[Fecha], Guias[Llegada])</f>
        <v>Fortune (T/W)</v>
      </c>
      <c r="H97" s="1" t="s">
        <v>1007</v>
      </c>
      <c r="I97" s="235">
        <v>0.36</v>
      </c>
      <c r="J97" s="69">
        <f>_xlfn.LET(
  _xlpm.result, 1-((Main[[#This Row],[Cost]]+Main[[#This Row],[Duties]]+Main[[#This Row],[Transport]])/((Main[[#This Row],[Precio]]*0.96))),
  IF(_xlpm.result&lt;0, "BAJO", IF(_xlpm.result&gt;1, "ALTO", _xlpm.result))
)</f>
        <v>0.2328811369509044</v>
      </c>
      <c r="K97" s="131">
        <v>1.29</v>
      </c>
      <c r="L97" s="360" cm="1">
        <f t="array" aca="1" ref="L9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97" s="152">
        <f>Guias!$B$3</f>
        <v>46310</v>
      </c>
      <c r="N97" s="216">
        <f>ROUNDUP((Main[[#This Row],[Cost]]*Main[[#This Row],[Import Duties]]),2)</f>
        <v>6.0000000000000005E-2</v>
      </c>
      <c r="O97">
        <v>0</v>
      </c>
      <c r="P97">
        <v>1</v>
      </c>
      <c r="Q97">
        <v>0</v>
      </c>
      <c r="R97" s="217">
        <f>ROUNDUP(Main[[#This Row],[Transport2]]/Main[[#This Row],[Cantidad_Min]],2)</f>
        <v>0.53</v>
      </c>
      <c r="S97">
        <f>_xlfn.XLOOKUP(Main[[#This Row],[Type of Box]], Cajas[Nombre], Cajas[Largo])</f>
        <v>99</v>
      </c>
      <c r="T97">
        <f>_xlfn.XLOOKUP(Main[[#This Row],[Type of Box]], Cajas[Nombre], Cajas[Ancho])</f>
        <v>35</v>
      </c>
      <c r="U97">
        <f>_xlfn.XLOOKUP(Main[[#This Row],[Type of Box]], Cajas[Nombre], Cajas[Alto])</f>
        <v>16</v>
      </c>
      <c r="V9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97">
        <f>ROUNDUP(((Main[[#This Row],[Volumen]]*5.25))*1.36,2)</f>
        <v>65.98</v>
      </c>
      <c r="X97" s="219">
        <v>0.15859999999999999</v>
      </c>
      <c r="Y97" s="361">
        <f>Main[[#This Row],[Cantidad_Min]]*Main[[#This Row],[Precio]]*Main[[#This Row],[Qty]]</f>
        <v>322.5</v>
      </c>
      <c r="Z97">
        <f>_xlfn.XLOOKUP(Main[[#This Row],[Finca]], Fincas[Nombre], Fincas[ID])</f>
        <v>72</v>
      </c>
      <c r="AA97" t="str" cm="1">
        <f t="array" ref="AA9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7" s="2" t="s">
        <v>33</v>
      </c>
      <c r="AC97" s="5"/>
      <c r="AD97" s="224"/>
    </row>
    <row r="98" spans="1:30" x14ac:dyDescent="0.25">
      <c r="A98" s="33" t="s">
        <v>126</v>
      </c>
      <c r="B98" s="153">
        <v>2</v>
      </c>
      <c r="C98" s="153" t="s">
        <v>31</v>
      </c>
      <c r="D98" s="33">
        <v>50</v>
      </c>
      <c r="E98">
        <v>50</v>
      </c>
      <c r="F98" t="s">
        <v>55</v>
      </c>
      <c r="G98" t="str">
        <f>"Red Panther " &amp; _xlfn.XLOOKUP(Main[[#This Row],[FechaEntrega]], Guias[Fecha], Guias[Llegada])</f>
        <v>Red Panther (T/W)</v>
      </c>
      <c r="H98" s="1" t="s">
        <v>1008</v>
      </c>
      <c r="I98" s="235">
        <v>0.41</v>
      </c>
      <c r="J98" s="69">
        <f>_xlfn.LET(
  _xlpm.result, 1-((Main[[#This Row],[Cost]]+Main[[#This Row],[Duties]]+Main[[#This Row],[Transport]])/((Main[[#This Row],[Precio]]*0.96))),
  IF(_xlpm.result&lt;0, "BAJO", IF(_xlpm.result&gt;1, "ALTO", _xlpm.result))
)</f>
        <v>0.20798141891891886</v>
      </c>
      <c r="K98" s="131">
        <v>1.5913978494623655</v>
      </c>
      <c r="L98" s="360" cm="1">
        <f t="array" aca="1" ref="L9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98" s="152">
        <f>Guias!$B$3</f>
        <v>46310</v>
      </c>
      <c r="N98" s="216">
        <f>ROUNDUP((Main[[#This Row],[Cost]]*Main[[#This Row],[Import Duties]]),2)</f>
        <v>6.9999999999999993E-2</v>
      </c>
      <c r="O98">
        <v>0</v>
      </c>
      <c r="P98">
        <v>1</v>
      </c>
      <c r="Q98">
        <v>0</v>
      </c>
      <c r="R98" s="217">
        <f>ROUNDUP(Main[[#This Row],[Transport2]]/Main[[#This Row],[Cantidad_Min]],2)</f>
        <v>0.73</v>
      </c>
      <c r="S98">
        <f>_xlfn.XLOOKUP(Main[[#This Row],[Type of Box]], Cajas[Nombre], Cajas[Largo])</f>
        <v>105</v>
      </c>
      <c r="T98">
        <f>_xlfn.XLOOKUP(Main[[#This Row],[Type of Box]], Cajas[Nombre], Cajas[Ancho])</f>
        <v>17</v>
      </c>
      <c r="U98">
        <f>_xlfn.XLOOKUP(Main[[#This Row],[Type of Box]], Cajas[Nombre], Cajas[Alto])</f>
        <v>17</v>
      </c>
      <c r="V9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98">
        <f>ROUNDUP(((Main[[#This Row],[Volumen]]*5.25))*1.36,2)</f>
        <v>36.119999999999997</v>
      </c>
      <c r="X98" s="219">
        <v>0.15859999999999999</v>
      </c>
      <c r="Y98" s="361">
        <f>Main[[#This Row],[Cantidad_Min]]*Main[[#This Row],[Precio]]*Main[[#This Row],[Qty]]</f>
        <v>159.13978494623655</v>
      </c>
      <c r="Z98">
        <f>_xlfn.XLOOKUP(Main[[#This Row],[Finca]], Fincas[Nombre], Fincas[ID])</f>
        <v>72</v>
      </c>
      <c r="AA98" t="str" cm="1">
        <f t="array" ref="AA9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8" s="2" t="s">
        <v>33</v>
      </c>
      <c r="AC98" s="5"/>
      <c r="AD98" s="224"/>
    </row>
    <row r="99" spans="1:30" x14ac:dyDescent="0.25">
      <c r="A99" s="33" t="s">
        <v>126</v>
      </c>
      <c r="B99" s="153">
        <v>2</v>
      </c>
      <c r="C99" s="153" t="s">
        <v>31</v>
      </c>
      <c r="D99" s="33">
        <v>50</v>
      </c>
      <c r="E99">
        <v>50</v>
      </c>
      <c r="F99" t="s">
        <v>101</v>
      </c>
      <c r="G99" t="str">
        <f>"Playa Blanca " &amp; _xlfn.XLOOKUP(Main[[#This Row],[FechaEntrega]], Guias[Fecha], Guias[Llegada])</f>
        <v>Playa Blanca (T/W)</v>
      </c>
      <c r="H99" s="1" t="s">
        <v>1009</v>
      </c>
      <c r="I99" s="235">
        <v>0.51</v>
      </c>
      <c r="J99" s="69">
        <f>_xlfn.LET(
  _xlpm.result, 1-((Main[[#This Row],[Cost]]+Main[[#This Row],[Duties]]+Main[[#This Row],[Transport]])/((Main[[#This Row],[Precio]]*0.96))),
  IF(_xlpm.result&lt;0, "BAJO", IF(_xlpm.result&gt;1, "ALTO", _xlpm.result))
)</f>
        <v>0.22602420856610794</v>
      </c>
      <c r="K99" s="131">
        <v>1.79</v>
      </c>
      <c r="L99" s="360" cm="1">
        <f t="array" aca="1" ref="L9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99" s="152">
        <f>Guias!$B$3</f>
        <v>46310</v>
      </c>
      <c r="N99" s="216">
        <f>ROUNDUP((Main[[#This Row],[Cost]]*Main[[#This Row],[Import Duties]]),2)</f>
        <v>0.09</v>
      </c>
      <c r="O99">
        <v>0</v>
      </c>
      <c r="P99">
        <v>1</v>
      </c>
      <c r="Q99">
        <v>0</v>
      </c>
      <c r="R99" s="217">
        <f>ROUNDUP(Main[[#This Row],[Transport2]]/Main[[#This Row],[Cantidad_Min]],2)</f>
        <v>0.73</v>
      </c>
      <c r="S99">
        <f>_xlfn.XLOOKUP(Main[[#This Row],[Type of Box]], Cajas[Nombre], Cajas[Largo])</f>
        <v>105</v>
      </c>
      <c r="T99">
        <f>_xlfn.XLOOKUP(Main[[#This Row],[Type of Box]], Cajas[Nombre], Cajas[Ancho])</f>
        <v>17</v>
      </c>
      <c r="U99">
        <f>_xlfn.XLOOKUP(Main[[#This Row],[Type of Box]], Cajas[Nombre], Cajas[Alto])</f>
        <v>17</v>
      </c>
      <c r="V9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99">
        <f>ROUNDUP(((Main[[#This Row],[Volumen]]*5.25))*1.36,2)</f>
        <v>36.119999999999997</v>
      </c>
      <c r="X99" s="219">
        <v>0.15859999999999999</v>
      </c>
      <c r="Y99" s="361">
        <f>Main[[#This Row],[Cantidad_Min]]*Main[[#This Row],[Precio]]*Main[[#This Row],[Qty]]</f>
        <v>179</v>
      </c>
      <c r="Z99">
        <f>_xlfn.XLOOKUP(Main[[#This Row],[Finca]], Fincas[Nombre], Fincas[ID])</f>
        <v>72</v>
      </c>
      <c r="AA99" t="str" cm="1">
        <f t="array" ref="AA9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99" s="2" t="s">
        <v>33</v>
      </c>
      <c r="AC99" s="5"/>
      <c r="AD99" s="224"/>
    </row>
    <row r="100" spans="1:30" x14ac:dyDescent="0.25">
      <c r="A100" s="33" t="s">
        <v>126</v>
      </c>
      <c r="B100" s="153">
        <v>1</v>
      </c>
      <c r="C100" s="153" t="s">
        <v>35</v>
      </c>
      <c r="D100" s="33">
        <v>125</v>
      </c>
      <c r="E100">
        <v>125</v>
      </c>
      <c r="F100" t="s">
        <v>106</v>
      </c>
      <c r="G100" t="str">
        <f>"Freedom " &amp; _xlfn.XLOOKUP(Main[[#This Row],[FechaEntrega]], Guias[Fecha], Guias[Llegada])</f>
        <v>Freedom (T/W)</v>
      </c>
      <c r="H100" s="1" t="s">
        <v>1010</v>
      </c>
      <c r="I100" s="235">
        <v>0.38</v>
      </c>
      <c r="J100" s="69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00" s="131">
        <v>1.39</v>
      </c>
      <c r="L100" s="360" cm="1">
        <f t="array" aca="1" ref="L10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00" s="152">
        <f>Guias!$B$3</f>
        <v>46310</v>
      </c>
      <c r="N100" s="216">
        <f>ROUNDUP((Main[[#This Row],[Cost]]*Main[[#This Row],[Import Duties]]),2)</f>
        <v>6.9999999999999993E-2</v>
      </c>
      <c r="O100">
        <v>0</v>
      </c>
      <c r="P100">
        <v>1</v>
      </c>
      <c r="Q100">
        <v>0</v>
      </c>
      <c r="R100" s="217">
        <f>ROUNDUP(Main[[#This Row],[Transport2]]/Main[[#This Row],[Cantidad_Min]],2)</f>
        <v>0.53</v>
      </c>
      <c r="S100">
        <f>_xlfn.XLOOKUP(Main[[#This Row],[Type of Box]], Cajas[Nombre], Cajas[Largo])</f>
        <v>99</v>
      </c>
      <c r="T100">
        <f>_xlfn.XLOOKUP(Main[[#This Row],[Type of Box]], Cajas[Nombre], Cajas[Ancho])</f>
        <v>35</v>
      </c>
      <c r="U100">
        <f>_xlfn.XLOOKUP(Main[[#This Row],[Type of Box]], Cajas[Nombre], Cajas[Alto])</f>
        <v>16</v>
      </c>
      <c r="V10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0">
        <f>ROUNDUP(((Main[[#This Row],[Volumen]]*5.25))*1.36,2)</f>
        <v>65.98</v>
      </c>
      <c r="X100" s="219">
        <v>0.15859999999999999</v>
      </c>
      <c r="Y100" s="361">
        <f>Main[[#This Row],[Cantidad_Min]]*Main[[#This Row],[Precio]]*Main[[#This Row],[Qty]]</f>
        <v>173.75</v>
      </c>
      <c r="Z100">
        <f>_xlfn.XLOOKUP(Main[[#This Row],[Finca]], Fincas[Nombre], Fincas[ID])</f>
        <v>72</v>
      </c>
      <c r="AA100" t="str" cm="1">
        <f t="array" ref="AA10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0" s="2" t="s">
        <v>33</v>
      </c>
      <c r="AC100" s="5"/>
      <c r="AD100" s="224"/>
    </row>
    <row r="101" spans="1:30" x14ac:dyDescent="0.25">
      <c r="A101" s="33" t="s">
        <v>126</v>
      </c>
      <c r="B101" s="153">
        <v>1</v>
      </c>
      <c r="C101" s="153" t="s">
        <v>31</v>
      </c>
      <c r="D101" s="33">
        <v>48</v>
      </c>
      <c r="E101">
        <v>48</v>
      </c>
      <c r="F101" t="s">
        <v>131</v>
      </c>
      <c r="G101" t="str">
        <f>"12 Dragonfly/12 White Ohara/12 Antonia/12 Queenscrown " &amp; _xlfn.XLOOKUP(Main[[#This Row],[FechaEntrega]], Guias[Fecha], Guias[Llegada])</f>
        <v>12 Dragonfly/12 White Ohara/12 Antonia/12 Queenscrown (T/W)</v>
      </c>
      <c r="H101" s="1" t="s">
        <v>1011</v>
      </c>
      <c r="I101" s="235">
        <v>0.51</v>
      </c>
      <c r="J101" s="69">
        <f>_xlfn.LET(
  _xlpm.result, 1-((Main[[#This Row],[Cost]]+Main[[#This Row],[Duties]]+Main[[#This Row],[Transport]])/((Main[[#This Row],[Precio]]*0.96))),
  IF(_xlpm.result&lt;0, "BAJO", IF(_xlpm.result&gt;1, "ALTO", _xlpm.result))
)</f>
        <v>0.20856610800744879</v>
      </c>
      <c r="K101" s="131">
        <v>1.79</v>
      </c>
      <c r="L101" s="360" cm="1">
        <f t="array" aca="1" ref="L10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01" s="152">
        <f>Guias!$B$3</f>
        <v>46310</v>
      </c>
      <c r="N101" s="216">
        <f>ROUNDUP((Main[[#This Row],[Cost]]*Main[[#This Row],[Import Duties]]),2)</f>
        <v>0.09</v>
      </c>
      <c r="O101">
        <v>0</v>
      </c>
      <c r="P101">
        <v>1</v>
      </c>
      <c r="Q101">
        <v>0</v>
      </c>
      <c r="R101" s="217">
        <f>ROUNDUP(Main[[#This Row],[Transport2]]/Main[[#This Row],[Cantidad_Min]],2)</f>
        <v>0.76</v>
      </c>
      <c r="S101">
        <f>_xlfn.XLOOKUP(Main[[#This Row],[Type of Box]], Cajas[Nombre], Cajas[Largo])</f>
        <v>105</v>
      </c>
      <c r="T101">
        <f>_xlfn.XLOOKUP(Main[[#This Row],[Type of Box]], Cajas[Nombre], Cajas[Ancho])</f>
        <v>17</v>
      </c>
      <c r="U101">
        <f>_xlfn.XLOOKUP(Main[[#This Row],[Type of Box]], Cajas[Nombre], Cajas[Alto])</f>
        <v>17</v>
      </c>
      <c r="V10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1">
        <f>ROUNDUP(((Main[[#This Row],[Volumen]]*5.25))*1.36,2)</f>
        <v>36.119999999999997</v>
      </c>
      <c r="X101" s="219">
        <v>0.15859999999999999</v>
      </c>
      <c r="Y101" s="361">
        <f>Main[[#This Row],[Cantidad_Min]]*Main[[#This Row],[Precio]]*Main[[#This Row],[Qty]]</f>
        <v>85.92</v>
      </c>
      <c r="Z101">
        <f>_xlfn.XLOOKUP(Main[[#This Row],[Finca]], Fincas[Nombre], Fincas[ID])</f>
        <v>72</v>
      </c>
      <c r="AA101" t="str" cm="1">
        <f t="array" ref="AA10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1" s="2" t="s">
        <v>33</v>
      </c>
      <c r="AC101" s="400"/>
      <c r="AD101" s="225"/>
    </row>
    <row r="102" spans="1:30" x14ac:dyDescent="0.25">
      <c r="A102" s="33" t="s">
        <v>126</v>
      </c>
      <c r="B102" s="153">
        <v>1</v>
      </c>
      <c r="C102" s="153" t="s">
        <v>31</v>
      </c>
      <c r="D102" s="33">
        <v>50</v>
      </c>
      <c r="E102">
        <v>50</v>
      </c>
      <c r="F102" t="s">
        <v>115</v>
      </c>
      <c r="G102" t="str">
        <f>"Jeanine " &amp; _xlfn.XLOOKUP(Main[[#This Row],[FechaEntrega]], Guias[Fecha], Guias[Llegada])</f>
        <v>Jeanine (T/W)</v>
      </c>
      <c r="H102" s="1" t="s">
        <v>1012</v>
      </c>
      <c r="I102" s="235">
        <v>0.51</v>
      </c>
      <c r="J102" s="69">
        <f>_xlfn.LET(
  _xlpm.result, 1-((Main[[#This Row],[Cost]]+Main[[#This Row],[Duties]]+Main[[#This Row],[Transport]])/((Main[[#This Row],[Precio]]*0.96))),
  IF(_xlpm.result&lt;0, "BAJO", IF(_xlpm.result&gt;1, "ALTO", _xlpm.result))
)</f>
        <v>0.26793323863636354</v>
      </c>
      <c r="K102" s="131">
        <v>1.8924731182795698</v>
      </c>
      <c r="L102" s="360" cm="1">
        <f t="array" aca="1" ref="L10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02" s="152">
        <f>Guias!$B$3</f>
        <v>46310</v>
      </c>
      <c r="N102" s="216">
        <f>ROUNDUP((Main[[#This Row],[Cost]]*Main[[#This Row],[Import Duties]]),2)</f>
        <v>0.09</v>
      </c>
      <c r="O102">
        <v>0</v>
      </c>
      <c r="P102">
        <v>1</v>
      </c>
      <c r="Q102">
        <v>0</v>
      </c>
      <c r="R102" s="217">
        <f>ROUNDUP(Main[[#This Row],[Transport2]]/Main[[#This Row],[Cantidad_Min]],2)</f>
        <v>0.73</v>
      </c>
      <c r="S102">
        <f>_xlfn.XLOOKUP(Main[[#This Row],[Type of Box]], Cajas[Nombre], Cajas[Largo])</f>
        <v>105</v>
      </c>
      <c r="T102">
        <f>_xlfn.XLOOKUP(Main[[#This Row],[Type of Box]], Cajas[Nombre], Cajas[Ancho])</f>
        <v>17</v>
      </c>
      <c r="U102">
        <f>_xlfn.XLOOKUP(Main[[#This Row],[Type of Box]], Cajas[Nombre], Cajas[Alto])</f>
        <v>17</v>
      </c>
      <c r="V10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2">
        <f>ROUNDUP(((Main[[#This Row],[Volumen]]*5.25))*1.36,2)</f>
        <v>36.119999999999997</v>
      </c>
      <c r="X102" s="219">
        <v>0.15859999999999999</v>
      </c>
      <c r="Y102" s="361">
        <f>Main[[#This Row],[Cantidad_Min]]*Main[[#This Row],[Precio]]*Main[[#This Row],[Qty]]</f>
        <v>94.623655913978482</v>
      </c>
      <c r="Z102">
        <f>_xlfn.XLOOKUP(Main[[#This Row],[Finca]], Fincas[Nombre], Fincas[ID])</f>
        <v>72</v>
      </c>
      <c r="AA102" t="str" cm="1">
        <f t="array" ref="AA10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2" s="2" t="s">
        <v>33</v>
      </c>
      <c r="AC102" s="31"/>
      <c r="AD102" s="226"/>
    </row>
    <row r="103" spans="1:30" x14ac:dyDescent="0.25">
      <c r="A103" s="33" t="s">
        <v>126</v>
      </c>
      <c r="B103" s="153">
        <v>3</v>
      </c>
      <c r="C103" s="153" t="s">
        <v>31</v>
      </c>
      <c r="D103" s="33">
        <v>60</v>
      </c>
      <c r="E103">
        <v>60</v>
      </c>
      <c r="F103" t="s">
        <v>141</v>
      </c>
      <c r="G103" t="str">
        <f>"10 Yellow/10 Orange/10 White/10 Pink/10 Hot Pink/10 Red " &amp; _xlfn.XLOOKUP(Main[[#This Row],[FechaEntrega]], Guias[Fecha], Guias[Llegada])</f>
        <v>10 Yellow/10 Orange/10 White/10 Pink/10 Hot Pink/10 Red (T/W)</v>
      </c>
      <c r="H103" s="1" t="s">
        <v>1013</v>
      </c>
      <c r="I103" s="235">
        <v>0.36</v>
      </c>
      <c r="J103" s="69">
        <f>_xlfn.LET(
  _xlpm.result, 1-((Main[[#This Row],[Cost]]+Main[[#This Row],[Duties]]+Main[[#This Row],[Transport]])/((Main[[#This Row],[Precio]]*0.96))),
  IF(_xlpm.result&lt;0, "BAJO", IF(_xlpm.result&gt;1, "ALTO", _xlpm.result))
)</f>
        <v>0.22650193798449603</v>
      </c>
      <c r="K103" s="131">
        <v>1.3870967741935483</v>
      </c>
      <c r="L103" s="360" cm="1">
        <f t="array" aca="1" ref="L10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03" s="152">
        <f>Guias!$B$3</f>
        <v>46310</v>
      </c>
      <c r="N103" s="216">
        <f>ROUNDUP((Main[[#This Row],[Cost]]*Main[[#This Row],[Import Duties]]),2)</f>
        <v>6.0000000000000005E-2</v>
      </c>
      <c r="O103">
        <v>0</v>
      </c>
      <c r="P103">
        <v>1</v>
      </c>
      <c r="Q103">
        <v>0</v>
      </c>
      <c r="R103" s="217">
        <f>ROUNDUP(Main[[#This Row],[Transport2]]/Main[[#This Row],[Cantidad_Min]],2)</f>
        <v>0.61</v>
      </c>
      <c r="S103">
        <f>_xlfn.XLOOKUP(Main[[#This Row],[Type of Box]], Cajas[Nombre], Cajas[Largo])</f>
        <v>105</v>
      </c>
      <c r="T103">
        <f>_xlfn.XLOOKUP(Main[[#This Row],[Type of Box]], Cajas[Nombre], Cajas[Ancho])</f>
        <v>17</v>
      </c>
      <c r="U103">
        <f>_xlfn.XLOOKUP(Main[[#This Row],[Type of Box]], Cajas[Nombre], Cajas[Alto])</f>
        <v>17</v>
      </c>
      <c r="V10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3">
        <f>ROUNDUP(((Main[[#This Row],[Volumen]]*5.25))*1.36,2)</f>
        <v>36.119999999999997</v>
      </c>
      <c r="X103" s="219">
        <v>0.15859999999999999</v>
      </c>
      <c r="Y103" s="361">
        <f>Main[[#This Row],[Cantidad_Min]]*Main[[#This Row],[Precio]]*Main[[#This Row],[Qty]]</f>
        <v>249.67741935483869</v>
      </c>
      <c r="Z103">
        <f>_xlfn.XLOOKUP(Main[[#This Row],[Finca]], Fincas[Nombre], Fincas[ID])</f>
        <v>72</v>
      </c>
      <c r="AA103" t="str" cm="1">
        <f t="array" ref="AA10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3" s="2" t="s">
        <v>33</v>
      </c>
      <c r="AC103" s="31"/>
      <c r="AD103" s="224"/>
    </row>
    <row r="104" spans="1:30" x14ac:dyDescent="0.25">
      <c r="A104" s="33" t="s">
        <v>126</v>
      </c>
      <c r="B104" s="153">
        <v>1</v>
      </c>
      <c r="C104" s="153" t="s">
        <v>31</v>
      </c>
      <c r="D104" s="33">
        <v>55</v>
      </c>
      <c r="E104">
        <v>55</v>
      </c>
      <c r="F104" t="s">
        <v>116</v>
      </c>
      <c r="G104" t="str">
        <f>"25 Playa Blanca/30 Jeanine " &amp; _xlfn.XLOOKUP(Main[[#This Row],[FechaEntrega]], Guias[Fecha], Guias[Llegada])</f>
        <v>25 Playa Blanca/30 Jeanine (T/W)</v>
      </c>
      <c r="H104" s="1" t="s">
        <v>1014</v>
      </c>
      <c r="I104" s="235">
        <v>0.51</v>
      </c>
      <c r="J104" s="69">
        <f>_xlfn.LET(
  _xlpm.result, 1-((Main[[#This Row],[Cost]]+Main[[#This Row],[Duties]]+Main[[#This Row],[Transport]])/((Main[[#This Row],[Precio]]*0.96))),
  IF(_xlpm.result&lt;0, "BAJO", IF(_xlpm.result&gt;1, "ALTO", _xlpm.result))
)</f>
        <v>0.26675977653631278</v>
      </c>
      <c r="K104" s="131">
        <v>1.79</v>
      </c>
      <c r="L104" s="360" cm="1">
        <f t="array" aca="1" ref="L10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04" s="152">
        <f>Guias!$B$3</f>
        <v>46310</v>
      </c>
      <c r="N104" s="216">
        <f>ROUNDUP((Main[[#This Row],[Cost]]*Main[[#This Row],[Import Duties]]),2)</f>
        <v>0.09</v>
      </c>
      <c r="O104">
        <v>0</v>
      </c>
      <c r="P104">
        <v>1</v>
      </c>
      <c r="Q104">
        <v>0</v>
      </c>
      <c r="R104" s="217">
        <f>ROUNDUP(Main[[#This Row],[Transport2]]/Main[[#This Row],[Cantidad_Min]],2)</f>
        <v>0.66</v>
      </c>
      <c r="S104">
        <f>_xlfn.XLOOKUP(Main[[#This Row],[Type of Box]], Cajas[Nombre], Cajas[Largo])</f>
        <v>105</v>
      </c>
      <c r="T104">
        <f>_xlfn.XLOOKUP(Main[[#This Row],[Type of Box]], Cajas[Nombre], Cajas[Ancho])</f>
        <v>17</v>
      </c>
      <c r="U104">
        <f>_xlfn.XLOOKUP(Main[[#This Row],[Type of Box]], Cajas[Nombre], Cajas[Alto])</f>
        <v>17</v>
      </c>
      <c r="V10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4">
        <f>ROUNDUP(((Main[[#This Row],[Volumen]]*5.25))*1.36,2)</f>
        <v>36.119999999999997</v>
      </c>
      <c r="X104" s="219">
        <v>0.15859999999999999</v>
      </c>
      <c r="Y104" s="361">
        <f>Main[[#This Row],[Cantidad_Min]]*Main[[#This Row],[Precio]]*Main[[#This Row],[Qty]]</f>
        <v>98.45</v>
      </c>
      <c r="Z104">
        <f>_xlfn.XLOOKUP(Main[[#This Row],[Finca]], Fincas[Nombre], Fincas[ID])</f>
        <v>72</v>
      </c>
      <c r="AA104" t="str" cm="1">
        <f t="array" ref="AA10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4" s="2" t="s">
        <v>33</v>
      </c>
      <c r="AC104" s="249"/>
      <c r="AD104" s="382"/>
    </row>
    <row r="105" spans="1:30" ht="15.75" thickBot="1" x14ac:dyDescent="0.3">
      <c r="A105" s="33" t="s">
        <v>126</v>
      </c>
      <c r="B105" s="153">
        <v>1</v>
      </c>
      <c r="C105" s="153" t="s">
        <v>31</v>
      </c>
      <c r="D105" s="33">
        <v>50</v>
      </c>
      <c r="E105">
        <v>50</v>
      </c>
      <c r="F105" t="s">
        <v>99</v>
      </c>
      <c r="G105" t="str">
        <f>"30 Rosanella/20 Jeanine " &amp; _xlfn.XLOOKUP(Main[[#This Row],[FechaEntrega]], Guias[Fecha], Guias[Llegada])</f>
        <v>30 Rosanella/20 Jeanine (M/T)</v>
      </c>
      <c r="H105" s="1" t="s">
        <v>1015</v>
      </c>
      <c r="I105" s="235">
        <v>0.51</v>
      </c>
      <c r="J105" s="69">
        <f>_xlfn.LET(
  _xlpm.result, 1-((Main[[#This Row],[Cost]]+Main[[#This Row],[Duties]]+Main[[#This Row],[Transport]])/((Main[[#This Row],[Precio]]*0.96))),
  IF(_xlpm.result&lt;0, "BAJO", IF(_xlpm.result&gt;1, "ALTO", _xlpm.result))
)</f>
        <v>0.22602420856610794</v>
      </c>
      <c r="K105" s="131">
        <v>1.79</v>
      </c>
      <c r="L105" s="360" cm="1">
        <f t="array" aca="1" ref="L10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05" s="152">
        <f>Guias!$B$2</f>
        <v>46309</v>
      </c>
      <c r="N105" s="216">
        <f>ROUNDUP((Main[[#This Row],[Cost]]*Main[[#This Row],[Import Duties]]),2)</f>
        <v>0.09</v>
      </c>
      <c r="O105">
        <v>0</v>
      </c>
      <c r="P105">
        <v>1</v>
      </c>
      <c r="Q105">
        <v>0</v>
      </c>
      <c r="R105" s="217">
        <f>ROUNDUP(Main[[#This Row],[Transport2]]/Main[[#This Row],[Cantidad_Min]],2)</f>
        <v>0.73</v>
      </c>
      <c r="S105">
        <f>_xlfn.XLOOKUP(Main[[#This Row],[Type of Box]], Cajas[Nombre], Cajas[Largo])</f>
        <v>105</v>
      </c>
      <c r="T105">
        <f>_xlfn.XLOOKUP(Main[[#This Row],[Type of Box]], Cajas[Nombre], Cajas[Ancho])</f>
        <v>17</v>
      </c>
      <c r="U105">
        <f>_xlfn.XLOOKUP(Main[[#This Row],[Type of Box]], Cajas[Nombre], Cajas[Alto])</f>
        <v>17</v>
      </c>
      <c r="V10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05">
        <f>ROUNDUP(((Main[[#This Row],[Volumen]]*5.25))*1.36,2)</f>
        <v>36.119999999999997</v>
      </c>
      <c r="X105" s="219">
        <v>0.15859999999999999</v>
      </c>
      <c r="Y105" s="361">
        <f>Main[[#This Row],[Cantidad_Min]]*Main[[#This Row],[Precio]]*Main[[#This Row],[Qty]]</f>
        <v>89.5</v>
      </c>
      <c r="Z105">
        <f>_xlfn.XLOOKUP(Main[[#This Row],[Finca]], Fincas[Nombre], Fincas[ID])</f>
        <v>72</v>
      </c>
      <c r="AA105" t="str" cm="1">
        <f t="array" ref="AA10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05" s="2" t="s">
        <v>33</v>
      </c>
      <c r="AC105" s="400"/>
      <c r="AD105" s="382"/>
    </row>
    <row r="106" spans="1:30" x14ac:dyDescent="0.25">
      <c r="A106" s="349" t="s">
        <v>151</v>
      </c>
      <c r="B106" s="350">
        <v>1</v>
      </c>
      <c r="C106" s="350" t="s">
        <v>35</v>
      </c>
      <c r="D106" s="349">
        <v>1</v>
      </c>
      <c r="E106" s="351">
        <v>1</v>
      </c>
      <c r="F106" s="351" t="s">
        <v>152</v>
      </c>
      <c r="G106" s="228" t="s">
        <v>153</v>
      </c>
      <c r="H106" s="1" t="s">
        <v>1016</v>
      </c>
      <c r="I106" s="352">
        <v>34.700000000000003</v>
      </c>
      <c r="J106" s="286">
        <f>_xlfn.LET(
  _xlpm.result, 1-((Main[[#This Row],[Cost]]+Main[[#This Row],[Duties]]+Main[[#This Row],[Transport]])/((Main[[#This Row],[Precio]]*0.96))),
  IF(_xlpm.result&lt;0, "BAJO", IF(_xlpm.result&gt;1, "ALTO", _xlpm.result))
)</f>
        <v>0.23708818999011438</v>
      </c>
      <c r="K106" s="239">
        <v>144.99</v>
      </c>
      <c r="L106" s="353" cm="1">
        <f t="array" aca="1" ref="L10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06" s="354">
        <f>Guias!$B$5</f>
        <v>46312</v>
      </c>
      <c r="N106" s="355">
        <f>ROUNDUP((Main[[#This Row],[Cost]]*Main[[#This Row],[Import Duties]]),2)</f>
        <v>5.51</v>
      </c>
      <c r="O106" s="228">
        <v>0</v>
      </c>
      <c r="P106" s="228">
        <v>1</v>
      </c>
      <c r="Q106" s="228">
        <v>0</v>
      </c>
      <c r="R106" s="356">
        <f>ROUNDUP(Main[[#This Row],[Transport2]]/Main[[#This Row],[Cantidad_Min]],2)</f>
        <v>65.98</v>
      </c>
      <c r="S106" s="228">
        <f>_xlfn.XLOOKUP(Main[[#This Row],[Type of Box]], Cajas[Nombre], Cajas[Largo])</f>
        <v>99</v>
      </c>
      <c r="T106" s="228">
        <f>_xlfn.XLOOKUP(Main[[#This Row],[Type of Box]], Cajas[Nombre], Cajas[Ancho])</f>
        <v>35</v>
      </c>
      <c r="U106" s="228">
        <f>_xlfn.XLOOKUP(Main[[#This Row],[Type of Box]], Cajas[Nombre], Cajas[Alto])</f>
        <v>16</v>
      </c>
      <c r="V106" s="2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6" s="228">
        <f>ROUNDUP(((Main[[#This Row],[Volumen]]*5.25))*1.36,2)</f>
        <v>65.98</v>
      </c>
      <c r="X106" s="357">
        <v>0.15859999999999999</v>
      </c>
      <c r="Y106" s="358">
        <f>Main[[#This Row],[Cantidad_Min]]*Main[[#This Row],[Precio]]*Main[[#This Row],[Qty]]</f>
        <v>144.99</v>
      </c>
      <c r="Z106" s="228">
        <f>_xlfn.XLOOKUP(Main[[#This Row],[Finca]], Fincas[Nombre], Fincas[ID])</f>
        <v>58</v>
      </c>
      <c r="AA106" s="228" t="str" cm="1">
        <f t="array" ref="AA10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06" s="18" t="s">
        <v>33</v>
      </c>
      <c r="AC106" s="17" t="s">
        <v>154</v>
      </c>
      <c r="AD106" s="359" t="s">
        <v>155</v>
      </c>
    </row>
    <row r="107" spans="1:30" x14ac:dyDescent="0.25">
      <c r="A107" s="385" t="s">
        <v>151</v>
      </c>
      <c r="B107" s="386">
        <v>1</v>
      </c>
      <c r="C107" s="386" t="s">
        <v>35</v>
      </c>
      <c r="D107" s="385">
        <v>110</v>
      </c>
      <c r="E107" s="387">
        <v>110</v>
      </c>
      <c r="F107" s="387" t="s">
        <v>156</v>
      </c>
      <c r="G107" t="str">
        <f>"Assorted Colors " &amp; _xlfn.XLOOKUP(Main[[#This Row],[FechaEntrega]], Guias[Fecha], Guias[Llegada])</f>
        <v>Assorted Colors (W/T)</v>
      </c>
      <c r="H107" s="1" t="s">
        <v>1017</v>
      </c>
      <c r="I107" s="235">
        <v>0.4</v>
      </c>
      <c r="J107" s="69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07" s="131">
        <v>1.49</v>
      </c>
      <c r="L107" s="360" cm="1">
        <f t="array" aca="1" ref="L10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07" s="152">
        <f>Guias!$B$4</f>
        <v>46311</v>
      </c>
      <c r="N107" s="398">
        <f>ROUNDUP((Main[[#This Row],[Cost]]*Main[[#This Row],[Import Duties]]),2)</f>
        <v>6.9999999999999993E-2</v>
      </c>
      <c r="O107">
        <v>0</v>
      </c>
      <c r="P107">
        <v>1</v>
      </c>
      <c r="Q107">
        <v>0</v>
      </c>
      <c r="R107" s="399">
        <f>ROUNDUP(Main[[#This Row],[Transport2]]/Main[[#This Row],[Cantidad_Min]],2)</f>
        <v>0.6</v>
      </c>
      <c r="S107">
        <f>_xlfn.XLOOKUP(Main[[#This Row],[Type of Box]], Cajas[Nombre], Cajas[Largo])</f>
        <v>99</v>
      </c>
      <c r="T107">
        <f>_xlfn.XLOOKUP(Main[[#This Row],[Type of Box]], Cajas[Nombre], Cajas[Ancho])</f>
        <v>35</v>
      </c>
      <c r="U107">
        <f>_xlfn.XLOOKUP(Main[[#This Row],[Type of Box]], Cajas[Nombre], Cajas[Alto])</f>
        <v>16</v>
      </c>
      <c r="V10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7">
        <f>ROUNDUP(((Main[[#This Row],[Volumen]]*5.25))*1.36,2)</f>
        <v>65.98</v>
      </c>
      <c r="X107" s="219">
        <v>0.15859999999999999</v>
      </c>
      <c r="Y107" s="361">
        <f>Main[[#This Row],[Cantidad_Min]]*Main[[#This Row],[Precio]]*Main[[#This Row],[Qty]]</f>
        <v>163.9</v>
      </c>
      <c r="Z107">
        <f>_xlfn.XLOOKUP(Main[[#This Row],[Finca]], Fincas[Nombre], Fincas[ID])</f>
        <v>58</v>
      </c>
      <c r="AA107" t="str" cm="1">
        <f t="array" ref="AA10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07" s="2" t="s">
        <v>33</v>
      </c>
      <c r="AC107" s="5"/>
      <c r="AD107" s="224" t="s">
        <v>87</v>
      </c>
    </row>
    <row r="108" spans="1:30" x14ac:dyDescent="0.25">
      <c r="A108" s="385" t="s">
        <v>151</v>
      </c>
      <c r="B108" s="386">
        <v>1</v>
      </c>
      <c r="C108" s="386" t="s">
        <v>35</v>
      </c>
      <c r="D108" s="385">
        <v>110</v>
      </c>
      <c r="E108" s="387">
        <v>110</v>
      </c>
      <c r="F108" s="387" t="s">
        <v>156</v>
      </c>
      <c r="G108" t="str">
        <f>"Assorted Colors " &amp; _xlfn.XLOOKUP(Main[[#This Row],[FechaEntrega]], Guias[Fecha], Guias[Llegada])</f>
        <v>Assorted Colors (W/T)</v>
      </c>
      <c r="H108" s="1" t="s">
        <v>1018</v>
      </c>
      <c r="I108" s="235">
        <v>0.4</v>
      </c>
      <c r="J108" s="69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08" s="131">
        <v>1.49</v>
      </c>
      <c r="L108" s="360" cm="1">
        <f t="array" aca="1" ref="L10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08" s="152">
        <f>Guias!$B$4</f>
        <v>46311</v>
      </c>
      <c r="N108" s="398">
        <f>ROUNDUP((Main[[#This Row],[Cost]]*Main[[#This Row],[Import Duties]]),2)</f>
        <v>6.9999999999999993E-2</v>
      </c>
      <c r="O108">
        <v>0</v>
      </c>
      <c r="P108">
        <v>1</v>
      </c>
      <c r="Q108">
        <v>0</v>
      </c>
      <c r="R108" s="399">
        <f>ROUNDUP(Main[[#This Row],[Transport2]]/Main[[#This Row],[Cantidad_Min]],2)</f>
        <v>0.6</v>
      </c>
      <c r="S108">
        <f>_xlfn.XLOOKUP(Main[[#This Row],[Type of Box]], Cajas[Nombre], Cajas[Largo])</f>
        <v>99</v>
      </c>
      <c r="T108">
        <f>_xlfn.XLOOKUP(Main[[#This Row],[Type of Box]], Cajas[Nombre], Cajas[Ancho])</f>
        <v>35</v>
      </c>
      <c r="U108">
        <f>_xlfn.XLOOKUP(Main[[#This Row],[Type of Box]], Cajas[Nombre], Cajas[Alto])</f>
        <v>16</v>
      </c>
      <c r="V10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8">
        <f>ROUNDUP(((Main[[#This Row],[Volumen]]*5.25))*1.36,2)</f>
        <v>65.98</v>
      </c>
      <c r="X108" s="219">
        <v>0.15859999999999999</v>
      </c>
      <c r="Y108" s="361">
        <f>Main[[#This Row],[Cantidad_Min]]*Main[[#This Row],[Precio]]*Main[[#This Row],[Qty]]</f>
        <v>163.9</v>
      </c>
      <c r="Z108">
        <f>_xlfn.XLOOKUP(Main[[#This Row],[Finca]], Fincas[Nombre], Fincas[ID])</f>
        <v>58</v>
      </c>
      <c r="AA108" t="str" cm="1">
        <f t="array" ref="AA10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08" s="2" t="s">
        <v>33</v>
      </c>
      <c r="AC108" s="5"/>
      <c r="AD108" s="224" t="s">
        <v>136</v>
      </c>
    </row>
    <row r="109" spans="1:30" x14ac:dyDescent="0.25">
      <c r="A109" s="385" t="s">
        <v>151</v>
      </c>
      <c r="B109" s="386">
        <v>1</v>
      </c>
      <c r="C109" s="386" t="s">
        <v>35</v>
      </c>
      <c r="D109" s="385">
        <v>110</v>
      </c>
      <c r="E109" s="387">
        <v>110</v>
      </c>
      <c r="F109" s="387" t="s">
        <v>156</v>
      </c>
      <c r="G109" t="str">
        <f>"Assorted Colors " &amp; _xlfn.XLOOKUP(Main[[#This Row],[FechaEntrega]], Guias[Fecha], Guias[Llegada])</f>
        <v>Assorted Colors (W/T)</v>
      </c>
      <c r="H109" s="1" t="s">
        <v>1019</v>
      </c>
      <c r="I109" s="235">
        <v>0.4</v>
      </c>
      <c r="J109" s="69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09" s="131">
        <v>1.49</v>
      </c>
      <c r="L109" s="360" cm="1">
        <f t="array" aca="1" ref="L10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09" s="152">
        <f>Guias!$B$4</f>
        <v>46311</v>
      </c>
      <c r="N109" s="216">
        <f>ROUNDUP((Main[[#This Row],[Cost]]*Main[[#This Row],[Import Duties]]),2)</f>
        <v>6.9999999999999993E-2</v>
      </c>
      <c r="O109">
        <v>0</v>
      </c>
      <c r="P109">
        <v>1</v>
      </c>
      <c r="Q109">
        <v>0</v>
      </c>
      <c r="R109" s="217">
        <f>ROUNDUP(Main[[#This Row],[Transport2]]/Main[[#This Row],[Cantidad_Min]],2)</f>
        <v>0.6</v>
      </c>
      <c r="S109">
        <f>_xlfn.XLOOKUP(Main[[#This Row],[Type of Box]], Cajas[Nombre], Cajas[Largo])</f>
        <v>99</v>
      </c>
      <c r="T109">
        <f>_xlfn.XLOOKUP(Main[[#This Row],[Type of Box]], Cajas[Nombre], Cajas[Ancho])</f>
        <v>35</v>
      </c>
      <c r="U109">
        <f>_xlfn.XLOOKUP(Main[[#This Row],[Type of Box]], Cajas[Nombre], Cajas[Alto])</f>
        <v>16</v>
      </c>
      <c r="V10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09">
        <f>ROUNDUP(((Main[[#This Row],[Volumen]]*5.25))*1.36,2)</f>
        <v>65.98</v>
      </c>
      <c r="X109" s="219">
        <v>0.15859999999999999</v>
      </c>
      <c r="Y109" s="361">
        <f>Main[[#This Row],[Cantidad_Min]]*Main[[#This Row],[Precio]]*Main[[#This Row],[Qty]]</f>
        <v>163.9</v>
      </c>
      <c r="Z109">
        <f>_xlfn.XLOOKUP(Main[[#This Row],[Finca]], Fincas[Nombre], Fincas[ID])</f>
        <v>58</v>
      </c>
      <c r="AA109" t="str" cm="1">
        <f t="array" ref="AA10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09" s="2" t="s">
        <v>33</v>
      </c>
      <c r="AC109" s="5"/>
      <c r="AD109" s="224" t="s">
        <v>47</v>
      </c>
    </row>
    <row r="110" spans="1:30" x14ac:dyDescent="0.25">
      <c r="A110" s="385" t="s">
        <v>151</v>
      </c>
      <c r="B110" s="386">
        <v>1</v>
      </c>
      <c r="C110" s="386" t="s">
        <v>31</v>
      </c>
      <c r="D110" s="385">
        <v>60</v>
      </c>
      <c r="E110" s="387">
        <v>60</v>
      </c>
      <c r="F110" s="387" t="s">
        <v>141</v>
      </c>
      <c r="G110" t="str">
        <f>"10 Rubicon/10 Suncity/10 Hot Majolica/10 Starblush/10 Mambo " &amp; _xlfn.XLOOKUP(Main[[#This Row],[FechaEntrega]], Guias[Fecha], Guias[Llegada])</f>
        <v>10 Rubicon/10 Suncity/10 Hot Majolica/10 Starblush/10 Mambo (T/W)</v>
      </c>
      <c r="H110" s="1" t="s">
        <v>1020</v>
      </c>
      <c r="I110" s="235">
        <v>0.3</v>
      </c>
      <c r="J110" s="69">
        <f>_xlfn.LET(
  _xlpm.result, 1-((Main[[#This Row],[Cost]]+Main[[#This Row],[Duties]]+Main[[#This Row],[Transport]])/((Main[[#This Row],[Precio]]*0.96))),
  IF(_xlpm.result&lt;0, "BAJO", IF(_xlpm.result&gt;1, "ALTO", _xlpm.result))
)</f>
        <v>0.32116788321167877</v>
      </c>
      <c r="K110" s="131">
        <v>1.4731182795698925</v>
      </c>
      <c r="L110" s="360" cm="1">
        <f t="array" aca="1" ref="L11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10" s="152">
        <f>Guias!$B$3</f>
        <v>46310</v>
      </c>
      <c r="N110" s="216">
        <f>ROUNDUP((Main[[#This Row],[Cost]]*Main[[#This Row],[Import Duties]]),2)</f>
        <v>0.05</v>
      </c>
      <c r="O110">
        <v>0</v>
      </c>
      <c r="P110">
        <v>1</v>
      </c>
      <c r="Q110">
        <v>0</v>
      </c>
      <c r="R110" s="217">
        <f>ROUNDUP(Main[[#This Row],[Transport2]]/Main[[#This Row],[Cantidad_Min]],2)</f>
        <v>0.61</v>
      </c>
      <c r="S110">
        <f>_xlfn.XLOOKUP(Main[[#This Row],[Type of Box]], Cajas[Nombre], Cajas[Largo])</f>
        <v>105</v>
      </c>
      <c r="T110">
        <f>_xlfn.XLOOKUP(Main[[#This Row],[Type of Box]], Cajas[Nombre], Cajas[Ancho])</f>
        <v>17</v>
      </c>
      <c r="U110">
        <f>_xlfn.XLOOKUP(Main[[#This Row],[Type of Box]], Cajas[Nombre], Cajas[Alto])</f>
        <v>17</v>
      </c>
      <c r="V11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0">
        <f>ROUNDUP(((Main[[#This Row],[Volumen]]*5.25))*1.36,2)</f>
        <v>36.119999999999997</v>
      </c>
      <c r="X110" s="219">
        <v>0.15859999999999999</v>
      </c>
      <c r="Y110" s="361">
        <f>Main[[#This Row],[Cantidad_Min]]*Main[[#This Row],[Precio]]*Main[[#This Row],[Qty]]</f>
        <v>88.387096774193552</v>
      </c>
      <c r="Z110">
        <f>_xlfn.XLOOKUP(Main[[#This Row],[Finca]], Fincas[Nombre], Fincas[ID])</f>
        <v>58</v>
      </c>
      <c r="AA110" t="str" cm="1">
        <f t="array" ref="AA11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10" s="2" t="s">
        <v>33</v>
      </c>
      <c r="AC110" s="5"/>
      <c r="AD110" s="224" t="s">
        <v>157</v>
      </c>
    </row>
    <row r="111" spans="1:30" x14ac:dyDescent="0.25">
      <c r="A111" s="385" t="s">
        <v>151</v>
      </c>
      <c r="B111" s="386">
        <v>1</v>
      </c>
      <c r="C111" s="386" t="s">
        <v>31</v>
      </c>
      <c r="D111" s="385">
        <v>70</v>
      </c>
      <c r="E111" s="387">
        <v>70</v>
      </c>
      <c r="F111" s="387" t="s">
        <v>158</v>
      </c>
      <c r="G111" t="str">
        <f>"Red/Yellow/Orange/White/Lavender/Ligth Pink/Hot Pink " &amp; _xlfn.XLOOKUP(Main[[#This Row],[FechaEntrega]], Guias[Fecha], Guias[Llegada])</f>
        <v>Red/Yellow/Orange/White/Lavender/Ligth Pink/Hot Pink (T/W)</v>
      </c>
      <c r="H111" s="1" t="s">
        <v>1021</v>
      </c>
      <c r="I111" s="235">
        <v>0.21</v>
      </c>
      <c r="J111" s="69">
        <f>_xlfn.LET(
  _xlpm.result, 1-((Main[[#This Row],[Cost]]+Main[[#This Row],[Duties]]+Main[[#This Row],[Transport]])/((Main[[#This Row],[Precio]]*0.96))),
  IF(_xlpm.result&lt;0, "BAJO", IF(_xlpm.result&gt;1, "ALTO", _xlpm.result))
)</f>
        <v>0.26414373088685017</v>
      </c>
      <c r="K111" s="131">
        <v>1.0900000000000001</v>
      </c>
      <c r="L111" s="360" cm="1">
        <f t="array" aca="1" ref="L11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11" s="152">
        <f>Guias!$B$3</f>
        <v>46310</v>
      </c>
      <c r="N111" s="216">
        <f>ROUNDUP((Main[[#This Row],[Cost]]*Main[[#This Row],[Import Duties]]),2)</f>
        <v>0.04</v>
      </c>
      <c r="O111">
        <v>0</v>
      </c>
      <c r="P111">
        <v>1</v>
      </c>
      <c r="Q111">
        <v>0</v>
      </c>
      <c r="R111" s="217">
        <f>ROUNDUP(Main[[#This Row],[Transport2]]/Main[[#This Row],[Cantidad_Min]],2)</f>
        <v>0.52</v>
      </c>
      <c r="S111">
        <f>_xlfn.XLOOKUP(Main[[#This Row],[Type of Box]], Cajas[Nombre], Cajas[Largo])</f>
        <v>105</v>
      </c>
      <c r="T111">
        <f>_xlfn.XLOOKUP(Main[[#This Row],[Type of Box]], Cajas[Nombre], Cajas[Ancho])</f>
        <v>17</v>
      </c>
      <c r="U111">
        <f>_xlfn.XLOOKUP(Main[[#This Row],[Type of Box]], Cajas[Nombre], Cajas[Alto])</f>
        <v>17</v>
      </c>
      <c r="V11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1">
        <f>ROUNDUP(((Main[[#This Row],[Volumen]]*5.25))*1.36,2)</f>
        <v>36.119999999999997</v>
      </c>
      <c r="X111" s="219">
        <v>0.15859999999999999</v>
      </c>
      <c r="Y111" s="361">
        <f>Main[[#This Row],[Cantidad_Min]]*Main[[#This Row],[Precio]]*Main[[#This Row],[Qty]]</f>
        <v>76.300000000000011</v>
      </c>
      <c r="Z111">
        <f>_xlfn.XLOOKUP(Main[[#This Row],[Finca]], Fincas[Nombre], Fincas[ID])</f>
        <v>58</v>
      </c>
      <c r="AA111" t="str" cm="1">
        <f t="array" ref="AA11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11" s="2" t="s">
        <v>33</v>
      </c>
      <c r="AC111" s="5"/>
      <c r="AD111" s="225" t="s">
        <v>159</v>
      </c>
    </row>
    <row r="112" spans="1:30" x14ac:dyDescent="0.25">
      <c r="A112" s="385" t="s">
        <v>151</v>
      </c>
      <c r="B112" s="386">
        <v>1</v>
      </c>
      <c r="C112" s="386" t="s">
        <v>35</v>
      </c>
      <c r="D112" s="385">
        <v>60</v>
      </c>
      <c r="E112" s="387">
        <v>60</v>
      </c>
      <c r="F112" s="387" t="s">
        <v>160</v>
      </c>
      <c r="G112" t="str">
        <f>"30 White/30 Starfighter " &amp; _xlfn.XLOOKUP(Main[[#This Row],[FechaEntrega]], Guias[Fecha], Guias[Llegada])</f>
        <v>30 White/30 Starfighter (T/W)</v>
      </c>
      <c r="H112" s="1" t="s">
        <v>1022</v>
      </c>
      <c r="I112" s="235">
        <v>0.85</v>
      </c>
      <c r="J112" s="69">
        <f>_xlfn.LET(
  _xlpm.result, 1-((Main[[#This Row],[Cost]]+Main[[#This Row],[Duties]]+Main[[#This Row],[Transport]])/((Main[[#This Row],[Precio]]*0.96))),
  IF(_xlpm.result&lt;0, "BAJO", IF(_xlpm.result&gt;1, "ALTO", _xlpm.result))
)</f>
        <v>0.29544228694714125</v>
      </c>
      <c r="K112" s="131">
        <v>3.09</v>
      </c>
      <c r="L112" s="360" cm="1">
        <f t="array" aca="1" ref="L11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12" s="152">
        <f>Guias!$B$3</f>
        <v>46310</v>
      </c>
      <c r="N112" s="216">
        <f>ROUNDUP((Main[[#This Row],[Cost]]*Main[[#This Row],[Import Duties]]),2)</f>
        <v>0.14000000000000001</v>
      </c>
      <c r="O112">
        <v>0</v>
      </c>
      <c r="P112">
        <v>1</v>
      </c>
      <c r="Q112">
        <v>0</v>
      </c>
      <c r="R112" s="217">
        <f>ROUNDUP(Main[[#This Row],[Transport2]]/Main[[#This Row],[Cantidad_Min]],2)</f>
        <v>1.1000000000000001</v>
      </c>
      <c r="S112">
        <f>_xlfn.XLOOKUP(Main[[#This Row],[Type of Box]], Cajas[Nombre], Cajas[Largo])</f>
        <v>99</v>
      </c>
      <c r="T112">
        <f>_xlfn.XLOOKUP(Main[[#This Row],[Type of Box]], Cajas[Nombre], Cajas[Ancho])</f>
        <v>35</v>
      </c>
      <c r="U112">
        <f>_xlfn.XLOOKUP(Main[[#This Row],[Type of Box]], Cajas[Nombre], Cajas[Alto])</f>
        <v>16</v>
      </c>
      <c r="V11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2">
        <f>ROUNDUP(((Main[[#This Row],[Volumen]]*5.25))*1.36,2)</f>
        <v>65.98</v>
      </c>
      <c r="X112" s="219">
        <v>0.15859999999999999</v>
      </c>
      <c r="Y112" s="361">
        <f>Main[[#This Row],[Cantidad_Min]]*Main[[#This Row],[Precio]]*Main[[#This Row],[Qty]]</f>
        <v>185.39999999999998</v>
      </c>
      <c r="Z112">
        <f>_xlfn.XLOOKUP(Main[[#This Row],[Finca]], Fincas[Nombre], Fincas[ID])</f>
        <v>58</v>
      </c>
      <c r="AA112" t="str" cm="1">
        <f t="array" ref="AA11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12" s="2" t="s">
        <v>33</v>
      </c>
      <c r="AC112" s="5"/>
      <c r="AD112" s="224" t="s">
        <v>161</v>
      </c>
    </row>
    <row r="113" spans="1:30" x14ac:dyDescent="0.25">
      <c r="A113" s="385" t="s">
        <v>151</v>
      </c>
      <c r="B113" s="386">
        <v>2</v>
      </c>
      <c r="C113" s="386" t="s">
        <v>31</v>
      </c>
      <c r="D113" s="385">
        <v>70</v>
      </c>
      <c r="E113" s="387">
        <v>70</v>
      </c>
      <c r="F113" s="387" t="s">
        <v>80</v>
      </c>
      <c r="G113" t="str">
        <f>"SeaWaltz " &amp; _xlfn.XLOOKUP(Main[[#This Row],[FechaEntrega]], Guias[Fecha], Guias[Llegada])</f>
        <v>SeaWaltz (T/W)</v>
      </c>
      <c r="H113" s="1" t="s">
        <v>1023</v>
      </c>
      <c r="I113" s="235">
        <v>0.49</v>
      </c>
      <c r="J113" s="69">
        <f>_xlfn.LET(
  _xlpm.result, 1-((Main[[#This Row],[Cost]]+Main[[#This Row],[Duties]]+Main[[#This Row],[Transport]])/((Main[[#This Row],[Precio]]*0.96))),
  IF(_xlpm.result&lt;0, "BAJO", IF(_xlpm.result&gt;1, "ALTO", _xlpm.result))
)</f>
        <v>0.23797539149888147</v>
      </c>
      <c r="K113" s="131">
        <v>1.49</v>
      </c>
      <c r="L113" s="360" cm="1">
        <f t="array" aca="1" ref="L11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13" s="152">
        <f>Guias!$B$3</f>
        <v>46310</v>
      </c>
      <c r="N113" s="398">
        <f>ROUNDUP((Main[[#This Row],[Cost]]*Main[[#This Row],[Import Duties]]),2)</f>
        <v>0.08</v>
      </c>
      <c r="O113">
        <v>0</v>
      </c>
      <c r="P113">
        <v>1</v>
      </c>
      <c r="Q113">
        <v>0</v>
      </c>
      <c r="R113" s="399">
        <f>ROUNDUP(Main[[#This Row],[Transport2]]/Main[[#This Row],[Cantidad_Min]],2)</f>
        <v>0.52</v>
      </c>
      <c r="S113">
        <f>_xlfn.XLOOKUP(Main[[#This Row],[Type of Box]], Cajas[Nombre], Cajas[Largo])</f>
        <v>105</v>
      </c>
      <c r="T113">
        <f>_xlfn.XLOOKUP(Main[[#This Row],[Type of Box]], Cajas[Nombre], Cajas[Ancho])</f>
        <v>17</v>
      </c>
      <c r="U113">
        <f>_xlfn.XLOOKUP(Main[[#This Row],[Type of Box]], Cajas[Nombre], Cajas[Alto])</f>
        <v>17</v>
      </c>
      <c r="V11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3">
        <f>ROUNDUP(((Main[[#This Row],[Volumen]]*5.25))*1.36,2)</f>
        <v>36.119999999999997</v>
      </c>
      <c r="X113" s="219">
        <v>0.15859999999999999</v>
      </c>
      <c r="Y113" s="361">
        <f>Main[[#This Row],[Cantidad_Min]]*Main[[#This Row],[Precio]]*Main[[#This Row],[Qty]]</f>
        <v>208.6</v>
      </c>
      <c r="Z113">
        <f>_xlfn.XLOOKUP(Main[[#This Row],[Finca]], Fincas[Nombre], Fincas[ID])</f>
        <v>58</v>
      </c>
      <c r="AA113" t="str" cm="1">
        <f t="array" ref="AA11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rbaquero,rbaquero,</v>
      </c>
      <c r="AB113" s="2" t="s">
        <v>33</v>
      </c>
      <c r="AC113" s="5"/>
      <c r="AD113" s="224" t="s">
        <v>162</v>
      </c>
    </row>
    <row r="114" spans="1:30" x14ac:dyDescent="0.25">
      <c r="A114" s="385" t="s">
        <v>151</v>
      </c>
      <c r="B114" s="386">
        <v>2</v>
      </c>
      <c r="C114" s="386" t="s">
        <v>31</v>
      </c>
      <c r="D114" s="385">
        <v>70</v>
      </c>
      <c r="E114" s="387">
        <v>70</v>
      </c>
      <c r="F114" s="387" t="s">
        <v>80</v>
      </c>
      <c r="G114" t="str">
        <f>"SeaWaltz " &amp; _xlfn.XLOOKUP(Main[[#This Row],[FechaEntrega]], Guias[Fecha], Guias[Llegada])</f>
        <v>SeaWaltz (T/W)</v>
      </c>
      <c r="H114" s="1" t="s">
        <v>1024</v>
      </c>
      <c r="I114" s="235">
        <v>0.49</v>
      </c>
      <c r="J114" s="69">
        <f>_xlfn.LET(
  _xlpm.result, 1-((Main[[#This Row],[Cost]]+Main[[#This Row],[Duties]]+Main[[#This Row],[Transport]])/((Main[[#This Row],[Precio]]*0.96))),
  IF(_xlpm.result&lt;0, "BAJO", IF(_xlpm.result&gt;1, "ALTO", _xlpm.result))
)</f>
        <v>0.23797539149888147</v>
      </c>
      <c r="K114" s="131">
        <v>1.49</v>
      </c>
      <c r="L114" s="360" cm="1">
        <f t="array" aca="1" ref="L11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14" s="152">
        <f>Guias!$B$3</f>
        <v>46310</v>
      </c>
      <c r="N114" s="398">
        <f>ROUNDUP((Main[[#This Row],[Cost]]*Main[[#This Row],[Import Duties]]),2)</f>
        <v>0.08</v>
      </c>
      <c r="O114">
        <v>0</v>
      </c>
      <c r="P114">
        <v>1</v>
      </c>
      <c r="Q114">
        <v>0</v>
      </c>
      <c r="R114" s="399">
        <f>ROUNDUP(Main[[#This Row],[Transport2]]/Main[[#This Row],[Cantidad_Min]],2)</f>
        <v>0.52</v>
      </c>
      <c r="S114">
        <f>_xlfn.XLOOKUP(Main[[#This Row],[Type of Box]], Cajas[Nombre], Cajas[Largo])</f>
        <v>105</v>
      </c>
      <c r="T114">
        <f>_xlfn.XLOOKUP(Main[[#This Row],[Type of Box]], Cajas[Nombre], Cajas[Ancho])</f>
        <v>17</v>
      </c>
      <c r="U114">
        <f>_xlfn.XLOOKUP(Main[[#This Row],[Type of Box]], Cajas[Nombre], Cajas[Alto])</f>
        <v>17</v>
      </c>
      <c r="V11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14">
        <f>ROUNDUP(((Main[[#This Row],[Volumen]]*5.25))*1.36,2)</f>
        <v>36.119999999999997</v>
      </c>
      <c r="X114" s="219">
        <v>0.15859999999999999</v>
      </c>
      <c r="Y114" s="361">
        <f>Main[[#This Row],[Cantidad_Min]]*Main[[#This Row],[Precio]]*Main[[#This Row],[Qty]]</f>
        <v>208.6</v>
      </c>
      <c r="Z114">
        <f>_xlfn.XLOOKUP(Main[[#This Row],[Finca]], Fincas[Nombre], Fincas[ID])</f>
        <v>58</v>
      </c>
      <c r="AA114" t="str" cm="1">
        <f t="array" ref="AA11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dvalencia,dvalencia,</v>
      </c>
      <c r="AB114" s="2" t="s">
        <v>33</v>
      </c>
      <c r="AC114" s="5"/>
      <c r="AD114" s="224" t="s">
        <v>163</v>
      </c>
    </row>
    <row r="115" spans="1:30" x14ac:dyDescent="0.25">
      <c r="A115" s="385" t="s">
        <v>151</v>
      </c>
      <c r="B115" s="386">
        <v>1</v>
      </c>
      <c r="C115" s="386" t="s">
        <v>35</v>
      </c>
      <c r="D115" s="385">
        <v>60</v>
      </c>
      <c r="E115" s="387">
        <v>60</v>
      </c>
      <c r="F115" s="387" t="s">
        <v>160</v>
      </c>
      <c r="G115" t="str">
        <f>"40 Hot Pink/20 White " &amp; _xlfn.XLOOKUP(Main[[#This Row],[FechaEntrega]], Guias[Fecha], Guias[Llegada])</f>
        <v>40 Hot Pink/20 White (M/T)</v>
      </c>
      <c r="H115" s="1" t="s">
        <v>1025</v>
      </c>
      <c r="I115" s="235">
        <v>0.85</v>
      </c>
      <c r="J115" s="69">
        <f>_xlfn.LET(
  _xlpm.result, 1-((Main[[#This Row],[Cost]]+Main[[#This Row],[Duties]]+Main[[#This Row],[Transport]])/((Main[[#This Row],[Precio]]*0.96))),
  IF(_xlpm.result&lt;0, "BAJO", IF(_xlpm.result&gt;1, "ALTO", _xlpm.result))
)</f>
        <v>0.2920673076923076</v>
      </c>
      <c r="K115" s="131">
        <v>3.0752688172043006</v>
      </c>
      <c r="L115" s="360" cm="1">
        <f t="array" aca="1" ref="L11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15" s="152">
        <f>Guias!$B$2</f>
        <v>46309</v>
      </c>
      <c r="N115" s="216">
        <f>ROUNDUP((Main[[#This Row],[Cost]]*Main[[#This Row],[Import Duties]]),2)</f>
        <v>0.14000000000000001</v>
      </c>
      <c r="O115">
        <v>0</v>
      </c>
      <c r="P115">
        <v>1</v>
      </c>
      <c r="Q115">
        <v>0</v>
      </c>
      <c r="R115" s="217">
        <f>ROUNDUP(Main[[#This Row],[Transport2]]/Main[[#This Row],[Cantidad_Min]],2)</f>
        <v>1.1000000000000001</v>
      </c>
      <c r="S115">
        <f>_xlfn.XLOOKUP(Main[[#This Row],[Type of Box]], Cajas[Nombre], Cajas[Largo])</f>
        <v>99</v>
      </c>
      <c r="T115">
        <f>_xlfn.XLOOKUP(Main[[#This Row],[Type of Box]], Cajas[Nombre], Cajas[Ancho])</f>
        <v>35</v>
      </c>
      <c r="U115">
        <f>_xlfn.XLOOKUP(Main[[#This Row],[Type of Box]], Cajas[Nombre], Cajas[Alto])</f>
        <v>16</v>
      </c>
      <c r="V11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5">
        <f>ROUNDUP(((Main[[#This Row],[Volumen]]*5.25))*1.36,2)</f>
        <v>65.98</v>
      </c>
      <c r="X115" s="219">
        <v>0.15859999999999999</v>
      </c>
      <c r="Y115" s="361">
        <f>Main[[#This Row],[Cantidad_Min]]*Main[[#This Row],[Precio]]*Main[[#This Row],[Qty]]</f>
        <v>184.51612903225802</v>
      </c>
      <c r="Z115">
        <f>_xlfn.XLOOKUP(Main[[#This Row],[Finca]], Fincas[Nombre], Fincas[ID])</f>
        <v>58</v>
      </c>
      <c r="AA115" t="str" cm="1">
        <f t="array" ref="AA11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15" s="2" t="s">
        <v>33</v>
      </c>
      <c r="AC115" s="5"/>
      <c r="AD115" s="224" t="s">
        <v>164</v>
      </c>
    </row>
    <row r="116" spans="1:30" x14ac:dyDescent="0.25">
      <c r="A116" s="385" t="s">
        <v>151</v>
      </c>
      <c r="B116" s="386">
        <v>1</v>
      </c>
      <c r="C116" s="386" t="s">
        <v>35</v>
      </c>
      <c r="D116" s="385">
        <v>100</v>
      </c>
      <c r="E116" s="387">
        <v>100</v>
      </c>
      <c r="F116" s="387" t="s">
        <v>165</v>
      </c>
      <c r="G116" t="str">
        <f>"10 Petruska Light/10 Salmon Pink/10 Romancero/10 Andrea/10 Linette /10 Yellow/10 Bronze/10 Orange/10 Burgundy/10 White " &amp; _xlfn.XLOOKUP(Main[[#This Row],[FechaEntrega]], Guias[Fecha], Guias[Llegada])</f>
        <v>10 Petruska Light/10 Salmon Pink/10 Romancero/10 Andrea/10 Linette /10 Yellow/10 Bronze/10 Orange/10 Burgundy/10 White (M/T)</v>
      </c>
      <c r="H116" s="1" t="s">
        <v>1026</v>
      </c>
      <c r="I116" s="235">
        <v>0.35</v>
      </c>
      <c r="J116" s="69">
        <f>_xlfn.LET(
  _xlpm.result, 1-((Main[[#This Row],[Cost]]+Main[[#This Row],[Duties]]+Main[[#This Row],[Transport]])/((Main[[#This Row],[Precio]]*0.96))),
  IF(_xlpm.result&lt;0, "BAJO", IF(_xlpm.result&gt;1, "ALTO", _xlpm.result))
)</f>
        <v>0.28016493055555547</v>
      </c>
      <c r="K116" s="131">
        <v>1.5483870967741935</v>
      </c>
      <c r="L116" s="360" cm="1">
        <f t="array" aca="1" ref="L11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16" s="152">
        <f>Guias!$B$2</f>
        <v>46309</v>
      </c>
      <c r="N116" s="216">
        <f>ROUNDUP((Main[[#This Row],[Cost]]*Main[[#This Row],[Import Duties]]),2)</f>
        <v>6.0000000000000005E-2</v>
      </c>
      <c r="O116">
        <v>0</v>
      </c>
      <c r="P116">
        <v>1</v>
      </c>
      <c r="Q116">
        <v>0</v>
      </c>
      <c r="R116" s="217">
        <f>ROUNDUP(Main[[#This Row],[Transport2]]/Main[[#This Row],[Cantidad_Min]],2)</f>
        <v>0.66</v>
      </c>
      <c r="S116">
        <f>_xlfn.XLOOKUP(Main[[#This Row],[Type of Box]], Cajas[Nombre], Cajas[Largo])</f>
        <v>99</v>
      </c>
      <c r="T116">
        <f>_xlfn.XLOOKUP(Main[[#This Row],[Type of Box]], Cajas[Nombre], Cajas[Ancho])</f>
        <v>35</v>
      </c>
      <c r="U116">
        <f>_xlfn.XLOOKUP(Main[[#This Row],[Type of Box]], Cajas[Nombre], Cajas[Alto])</f>
        <v>16</v>
      </c>
      <c r="V11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6">
        <f>ROUNDUP(((Main[[#This Row],[Volumen]]*5.25))*1.36,2)</f>
        <v>65.98</v>
      </c>
      <c r="X116" s="219">
        <v>0.15859999999999999</v>
      </c>
      <c r="Y116" s="361">
        <f>Main[[#This Row],[Cantidad_Min]]*Main[[#This Row],[Precio]]*Main[[#This Row],[Qty]]</f>
        <v>154.83870967741936</v>
      </c>
      <c r="Z116">
        <f>_xlfn.XLOOKUP(Main[[#This Row],[Finca]], Fincas[Nombre], Fincas[ID])</f>
        <v>58</v>
      </c>
      <c r="AA116" t="str" cm="1">
        <f t="array" ref="AA11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baspiazu,</v>
      </c>
      <c r="AB116" s="2" t="s">
        <v>33</v>
      </c>
      <c r="AC116" s="5"/>
      <c r="AD116" s="224" t="s">
        <v>166</v>
      </c>
    </row>
    <row r="117" spans="1:30" x14ac:dyDescent="0.25">
      <c r="A117" s="154" t="s">
        <v>151</v>
      </c>
      <c r="B117" s="155">
        <v>1</v>
      </c>
      <c r="C117" s="155" t="s">
        <v>35</v>
      </c>
      <c r="D117" s="154">
        <v>125</v>
      </c>
      <c r="E117" s="236">
        <v>125</v>
      </c>
      <c r="F117" s="236" t="s">
        <v>167</v>
      </c>
      <c r="G117" t="str">
        <f>"25 Explorer/25 Country Blues/25 Goldfinsh/25 Be Sweet/25 Matchpoint " &amp; _xlfn.XLOOKUP(Main[[#This Row],[FechaEntrega]], Guias[Fecha], Guias[Llegada])</f>
        <v>25 Explorer/25 Country Blues/25 Goldfinsh/25 Be Sweet/25 Matchpoint (T/W)</v>
      </c>
      <c r="H117" s="1" t="s">
        <v>1027</v>
      </c>
      <c r="I117" s="235">
        <v>0.38</v>
      </c>
      <c r="J117" s="69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17" s="131">
        <v>1.39</v>
      </c>
      <c r="L117" s="360" cm="1">
        <f t="array" aca="1" ref="L11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17" s="152">
        <f>Guias!$B$3</f>
        <v>46310</v>
      </c>
      <c r="N117" s="216">
        <f>ROUNDUP((Main[[#This Row],[Cost]]*Main[[#This Row],[Import Duties]]),2)</f>
        <v>6.9999999999999993E-2</v>
      </c>
      <c r="O117">
        <v>0</v>
      </c>
      <c r="P117">
        <v>1</v>
      </c>
      <c r="Q117">
        <v>0</v>
      </c>
      <c r="R117" s="217">
        <f>ROUNDUP(Main[[#This Row],[Transport2]]/Main[[#This Row],[Cantidad_Min]],2)</f>
        <v>0.53</v>
      </c>
      <c r="S117">
        <f>_xlfn.XLOOKUP(Main[[#This Row],[Type of Box]], Cajas[Nombre], Cajas[Largo])</f>
        <v>99</v>
      </c>
      <c r="T117">
        <f>_xlfn.XLOOKUP(Main[[#This Row],[Type of Box]], Cajas[Nombre], Cajas[Ancho])</f>
        <v>35</v>
      </c>
      <c r="U117">
        <f>_xlfn.XLOOKUP(Main[[#This Row],[Type of Box]], Cajas[Nombre], Cajas[Alto])</f>
        <v>16</v>
      </c>
      <c r="V11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7">
        <f>ROUNDUP(((Main[[#This Row],[Volumen]]*5.25))*1.36,2)</f>
        <v>65.98</v>
      </c>
      <c r="X117" s="219">
        <v>0.15859999999999999</v>
      </c>
      <c r="Y117" s="361">
        <f>Main[[#This Row],[Cantidad_Min]]*Main[[#This Row],[Precio]]*Main[[#This Row],[Qty]]</f>
        <v>173.75</v>
      </c>
      <c r="Z117">
        <f>_xlfn.XLOOKUP(Main[[#This Row],[Finca]], Fincas[Nombre], Fincas[ID])</f>
        <v>58</v>
      </c>
      <c r="AA117" t="str" cm="1">
        <f t="array" ref="AA11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17" s="2" t="s">
        <v>33</v>
      </c>
      <c r="AC117" s="5" t="s">
        <v>168</v>
      </c>
      <c r="AD117" s="224" t="s">
        <v>169</v>
      </c>
    </row>
    <row r="118" spans="1:30" x14ac:dyDescent="0.25">
      <c r="A118" s="154" t="s">
        <v>151</v>
      </c>
      <c r="B118" s="155">
        <v>1</v>
      </c>
      <c r="C118" s="155" t="s">
        <v>35</v>
      </c>
      <c r="D118" s="154">
        <v>60</v>
      </c>
      <c r="E118" s="236">
        <v>60</v>
      </c>
      <c r="F118" s="236" t="s">
        <v>170</v>
      </c>
      <c r="G118" t="str">
        <f>"30 White/20 Pink/10 Yellow " &amp; _xlfn.XLOOKUP(Main[[#This Row],[FechaEntrega]], Guias[Fecha], Guias[Llegada])</f>
        <v>30 White/20 Pink/10 Yellow (T/W)</v>
      </c>
      <c r="H118" s="1" t="s">
        <v>1028</v>
      </c>
      <c r="I118" s="235">
        <f>((30*0.95)+20+10)/60</f>
        <v>0.97499999999999998</v>
      </c>
      <c r="J118" s="69">
        <f>_xlfn.LET(
  _xlpm.result, 1-((Main[[#This Row],[Cost]]+Main[[#This Row],[Duties]]+Main[[#This Row],[Transport]])/((Main[[#This Row],[Precio]]*0.96))),
  IF(_xlpm.result&lt;0, "BAJO", IF(_xlpm.result&gt;1, "ALTO", _xlpm.result))
)</f>
        <v>0.2213628762541805</v>
      </c>
      <c r="K118" s="131">
        <f>IF(OR(AND(ISNUMBER(FIND("(*PAR)",
UPPER(Main[[#This Row],[Standing Orders]]))),
MOD(IFERROR(VALUE(Guias!$M$2),0),2)=0),
AND(ISNUMBER(FIND("(*IMPAR)",
UPPER(Main[[#This Row],[Standing Orders]]))),
MOD(IFERROR(VALUE(Guias!$M$2),
0),2)=1)), 2.99, 3.09)</f>
        <v>2.99</v>
      </c>
      <c r="L118" s="360" cm="1">
        <f t="array" aca="1" ref="L11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18" s="152">
        <f>Guias!$B$3</f>
        <v>46310</v>
      </c>
      <c r="N118" s="216">
        <f>ROUNDUP((Main[[#This Row],[Cost]]*Main[[#This Row],[Import Duties]]),2)</f>
        <v>0.16</v>
      </c>
      <c r="O118">
        <v>0</v>
      </c>
      <c r="P118">
        <v>1</v>
      </c>
      <c r="Q118">
        <v>0</v>
      </c>
      <c r="R118" s="217">
        <f>ROUNDUP(Main[[#This Row],[Transport2]]/Main[[#This Row],[Cantidad_Min]],2)</f>
        <v>1.1000000000000001</v>
      </c>
      <c r="S118">
        <f>_xlfn.XLOOKUP(Main[[#This Row],[Type of Box]], Cajas[Nombre], Cajas[Largo])</f>
        <v>99</v>
      </c>
      <c r="T118">
        <f>_xlfn.XLOOKUP(Main[[#This Row],[Type of Box]], Cajas[Nombre], Cajas[Ancho])</f>
        <v>35</v>
      </c>
      <c r="U118">
        <f>_xlfn.XLOOKUP(Main[[#This Row],[Type of Box]], Cajas[Nombre], Cajas[Alto])</f>
        <v>16</v>
      </c>
      <c r="V1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8">
        <f>ROUNDUP(((Main[[#This Row],[Volumen]]*5.25))*1.36,2)</f>
        <v>65.98</v>
      </c>
      <c r="X118" s="219">
        <v>0.15859999999999999</v>
      </c>
      <c r="Y118" s="361">
        <f>Main[[#This Row],[Cantidad_Min]]*Main[[#This Row],[Precio]]*Main[[#This Row],[Qty]]</f>
        <v>179.4</v>
      </c>
      <c r="Z118">
        <f>_xlfn.XLOOKUP(Main[[#This Row],[Finca]], Fincas[Nombre], Fincas[ID])</f>
        <v>58</v>
      </c>
      <c r="AA118" t="str" cm="1">
        <f t="array" ref="AA11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18" s="2" t="s">
        <v>33</v>
      </c>
      <c r="AC118" s="5" t="s">
        <v>171</v>
      </c>
      <c r="AD118" s="224" t="s">
        <v>172</v>
      </c>
    </row>
    <row r="119" spans="1:30" x14ac:dyDescent="0.25">
      <c r="A119" s="154" t="s">
        <v>151</v>
      </c>
      <c r="B119" s="403">
        <f>IF(Main[[#This Row],[SendEmail]]="Y", 1, 0)</f>
        <v>1</v>
      </c>
      <c r="C119" s="155" t="s">
        <v>35</v>
      </c>
      <c r="D119" s="154">
        <v>1</v>
      </c>
      <c r="E119" s="236">
        <v>1</v>
      </c>
      <c r="F119" s="236" t="s">
        <v>173</v>
      </c>
      <c r="G119" t="str">
        <f>"Box x 80 " &amp; _xlfn.XLOOKUP(Main[[#This Row],[FechaEntrega]], Guias[Fecha], Guias[Llegada])</f>
        <v>Box x 80 (M/T)</v>
      </c>
      <c r="H119" s="1" t="s">
        <v>1029</v>
      </c>
      <c r="I119" s="235">
        <f>(2*0.4*10)+N("Spray roses 50 cm") + (1*0.35*10)+N("Glaminis") + (1*2.2)+N("Gypsophilia") + (1*2)+N("Solidago") + (1*2.6)+N("Lepidium") + (1*0.95*10)+N("White lilies") + (1*0.95*10)+N("Lilies otro color")</f>
        <v>37.299999999999997</v>
      </c>
      <c r="J119" s="69">
        <f>_xlfn.LET(
  _xlpm.result, 1-((Main[[#This Row],[Cost]]+Main[[#This Row],[Duties]]+Main[[#This Row],[Transport]])/((Main[[#This Row],[Precio]]*0.96))),
  IF(_xlpm.result&lt;0, "BAJO", IF(_xlpm.result&gt;1, "ALTO", _xlpm.result))
)</f>
        <v>0.24161610774051601</v>
      </c>
      <c r="K119" s="131">
        <v>149.99</v>
      </c>
      <c r="L119" s="360" cm="1">
        <f t="array" aca="1" ref="L11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19" s="152">
        <f>Guias!$B$2</f>
        <v>46309</v>
      </c>
      <c r="N119" s="216">
        <f>ROUNDUP((Main[[#This Row],[Cost]]*Main[[#This Row],[Import Duties]]),2)</f>
        <v>5.92</v>
      </c>
      <c r="O119">
        <v>0</v>
      </c>
      <c r="P119">
        <v>1</v>
      </c>
      <c r="Q119">
        <v>0</v>
      </c>
      <c r="R119" s="217">
        <f>ROUNDUP(Main[[#This Row],[Transport2]]/Main[[#This Row],[Cantidad_Min]],2)</f>
        <v>65.98</v>
      </c>
      <c r="S119">
        <f>_xlfn.XLOOKUP(Main[[#This Row],[Type of Box]], Cajas[Nombre], Cajas[Largo])</f>
        <v>99</v>
      </c>
      <c r="T119">
        <f>_xlfn.XLOOKUP(Main[[#This Row],[Type of Box]], Cajas[Nombre], Cajas[Ancho])</f>
        <v>35</v>
      </c>
      <c r="U119">
        <f>_xlfn.XLOOKUP(Main[[#This Row],[Type of Box]], Cajas[Nombre], Cajas[Alto])</f>
        <v>16</v>
      </c>
      <c r="V11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19">
        <f>ROUNDUP(((Main[[#This Row],[Volumen]]*5.25))*1.36,2)</f>
        <v>65.98</v>
      </c>
      <c r="X119" s="219">
        <v>0.15859999999999999</v>
      </c>
      <c r="Y119" s="361">
        <f>Main[[#This Row],[Cantidad_Min]]*Main[[#This Row],[Precio]]*Main[[#This Row],[Qty]]</f>
        <v>149.99</v>
      </c>
      <c r="Z119">
        <f>_xlfn.XLOOKUP(Main[[#This Row],[Finca]], Fincas[Nombre], Fincas[ID])</f>
        <v>58</v>
      </c>
      <c r="AA119" t="str" cm="1">
        <f t="array" ref="AA11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19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19" s="251" t="s">
        <v>174</v>
      </c>
      <c r="AD119" s="224" t="s">
        <v>175</v>
      </c>
    </row>
    <row r="120" spans="1:30" x14ac:dyDescent="0.25">
      <c r="A120" s="156" t="s">
        <v>151</v>
      </c>
      <c r="B120" s="157">
        <v>1</v>
      </c>
      <c r="C120" s="157" t="s">
        <v>31</v>
      </c>
      <c r="D120" s="156">
        <v>70</v>
      </c>
      <c r="E120" s="237">
        <v>70</v>
      </c>
      <c r="F120" s="237" t="s">
        <v>80</v>
      </c>
      <c r="G120" t="str">
        <f>"SeaWaltz " &amp; _xlfn.XLOOKUP(Main[[#This Row],[FechaEntrega]], Guias[Fecha], Guias[Llegada])</f>
        <v>SeaWaltz (T/W)</v>
      </c>
      <c r="H120" s="1" t="s">
        <v>1030</v>
      </c>
      <c r="I120" s="235">
        <v>0.49</v>
      </c>
      <c r="J120" s="69">
        <f>_xlfn.LET(
  _xlpm.result, 1-((Main[[#This Row],[Cost]]+Main[[#This Row],[Duties]]+Main[[#This Row],[Transport]])/((Main[[#This Row],[Precio]]*0.96))),
  IF(_xlpm.result&lt;0, "BAJO", IF(_xlpm.result&gt;1, "ALTO", _xlpm.result))
)</f>
        <v>0.23797539149888147</v>
      </c>
      <c r="K120" s="131">
        <f>IF(OR(AND(ISNUMBER(FIND("(*PAR)",
UPPER(Main[[#This Row],[Standing Orders]]))),
MOD(IFERROR(VALUE(Guias!$M$2),0),2)=0),
AND(ISNUMBER(FIND("(*IMPAR)",
UPPER(Main[[#This Row],[Standing Orders]]))),
MOD(IFERROR(VALUE(Guias!$M$2),
0),2)=1)), 1.45, 1.49)</f>
        <v>1.49</v>
      </c>
      <c r="L120" s="360" cm="1">
        <f t="array" aca="1" ref="L12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20" s="152">
        <f>Guias!$B$3</f>
        <v>46310</v>
      </c>
      <c r="N120" s="216">
        <f>ROUNDUP((Main[[#This Row],[Cost]]*Main[[#This Row],[Import Duties]]),2)</f>
        <v>0.08</v>
      </c>
      <c r="O120">
        <v>0</v>
      </c>
      <c r="P120">
        <v>1</v>
      </c>
      <c r="Q120">
        <v>0</v>
      </c>
      <c r="R120" s="217">
        <f>ROUNDUP(Main[[#This Row],[Transport2]]/Main[[#This Row],[Cantidad_Min]],2)</f>
        <v>0.52</v>
      </c>
      <c r="S120">
        <f>_xlfn.XLOOKUP(Main[[#This Row],[Type of Box]], Cajas[Nombre], Cajas[Largo])</f>
        <v>105</v>
      </c>
      <c r="T120">
        <f>_xlfn.XLOOKUP(Main[[#This Row],[Type of Box]], Cajas[Nombre], Cajas[Ancho])</f>
        <v>17</v>
      </c>
      <c r="U120">
        <f>_xlfn.XLOOKUP(Main[[#This Row],[Type of Box]], Cajas[Nombre], Cajas[Alto])</f>
        <v>17</v>
      </c>
      <c r="V12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20">
        <f>ROUNDUP(((Main[[#This Row],[Volumen]]*5.25))*1.36,2)</f>
        <v>36.119999999999997</v>
      </c>
      <c r="X120" s="219">
        <v>0.15859999999999999</v>
      </c>
      <c r="Y120" s="361">
        <f>Main[[#This Row],[Cantidad_Min]]*Main[[#This Row],[Precio]]*Main[[#This Row],[Qty]]</f>
        <v>104.3</v>
      </c>
      <c r="Z120">
        <f>_xlfn.XLOOKUP(Main[[#This Row],[Finca]], Fincas[Nombre], Fincas[ID])</f>
        <v>58</v>
      </c>
      <c r="AA120" t="str" cm="1">
        <f t="array" ref="AA12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0" s="2" t="s">
        <v>33</v>
      </c>
      <c r="AC120" s="5"/>
      <c r="AD120" s="224" t="s">
        <v>176</v>
      </c>
    </row>
    <row r="121" spans="1:30" x14ac:dyDescent="0.25">
      <c r="A121" s="156" t="s">
        <v>151</v>
      </c>
      <c r="B121" s="157">
        <v>1</v>
      </c>
      <c r="C121" s="157" t="s">
        <v>35</v>
      </c>
      <c r="D121" s="156">
        <v>50</v>
      </c>
      <c r="E121" s="237">
        <v>50</v>
      </c>
      <c r="F121" s="237" t="s">
        <v>177</v>
      </c>
      <c r="G121" t="str">
        <f>"30 White/20 Pink " &amp; _xlfn.XLOOKUP(Main[[#This Row],[FechaEntrega]], Guias[Fecha], Guias[Llegada])</f>
        <v>30 White/20 Pink (T/W)</v>
      </c>
      <c r="H121" s="1" t="s">
        <v>1031</v>
      </c>
      <c r="I121" s="235">
        <v>1.45</v>
      </c>
      <c r="J121" s="69">
        <f>_xlfn.LET(
  _xlpm.result, 1-((Main[[#This Row],[Cost]]+Main[[#This Row],[Duties]]+Main[[#This Row],[Transport]])/((Main[[#This Row],[Precio]]*0.96))),
  IF(_xlpm.result&lt;0, "BAJO", IF(_xlpm.result&gt;1, "ALTO", _xlpm.result))
)</f>
        <v>0.25417661097852029</v>
      </c>
      <c r="K121" s="131">
        <f>IF(OR(AND(ISNUMBER(FIND("(*PAR)",
UPPER(Main[[#This Row],[Standing Orders]]))),
MOD(IFERROR(VALUE(Guias!$M$2),0),2)=0),
AND(ISNUMBER(FIND("(*IMPAR)",
UPPER(Main[[#This Row],[Standing Orders]]))),
MOD(IFERROR(VALUE(Guias!$M$2),
0),2)=1)), 3.69, 4.19)</f>
        <v>4.1900000000000004</v>
      </c>
      <c r="L121" s="360" cm="1">
        <f t="array" aca="1" ref="L12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21" s="152">
        <f>Guias!$B$3</f>
        <v>46310</v>
      </c>
      <c r="N121" s="216">
        <f>ROUNDUP((Main[[#This Row],[Cost]]*Main[[#This Row],[Import Duties]]),2)</f>
        <v>0.23</v>
      </c>
      <c r="O121">
        <v>0</v>
      </c>
      <c r="P121">
        <v>1</v>
      </c>
      <c r="Q121">
        <v>0</v>
      </c>
      <c r="R121" s="217">
        <f>ROUNDUP(Main[[#This Row],[Transport2]]/Main[[#This Row],[Cantidad_Min]],2)</f>
        <v>1.32</v>
      </c>
      <c r="S121">
        <f>_xlfn.XLOOKUP(Main[[#This Row],[Type of Box]], Cajas[Nombre], Cajas[Largo])</f>
        <v>99</v>
      </c>
      <c r="T121">
        <f>_xlfn.XLOOKUP(Main[[#This Row],[Type of Box]], Cajas[Nombre], Cajas[Ancho])</f>
        <v>35</v>
      </c>
      <c r="U121">
        <f>_xlfn.XLOOKUP(Main[[#This Row],[Type of Box]], Cajas[Nombre], Cajas[Alto])</f>
        <v>16</v>
      </c>
      <c r="V12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1">
        <f>ROUNDUP(((Main[[#This Row],[Volumen]]*5.25))*1.36,2)</f>
        <v>65.98</v>
      </c>
      <c r="X121" s="219">
        <v>0.15859999999999999</v>
      </c>
      <c r="Y121" s="361">
        <f>Main[[#This Row],[Cantidad_Min]]*Main[[#This Row],[Precio]]*Main[[#This Row],[Qty]]</f>
        <v>209.50000000000003</v>
      </c>
      <c r="Z121">
        <f>_xlfn.XLOOKUP(Main[[#This Row],[Finca]], Fincas[Nombre], Fincas[ID])</f>
        <v>58</v>
      </c>
      <c r="AA121" t="str" cm="1">
        <f t="array" ref="AA12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1" s="2" t="s">
        <v>33</v>
      </c>
      <c r="AC121" s="5"/>
      <c r="AD121" s="224" t="s">
        <v>178</v>
      </c>
    </row>
    <row r="122" spans="1:30" x14ac:dyDescent="0.25">
      <c r="A122" s="156" t="s">
        <v>151</v>
      </c>
      <c r="B122" s="157">
        <v>1</v>
      </c>
      <c r="C122" s="157" t="s">
        <v>35</v>
      </c>
      <c r="D122" s="156">
        <v>50</v>
      </c>
      <c r="E122" s="237">
        <v>50</v>
      </c>
      <c r="F122" s="237" t="s">
        <v>177</v>
      </c>
      <c r="G122" t="str">
        <f>"30 White/20 Pink " &amp; _xlfn.XLOOKUP(Main[[#This Row],[FechaEntrega]], Guias[Fecha], Guias[Llegada])</f>
        <v>30 White/20 Pink (T/W)</v>
      </c>
      <c r="H122" s="1" t="s">
        <v>1032</v>
      </c>
      <c r="I122" s="235">
        <v>1.45</v>
      </c>
      <c r="J122" s="69">
        <f>_xlfn.LET(
  _xlpm.result, 1-((Main[[#This Row],[Cost]]+Main[[#This Row],[Duties]]+Main[[#This Row],[Transport]])/((Main[[#This Row],[Precio]]*0.96))),
  IF(_xlpm.result&lt;0, "BAJO", IF(_xlpm.result&gt;1, "ALTO", _xlpm.result))
)</f>
        <v>0.25417661097852029</v>
      </c>
      <c r="K122" s="131">
        <f>IF(OR(AND(ISNUMBER(FIND("(*PAR)",
UPPER(Main[[#This Row],[Standing Orders]]))),
MOD(IFERROR(VALUE(Guias!$M$2),0),2)=0),
AND(ISNUMBER(FIND("(*IMPAR)",
UPPER(Main[[#This Row],[Standing Orders]]))),
MOD(IFERROR(VALUE(Guias!$M$2),
0),2)=1)), 3.45, 4.19)</f>
        <v>4.1900000000000004</v>
      </c>
      <c r="L122" s="360" cm="1">
        <f t="array" aca="1" ref="L12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22" s="152">
        <f>Guias!$B$3</f>
        <v>46310</v>
      </c>
      <c r="N122" s="216">
        <f>ROUNDUP((Main[[#This Row],[Cost]]*Main[[#This Row],[Import Duties]]),2)</f>
        <v>0.23</v>
      </c>
      <c r="O122">
        <v>0</v>
      </c>
      <c r="P122">
        <v>1</v>
      </c>
      <c r="Q122">
        <v>0</v>
      </c>
      <c r="R122" s="217">
        <f>ROUNDUP(Main[[#This Row],[Transport2]]/Main[[#This Row],[Cantidad_Min]],2)</f>
        <v>1.32</v>
      </c>
      <c r="S122">
        <f>_xlfn.XLOOKUP(Main[[#This Row],[Type of Box]], Cajas[Nombre], Cajas[Largo])</f>
        <v>99</v>
      </c>
      <c r="T122">
        <f>_xlfn.XLOOKUP(Main[[#This Row],[Type of Box]], Cajas[Nombre], Cajas[Ancho])</f>
        <v>35</v>
      </c>
      <c r="U122">
        <f>_xlfn.XLOOKUP(Main[[#This Row],[Type of Box]], Cajas[Nombre], Cajas[Alto])</f>
        <v>16</v>
      </c>
      <c r="V12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2">
        <f>ROUNDUP(((Main[[#This Row],[Volumen]]*5.25))*1.36,2)</f>
        <v>65.98</v>
      </c>
      <c r="X122" s="219">
        <v>0.15859999999999999</v>
      </c>
      <c r="Y122" s="361">
        <f>Main[[#This Row],[Cantidad_Min]]*Main[[#This Row],[Precio]]*Main[[#This Row],[Qty]]</f>
        <v>209.50000000000003</v>
      </c>
      <c r="Z122">
        <f>_xlfn.XLOOKUP(Main[[#This Row],[Finca]], Fincas[Nombre], Fincas[ID])</f>
        <v>58</v>
      </c>
      <c r="AA122" t="str" cm="1">
        <f t="array" ref="AA12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2" s="2" t="s">
        <v>33</v>
      </c>
      <c r="AC122" s="5"/>
      <c r="AD122" s="224" t="s">
        <v>179</v>
      </c>
    </row>
    <row r="123" spans="1:30" x14ac:dyDescent="0.25">
      <c r="A123" s="156" t="s">
        <v>151</v>
      </c>
      <c r="B123" s="157">
        <v>1</v>
      </c>
      <c r="C123" s="157" t="s">
        <v>35</v>
      </c>
      <c r="D123" s="156">
        <v>60</v>
      </c>
      <c r="E123" s="237">
        <v>60</v>
      </c>
      <c r="F123" s="237" t="s">
        <v>180</v>
      </c>
      <c r="G123" t="str">
        <f>"30 Starfighter/30 White " &amp; _xlfn.XLOOKUP(Main[[#This Row],[FechaEntrega]], Guias[Fecha], Guias[Llegada])</f>
        <v>30 Starfighter/30 White (T/W)</v>
      </c>
      <c r="H123" s="1" t="s">
        <v>1033</v>
      </c>
      <c r="I123" s="235">
        <v>0.84</v>
      </c>
      <c r="J123" s="69">
        <f>_xlfn.LET(
  _xlpm.result, 1-((Main[[#This Row],[Cost]]+Main[[#This Row],[Duties]]+Main[[#This Row],[Transport]])/((Main[[#This Row],[Precio]]*0.96))),
  IF(_xlpm.result&lt;0, "BAJO", IF(_xlpm.result&gt;1, "ALTO", _xlpm.result))
)</f>
        <v>0.27536231884057971</v>
      </c>
      <c r="K123" s="131">
        <v>2.99</v>
      </c>
      <c r="L123" s="360" cm="1">
        <f t="array" aca="1" ref="L12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23" s="152">
        <f>Guias!$B$3</f>
        <v>46310</v>
      </c>
      <c r="N123" s="398">
        <f>ROUNDUP((Main[[#This Row],[Cost]]*Main[[#This Row],[Import Duties]]),2)</f>
        <v>0.14000000000000001</v>
      </c>
      <c r="O123">
        <v>0</v>
      </c>
      <c r="P123">
        <v>1</v>
      </c>
      <c r="Q123">
        <v>0</v>
      </c>
      <c r="R123" s="399">
        <f>ROUNDUP(Main[[#This Row],[Transport2]]/Main[[#This Row],[Cantidad_Min]],2)</f>
        <v>1.1000000000000001</v>
      </c>
      <c r="S123">
        <f>_xlfn.XLOOKUP(Main[[#This Row],[Type of Box]], Cajas[Nombre], Cajas[Largo])</f>
        <v>99</v>
      </c>
      <c r="T123">
        <f>_xlfn.XLOOKUP(Main[[#This Row],[Type of Box]], Cajas[Nombre], Cajas[Ancho])</f>
        <v>35</v>
      </c>
      <c r="U123">
        <f>_xlfn.XLOOKUP(Main[[#This Row],[Type of Box]], Cajas[Nombre], Cajas[Alto])</f>
        <v>16</v>
      </c>
      <c r="V12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3">
        <f>ROUNDUP(((Main[[#This Row],[Volumen]]*5.25))*1.36,2)</f>
        <v>65.98</v>
      </c>
      <c r="X123" s="219">
        <v>0.15859999999999999</v>
      </c>
      <c r="Y123" s="361">
        <f>Main[[#This Row],[Cantidad_Min]]*Main[[#This Row],[Precio]]*Main[[#This Row],[Qty]]</f>
        <v>179.4</v>
      </c>
      <c r="Z123">
        <f>_xlfn.XLOOKUP(Main[[#This Row],[Finca]], Fincas[Nombre], Fincas[ID])</f>
        <v>58</v>
      </c>
      <c r="AA123" t="str" cm="1">
        <f t="array" ref="AA12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eorces,</v>
      </c>
      <c r="AB123" s="2" t="s">
        <v>33</v>
      </c>
      <c r="AC123" s="400"/>
      <c r="AD123" s="224" t="s">
        <v>181</v>
      </c>
    </row>
    <row r="124" spans="1:30" x14ac:dyDescent="0.25">
      <c r="A124" s="156" t="s">
        <v>151</v>
      </c>
      <c r="B124" s="157">
        <v>1</v>
      </c>
      <c r="C124" s="157" t="s">
        <v>35</v>
      </c>
      <c r="D124" s="156">
        <v>60</v>
      </c>
      <c r="E124" s="237">
        <v>60</v>
      </c>
      <c r="F124" s="237" t="s">
        <v>160</v>
      </c>
      <c r="G124" t="str">
        <f>"White/Pink/Hot Pink " &amp; _xlfn.XLOOKUP(Main[[#This Row],[FechaEntrega]], Guias[Fecha], Guias[Llegada])</f>
        <v>White/Pink/Hot Pink (M/T)</v>
      </c>
      <c r="H124" s="1" t="s">
        <v>1034</v>
      </c>
      <c r="I124" s="235">
        <v>0.85</v>
      </c>
      <c r="J124" s="69">
        <f>_xlfn.LET(
  _xlpm.result, 1-((Main[[#This Row],[Cost]]+Main[[#This Row],[Duties]]+Main[[#This Row],[Transport]])/((Main[[#This Row],[Precio]]*0.96))),
  IF(_xlpm.result&lt;0, "BAJO", IF(_xlpm.result&gt;1, "ALTO", _xlpm.result))
)</f>
        <v>0.27187848383500568</v>
      </c>
      <c r="K124" s="131">
        <v>2.99</v>
      </c>
      <c r="L124" s="360" cm="1">
        <f t="array" aca="1" ref="L12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24" s="152">
        <f>Guias!$B$2</f>
        <v>46309</v>
      </c>
      <c r="N124" s="216">
        <f>ROUNDUP((Main[[#This Row],[Cost]]*Main[[#This Row],[Import Duties]]),2)</f>
        <v>0.14000000000000001</v>
      </c>
      <c r="O124">
        <v>0</v>
      </c>
      <c r="P124">
        <v>1</v>
      </c>
      <c r="Q124">
        <v>0</v>
      </c>
      <c r="R124" s="217">
        <f>ROUNDUP(Main[[#This Row],[Transport2]]/Main[[#This Row],[Cantidad_Min]],2)</f>
        <v>1.1000000000000001</v>
      </c>
      <c r="S124">
        <f>_xlfn.XLOOKUP(Main[[#This Row],[Type of Box]], Cajas[Nombre], Cajas[Largo])</f>
        <v>99</v>
      </c>
      <c r="T124">
        <f>_xlfn.XLOOKUP(Main[[#This Row],[Type of Box]], Cajas[Nombre], Cajas[Ancho])</f>
        <v>35</v>
      </c>
      <c r="U124">
        <f>_xlfn.XLOOKUP(Main[[#This Row],[Type of Box]], Cajas[Nombre], Cajas[Alto])</f>
        <v>16</v>
      </c>
      <c r="V12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4">
        <f>ROUNDUP(((Main[[#This Row],[Volumen]]*5.25))*1.36,2)</f>
        <v>65.98</v>
      </c>
      <c r="X124" s="219">
        <v>0.15859999999999999</v>
      </c>
      <c r="Y124" s="361">
        <f>Main[[#This Row],[Cantidad_Min]]*Main[[#This Row],[Precio]]*Main[[#This Row],[Qty]]</f>
        <v>179.4</v>
      </c>
      <c r="Z124">
        <f>_xlfn.XLOOKUP(Main[[#This Row],[Finca]], Fincas[Nombre], Fincas[ID])</f>
        <v>58</v>
      </c>
      <c r="AA124" t="str" cm="1">
        <f t="array" ref="AA12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4" s="2" t="s">
        <v>33</v>
      </c>
      <c r="AC124" s="5"/>
      <c r="AD124" s="224" t="s">
        <v>182</v>
      </c>
    </row>
    <row r="125" spans="1:30" x14ac:dyDescent="0.25">
      <c r="A125" s="33" t="s">
        <v>151</v>
      </c>
      <c r="B125" s="153">
        <v>7</v>
      </c>
      <c r="C125" s="153" t="s">
        <v>35</v>
      </c>
      <c r="D125" s="33">
        <v>110</v>
      </c>
      <c r="E125">
        <v>110</v>
      </c>
      <c r="F125" t="s">
        <v>156</v>
      </c>
      <c r="G125" t="str">
        <f>"Assorted Colors " &amp; _xlfn.XLOOKUP(Main[[#This Row],[FechaEntrega]], Guias[Fecha], Guias[Llegada])</f>
        <v>Assorted Colors (W/T)</v>
      </c>
      <c r="H125" s="1" t="s">
        <v>1035</v>
      </c>
      <c r="I125" s="235">
        <v>0.4</v>
      </c>
      <c r="J125" s="69">
        <f>_xlfn.LET(
  _xlpm.result, 1-((Main[[#This Row],[Cost]]+Main[[#This Row],[Duties]]+Main[[#This Row],[Transport]])/((Main[[#This Row],[Precio]]*0.96))),
  IF(_xlpm.result&lt;0, "BAJO", IF(_xlpm.result&gt;1, "ALTO", _xlpm.result))
)</f>
        <v>0.25195749440715876</v>
      </c>
      <c r="K125" s="131">
        <v>1.49</v>
      </c>
      <c r="L125" s="360" cm="1">
        <f t="array" aca="1" ref="L12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25" s="152">
        <f>Guias!$B$4</f>
        <v>46311</v>
      </c>
      <c r="N125" s="216">
        <f>ROUNDUP((Main[[#This Row],[Cost]]*Main[[#This Row],[Import Duties]]),2)</f>
        <v>6.9999999999999993E-2</v>
      </c>
      <c r="O125">
        <v>0</v>
      </c>
      <c r="P125">
        <v>1</v>
      </c>
      <c r="Q125">
        <v>0</v>
      </c>
      <c r="R125" s="217">
        <f>ROUNDUP(Main[[#This Row],[Transport2]]/Main[[#This Row],[Cantidad_Min]],2)</f>
        <v>0.6</v>
      </c>
      <c r="S125">
        <f>_xlfn.XLOOKUP(Main[[#This Row],[Type of Box]], Cajas[Nombre], Cajas[Largo])</f>
        <v>99</v>
      </c>
      <c r="T125">
        <f>_xlfn.XLOOKUP(Main[[#This Row],[Type of Box]], Cajas[Nombre], Cajas[Ancho])</f>
        <v>35</v>
      </c>
      <c r="U125">
        <f>_xlfn.XLOOKUP(Main[[#This Row],[Type of Box]], Cajas[Nombre], Cajas[Alto])</f>
        <v>16</v>
      </c>
      <c r="V12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5">
        <f>ROUNDUP(((Main[[#This Row],[Volumen]]*5.25))*1.36,2)</f>
        <v>65.98</v>
      </c>
      <c r="X125" s="219">
        <v>0.15859999999999999</v>
      </c>
      <c r="Y125" s="361">
        <f>Main[[#This Row],[Cantidad_Min]]*Main[[#This Row],[Precio]]*Main[[#This Row],[Qty]]</f>
        <v>1147.3</v>
      </c>
      <c r="Z125">
        <f>_xlfn.XLOOKUP(Main[[#This Row],[Finca]], Fincas[Nombre], Fincas[ID])</f>
        <v>58</v>
      </c>
      <c r="AA125" t="str" cm="1">
        <f t="array" ref="AA12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5" s="2" t="s">
        <v>33</v>
      </c>
      <c r="AC125" s="5"/>
      <c r="AD125" s="224"/>
    </row>
    <row r="126" spans="1:30" x14ac:dyDescent="0.25">
      <c r="A126" s="33" t="s">
        <v>151</v>
      </c>
      <c r="B126" s="404">
        <v>24</v>
      </c>
      <c r="C126" s="153" t="s">
        <v>35</v>
      </c>
      <c r="D126" s="33">
        <v>100</v>
      </c>
      <c r="E126">
        <v>100</v>
      </c>
      <c r="F126" t="s">
        <v>156</v>
      </c>
      <c r="G126" t="str">
        <f>"Fall Colors " &amp; _xlfn.XLOOKUP(Main[[#This Row],[FechaEntrega]], Guias[Fecha], Guias[Llegada])</f>
        <v>Fall Colors (W/T)</v>
      </c>
      <c r="H126" s="1" t="s">
        <v>1036</v>
      </c>
      <c r="I126" s="235">
        <v>0.43</v>
      </c>
      <c r="J126" s="69">
        <f>_xlfn.LET(
  _xlpm.result, 1-((Main[[#This Row],[Cost]]+Main[[#This Row],[Duties]]+Main[[#This Row],[Transport]])/((Main[[#This Row],[Precio]]*0.96))),
  IF(_xlpm.result&lt;0, "BAJO", IF(_xlpm.result&gt;1, "ALTO", _xlpm.result))
)</f>
        <v>0.24004192872117391</v>
      </c>
      <c r="K126" s="131">
        <v>1.59</v>
      </c>
      <c r="L126" s="360" cm="1">
        <f t="array" aca="1" ref="L12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26" s="152">
        <f>Guias!$B$4</f>
        <v>46311</v>
      </c>
      <c r="N126" s="216">
        <f>ROUNDUP((Main[[#This Row],[Cost]]*Main[[#This Row],[Import Duties]]),2)</f>
        <v>6.9999999999999993E-2</v>
      </c>
      <c r="O126">
        <v>0</v>
      </c>
      <c r="P126">
        <v>1</v>
      </c>
      <c r="Q126">
        <v>0</v>
      </c>
      <c r="R126" s="217">
        <f>ROUNDUP(Main[[#This Row],[Transport2]]/Main[[#This Row],[Cantidad_Min]],2)</f>
        <v>0.66</v>
      </c>
      <c r="S126">
        <f>_xlfn.XLOOKUP(Main[[#This Row],[Type of Box]], Cajas[Nombre], Cajas[Largo])</f>
        <v>99</v>
      </c>
      <c r="T126">
        <f>_xlfn.XLOOKUP(Main[[#This Row],[Type of Box]], Cajas[Nombre], Cajas[Ancho])</f>
        <v>35</v>
      </c>
      <c r="U126">
        <f>_xlfn.XLOOKUP(Main[[#This Row],[Type of Box]], Cajas[Nombre], Cajas[Alto])</f>
        <v>16</v>
      </c>
      <c r="V12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6">
        <f>ROUNDUP(((Main[[#This Row],[Volumen]]*5.25))*1.36,2)</f>
        <v>65.98</v>
      </c>
      <c r="X126" s="219">
        <v>0.15859999999999999</v>
      </c>
      <c r="Y126" s="361">
        <f>Main[[#This Row],[Cantidad_Min]]*Main[[#This Row],[Precio]]*Main[[#This Row],[Qty]]</f>
        <v>3816</v>
      </c>
      <c r="Z126">
        <f>_xlfn.XLOOKUP(Main[[#This Row],[Finca]], Fincas[Nombre], Fincas[ID])</f>
        <v>58</v>
      </c>
      <c r="AA126" t="str" cm="1">
        <f t="array" ref="AA12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6" s="2" t="s">
        <v>33</v>
      </c>
      <c r="AC126" s="5" t="s">
        <v>183</v>
      </c>
      <c r="AD126" s="226"/>
    </row>
    <row r="127" spans="1:30" x14ac:dyDescent="0.25">
      <c r="A127" s="33" t="s">
        <v>151</v>
      </c>
      <c r="B127" s="153">
        <v>5</v>
      </c>
      <c r="C127" s="153" t="s">
        <v>31</v>
      </c>
      <c r="D127" s="33">
        <v>60</v>
      </c>
      <c r="E127">
        <v>60</v>
      </c>
      <c r="F127" t="s">
        <v>184</v>
      </c>
      <c r="G127" t="str">
        <f>"Golden Glory " &amp; _xlfn.XLOOKUP(Main[[#This Row],[FechaEntrega]], Guias[Fecha], Guias[Llegada])</f>
        <v>Golden Glory (W/T)</v>
      </c>
      <c r="H127" s="1" t="s">
        <v>1037</v>
      </c>
      <c r="I127" s="235">
        <v>0.22</v>
      </c>
      <c r="J127" s="69">
        <f>_xlfn.LET(
  _xlpm.result, 1-((Main[[#This Row],[Cost]]+Main[[#This Row],[Duties]]+Main[[#This Row],[Transport]])/((Main[[#This Row],[Precio]]*0.96))),
  IF(_xlpm.result&lt;0, "BAJO", IF(_xlpm.result&gt;1, "ALTO", _xlpm.result))
)</f>
        <v>0.23844537815126043</v>
      </c>
      <c r="K127" s="131">
        <v>1.19</v>
      </c>
      <c r="L127" s="360" cm="1">
        <f t="array" aca="1" ref="L12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27" s="152">
        <f>Guias!$B$4</f>
        <v>46311</v>
      </c>
      <c r="N127" s="216">
        <f>ROUNDUP((Main[[#This Row],[Cost]]*Main[[#This Row],[Import Duties]]),2)</f>
        <v>0.04</v>
      </c>
      <c r="O127">
        <v>0</v>
      </c>
      <c r="P127">
        <v>1</v>
      </c>
      <c r="Q127">
        <v>0</v>
      </c>
      <c r="R127" s="217">
        <f>ROUNDUP(Main[[#This Row],[Transport2]]/Main[[#This Row],[Cantidad_Min]],2)</f>
        <v>0.61</v>
      </c>
      <c r="S127">
        <f>_xlfn.XLOOKUP(Main[[#This Row],[Type of Box]], Cajas[Nombre], Cajas[Largo])</f>
        <v>105</v>
      </c>
      <c r="T127">
        <f>_xlfn.XLOOKUP(Main[[#This Row],[Type of Box]], Cajas[Nombre], Cajas[Ancho])</f>
        <v>17</v>
      </c>
      <c r="U127">
        <f>_xlfn.XLOOKUP(Main[[#This Row],[Type of Box]], Cajas[Nombre], Cajas[Alto])</f>
        <v>17</v>
      </c>
      <c r="V12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27">
        <f>ROUNDUP(((Main[[#This Row],[Volumen]]*5.25))*1.36,2)</f>
        <v>36.119999999999997</v>
      </c>
      <c r="X127" s="219">
        <v>0.15859999999999999</v>
      </c>
      <c r="Y127" s="361">
        <f>Main[[#This Row],[Cantidad_Min]]*Main[[#This Row],[Precio]]*Main[[#This Row],[Qty]]</f>
        <v>356.99999999999994</v>
      </c>
      <c r="Z127">
        <f>_xlfn.XLOOKUP(Main[[#This Row],[Finca]], Fincas[Nombre], Fincas[ID])</f>
        <v>58</v>
      </c>
      <c r="AA127" t="str" cm="1">
        <f t="array" ref="AA12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7" s="2" t="s">
        <v>33</v>
      </c>
      <c r="AC127" s="5"/>
      <c r="AD127" s="225"/>
    </row>
    <row r="128" spans="1:30" x14ac:dyDescent="0.25">
      <c r="A128" s="33" t="s">
        <v>151</v>
      </c>
      <c r="B128" s="153">
        <v>1</v>
      </c>
      <c r="C128" s="153" t="s">
        <v>35</v>
      </c>
      <c r="D128" s="33">
        <v>125</v>
      </c>
      <c r="E128">
        <v>125</v>
      </c>
      <c r="F128" t="s">
        <v>89</v>
      </c>
      <c r="G128" t="str">
        <f>"Explorer " &amp; _xlfn.XLOOKUP(Main[[#This Row],[FechaEntrega]], Guias[Fecha], Guias[Llegada])</f>
        <v>Explorer (T/W)</v>
      </c>
      <c r="H128" s="1" t="s">
        <v>1038</v>
      </c>
      <c r="I128" s="235">
        <v>0.38</v>
      </c>
      <c r="J128" s="69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28" s="131">
        <f>IF(OR(AND(ISNUMBER(FIND("(*PAR)",
UPPER(Main[[#This Row],[Standing Orders]]))),
MOD(IFERROR(VALUE(Guias!$M$2),0),2)=0),
AND(ISNUMBER(FIND("(*IMPAR)",
UPPER(Main[[#This Row],[Standing Orders]]))),
MOD(IFERROR(VALUE(Guias!$M$2),
0),2)=1)), 1.39, 1.39)</f>
        <v>1.39</v>
      </c>
      <c r="L128" s="360" cm="1">
        <f t="array" aca="1" ref="L12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28" s="152">
        <f>Guias!$B$3</f>
        <v>46310</v>
      </c>
      <c r="N128" s="216">
        <f>ROUNDUP((Main[[#This Row],[Cost]]*Main[[#This Row],[Import Duties]]),2)</f>
        <v>6.9999999999999993E-2</v>
      </c>
      <c r="O128">
        <v>0</v>
      </c>
      <c r="P128">
        <v>1</v>
      </c>
      <c r="Q128">
        <v>0</v>
      </c>
      <c r="R128" s="217">
        <f>ROUNDUP(Main[[#This Row],[Transport2]]/Main[[#This Row],[Cantidad_Min]],2)</f>
        <v>0.53</v>
      </c>
      <c r="S128">
        <f>_xlfn.XLOOKUP(Main[[#This Row],[Type of Box]], Cajas[Nombre], Cajas[Largo])</f>
        <v>99</v>
      </c>
      <c r="T128">
        <f>_xlfn.XLOOKUP(Main[[#This Row],[Type of Box]], Cajas[Nombre], Cajas[Ancho])</f>
        <v>35</v>
      </c>
      <c r="U128">
        <f>_xlfn.XLOOKUP(Main[[#This Row],[Type of Box]], Cajas[Nombre], Cajas[Alto])</f>
        <v>16</v>
      </c>
      <c r="V12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8">
        <f>ROUNDUP(((Main[[#This Row],[Volumen]]*5.25))*1.36,2)</f>
        <v>65.98</v>
      </c>
      <c r="X128" s="219">
        <v>0.15859999999999999</v>
      </c>
      <c r="Y128" s="361">
        <f>Main[[#This Row],[Cantidad_Min]]*Main[[#This Row],[Precio]]*Main[[#This Row],[Qty]]</f>
        <v>173.75</v>
      </c>
      <c r="Z128">
        <f>_xlfn.XLOOKUP(Main[[#This Row],[Finca]], Fincas[Nombre], Fincas[ID])</f>
        <v>58</v>
      </c>
      <c r="AA128" t="str" cm="1">
        <f t="array" ref="AA12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28" s="2" t="s">
        <v>33</v>
      </c>
      <c r="AC128" s="5"/>
      <c r="AD128" s="224"/>
    </row>
    <row r="129" spans="1:30" x14ac:dyDescent="0.25">
      <c r="A129" s="33" t="s">
        <v>151</v>
      </c>
      <c r="B129" s="153">
        <v>1</v>
      </c>
      <c r="C129" s="153" t="s">
        <v>35</v>
      </c>
      <c r="D129" s="33">
        <v>125</v>
      </c>
      <c r="E129">
        <v>125</v>
      </c>
      <c r="F129" t="s">
        <v>55</v>
      </c>
      <c r="G129" t="str">
        <f>"Freedom " &amp; _xlfn.XLOOKUP(Main[[#This Row],[FechaEntrega]], Guias[Fecha], Guias[Llegada])</f>
        <v>Freedom (T/W)</v>
      </c>
      <c r="H129" s="1" t="s">
        <v>1039</v>
      </c>
      <c r="I129" s="235">
        <v>0.3</v>
      </c>
      <c r="J129" s="69">
        <f>_xlfn.LET(
  _xlpm.result, 1-((Main[[#This Row],[Cost]]+Main[[#This Row],[Duties]]+Main[[#This Row],[Transport]])/((Main[[#This Row],[Precio]]*0.96))),
  IF(_xlpm.result&lt;0, "BAJO", IF(_xlpm.result&gt;1, "ALTO", _xlpm.result))
)</f>
        <v>0.28940568475452189</v>
      </c>
      <c r="K129" s="131">
        <f>IF(OR(AND(ISNUMBER(FIND("(*PAR)",
UPPER(Main[[#This Row],[Standing Orders]]))),
MOD(IFERROR(VALUE(Guias!$M$2),0),2)=0),
AND(ISNUMBER(FIND("(*IMPAR)",
UPPER(Main[[#This Row],[Standing Orders]]))),
MOD(IFERROR(VALUE(Guias!$M$2),
0),2)=1)), 1.3, 1.29)</f>
        <v>1.29</v>
      </c>
      <c r="L129" s="360" cm="1">
        <f t="array" aca="1" ref="L12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29" s="152">
        <f>Guias!$B$3</f>
        <v>46310</v>
      </c>
      <c r="N129" s="216">
        <f>ROUNDUP((Main[[#This Row],[Cost]]*Main[[#This Row],[Import Duties]]),2)</f>
        <v>0.05</v>
      </c>
      <c r="O129">
        <v>0</v>
      </c>
      <c r="P129">
        <v>1</v>
      </c>
      <c r="Q129">
        <v>0</v>
      </c>
      <c r="R129" s="217">
        <f>ROUNDUP(Main[[#This Row],[Transport2]]/Main[[#This Row],[Cantidad_Min]],2)</f>
        <v>0.53</v>
      </c>
      <c r="S129">
        <f>_xlfn.XLOOKUP(Main[[#This Row],[Type of Box]], Cajas[Nombre], Cajas[Largo])</f>
        <v>99</v>
      </c>
      <c r="T129">
        <f>_xlfn.XLOOKUP(Main[[#This Row],[Type of Box]], Cajas[Nombre], Cajas[Ancho])</f>
        <v>35</v>
      </c>
      <c r="U129">
        <f>_xlfn.XLOOKUP(Main[[#This Row],[Type of Box]], Cajas[Nombre], Cajas[Alto])</f>
        <v>16</v>
      </c>
      <c r="V12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29">
        <f>ROUNDUP(((Main[[#This Row],[Volumen]]*5.25))*1.36,2)</f>
        <v>65.98</v>
      </c>
      <c r="X129" s="219">
        <v>0.15859999999999999</v>
      </c>
      <c r="Y129" s="361">
        <f>Main[[#This Row],[Cantidad_Min]]*Main[[#This Row],[Precio]]*Main[[#This Row],[Qty]]</f>
        <v>161.25</v>
      </c>
      <c r="Z129">
        <f>_xlfn.XLOOKUP(Main[[#This Row],[Finca]], Fincas[Nombre], Fincas[ID])</f>
        <v>58</v>
      </c>
      <c r="AA129" t="str" cm="1">
        <f t="array" ref="AA12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29" s="2" t="s">
        <v>33</v>
      </c>
      <c r="AC129" s="5"/>
      <c r="AD129" t="s">
        <v>125</v>
      </c>
    </row>
    <row r="130" spans="1:30" x14ac:dyDescent="0.25">
      <c r="A130" s="33" t="s">
        <v>151</v>
      </c>
      <c r="B130" s="153">
        <v>1</v>
      </c>
      <c r="C130" s="153" t="s">
        <v>35</v>
      </c>
      <c r="D130" s="33">
        <v>125</v>
      </c>
      <c r="E130">
        <v>125</v>
      </c>
      <c r="F130" t="s">
        <v>55</v>
      </c>
      <c r="G130" t="str">
        <f>"25 Madam Red/25 Shocking Blue/25 Madam Cerise/25 Peach Wave/25 Vendela " &amp; _xlfn.XLOOKUP(Main[[#This Row],[FechaEntrega]], Guias[Fecha], Guias[Llegada])</f>
        <v>25 Madam Red/25 Shocking Blue/25 Madam Cerise/25 Peach Wave/25 Vendela (T/W)</v>
      </c>
      <c r="H130" s="1" t="s">
        <v>1040</v>
      </c>
      <c r="I130" s="235">
        <v>0.38</v>
      </c>
      <c r="J130" s="69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30" s="131">
        <v>1.39</v>
      </c>
      <c r="L130" s="360" cm="1">
        <f t="array" aca="1" ref="L13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0" s="152">
        <f>Guias!$B$3</f>
        <v>46310</v>
      </c>
      <c r="N130" s="216">
        <f>ROUNDUP((Main[[#This Row],[Cost]]*Main[[#This Row],[Import Duties]]),2)</f>
        <v>6.9999999999999993E-2</v>
      </c>
      <c r="O130">
        <v>0</v>
      </c>
      <c r="P130">
        <v>1</v>
      </c>
      <c r="Q130">
        <v>0</v>
      </c>
      <c r="R130" s="217">
        <f>ROUNDUP(Main[[#This Row],[Transport2]]/Main[[#This Row],[Cantidad_Min]],2)</f>
        <v>0.53</v>
      </c>
      <c r="S130">
        <f>_xlfn.XLOOKUP(Main[[#This Row],[Type of Box]], Cajas[Nombre], Cajas[Largo])</f>
        <v>99</v>
      </c>
      <c r="T130">
        <f>_xlfn.XLOOKUP(Main[[#This Row],[Type of Box]], Cajas[Nombre], Cajas[Ancho])</f>
        <v>35</v>
      </c>
      <c r="U130">
        <f>_xlfn.XLOOKUP(Main[[#This Row],[Type of Box]], Cajas[Nombre], Cajas[Alto])</f>
        <v>16</v>
      </c>
      <c r="V13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0">
        <f>ROUNDUP(((Main[[#This Row],[Volumen]]*5.25))*1.36,2)</f>
        <v>65.98</v>
      </c>
      <c r="X130" s="219">
        <v>0.15859999999999999</v>
      </c>
      <c r="Y130" s="361">
        <f>Main[[#This Row],[Cantidad_Min]]*Main[[#This Row],[Precio]]*Main[[#This Row],[Qty]]</f>
        <v>173.75</v>
      </c>
      <c r="Z130">
        <f>_xlfn.XLOOKUP(Main[[#This Row],[Finca]], Fincas[Nombre], Fincas[ID])</f>
        <v>58</v>
      </c>
      <c r="AA130" t="str" cm="1">
        <f t="array" ref="AA13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0" s="2" t="s">
        <v>33</v>
      </c>
      <c r="AC130" s="5"/>
      <c r="AD130" s="226"/>
    </row>
    <row r="131" spans="1:30" x14ac:dyDescent="0.25">
      <c r="A131" s="33" t="s">
        <v>151</v>
      </c>
      <c r="B131" s="153">
        <v>2</v>
      </c>
      <c r="C131" s="153" t="s">
        <v>35</v>
      </c>
      <c r="D131" s="33">
        <v>125</v>
      </c>
      <c r="E131">
        <v>125</v>
      </c>
      <c r="F131" t="s">
        <v>106</v>
      </c>
      <c r="G131" t="str">
        <f>"25 Country Blues/25 Freedom/25 Goldfinch/25 Matchpoint/25 Orange Crush " &amp; _xlfn.XLOOKUP(Main[[#This Row],[FechaEntrega]], Guias[Fecha], Guias[Llegada])</f>
        <v>25 Country Blues/25 Freedom/25 Goldfinch/25 Matchpoint/25 Orange Crush (T/W)</v>
      </c>
      <c r="H131" s="1" t="s">
        <v>1041</v>
      </c>
      <c r="I131" s="235">
        <v>0.4</v>
      </c>
      <c r="J131" s="69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131" s="131">
        <v>1.39</v>
      </c>
      <c r="L131" s="360" cm="1">
        <f t="array" aca="1" ref="L13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1" s="152">
        <f>Guias!$B$3</f>
        <v>46310</v>
      </c>
      <c r="N131" s="216">
        <f>ROUNDUP((Main[[#This Row],[Cost]]*Main[[#This Row],[Import Duties]]),2)</f>
        <v>6.9999999999999993E-2</v>
      </c>
      <c r="O131">
        <v>0</v>
      </c>
      <c r="P131">
        <v>1</v>
      </c>
      <c r="Q131">
        <v>0</v>
      </c>
      <c r="R131" s="217">
        <f>ROUNDUP(Main[[#This Row],[Transport2]]/Main[[#This Row],[Cantidad_Min]],2)</f>
        <v>0.53</v>
      </c>
      <c r="S131">
        <f>_xlfn.XLOOKUP(Main[[#This Row],[Type of Box]], Cajas[Nombre], Cajas[Largo])</f>
        <v>99</v>
      </c>
      <c r="T131">
        <f>_xlfn.XLOOKUP(Main[[#This Row],[Type of Box]], Cajas[Nombre], Cajas[Ancho])</f>
        <v>35</v>
      </c>
      <c r="U131">
        <f>_xlfn.XLOOKUP(Main[[#This Row],[Type of Box]], Cajas[Nombre], Cajas[Alto])</f>
        <v>16</v>
      </c>
      <c r="V13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1">
        <f>ROUNDUP(((Main[[#This Row],[Volumen]]*5.25))*1.36,2)</f>
        <v>65.98</v>
      </c>
      <c r="X131" s="219">
        <v>0.15859999999999999</v>
      </c>
      <c r="Y131" s="361">
        <f>Main[[#This Row],[Cantidad_Min]]*Main[[#This Row],[Precio]]*Main[[#This Row],[Qty]]</f>
        <v>347.5</v>
      </c>
      <c r="Z131">
        <f>_xlfn.XLOOKUP(Main[[#This Row],[Finca]], Fincas[Nombre], Fincas[ID])</f>
        <v>58</v>
      </c>
      <c r="AA131" t="str" cm="1">
        <f t="array" ref="AA13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1" s="2" t="s">
        <v>33</v>
      </c>
      <c r="AC131" s="5"/>
      <c r="AD131" s="226"/>
    </row>
    <row r="132" spans="1:30" x14ac:dyDescent="0.25">
      <c r="A132" s="33" t="s">
        <v>151</v>
      </c>
      <c r="B132" s="153">
        <v>2</v>
      </c>
      <c r="C132" s="153" t="s">
        <v>35</v>
      </c>
      <c r="D132" s="33">
        <v>125</v>
      </c>
      <c r="E132">
        <v>125</v>
      </c>
      <c r="F132" t="s">
        <v>55</v>
      </c>
      <c r="G132" t="str">
        <f>"Orange Crush/Madame Red/Matchpoint/Shocking Blue/Peach Wave " &amp; _xlfn.XLOOKUP(Main[[#This Row],[FechaEntrega]], Guias[Fecha], Guias[Llegada])</f>
        <v>Orange Crush/Madame Red/Matchpoint/Shocking Blue/Peach Wave (T/W)</v>
      </c>
      <c r="H132" s="1" t="s">
        <v>1042</v>
      </c>
      <c r="I132" s="235">
        <v>0.38</v>
      </c>
      <c r="J132" s="69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32" s="131">
        <v>1.39</v>
      </c>
      <c r="L132" s="360" cm="1">
        <f t="array" aca="1" ref="L13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2" s="152">
        <f>Guias!$B$3</f>
        <v>46310</v>
      </c>
      <c r="N132" s="216">
        <f>ROUNDUP((Main[[#This Row],[Cost]]*Main[[#This Row],[Import Duties]]),2)</f>
        <v>6.9999999999999993E-2</v>
      </c>
      <c r="O132">
        <v>0</v>
      </c>
      <c r="P132">
        <v>1</v>
      </c>
      <c r="Q132">
        <v>0</v>
      </c>
      <c r="R132" s="217">
        <f>ROUNDUP(Main[[#This Row],[Transport2]]/Main[[#This Row],[Cantidad_Min]],2)</f>
        <v>0.53</v>
      </c>
      <c r="S132">
        <f>_xlfn.XLOOKUP(Main[[#This Row],[Type of Box]], Cajas[Nombre], Cajas[Largo])</f>
        <v>99</v>
      </c>
      <c r="T132">
        <f>_xlfn.XLOOKUP(Main[[#This Row],[Type of Box]], Cajas[Nombre], Cajas[Ancho])</f>
        <v>35</v>
      </c>
      <c r="U132">
        <f>_xlfn.XLOOKUP(Main[[#This Row],[Type of Box]], Cajas[Nombre], Cajas[Alto])</f>
        <v>16</v>
      </c>
      <c r="V13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2">
        <f>ROUNDUP(((Main[[#This Row],[Volumen]]*5.25))*1.36,2)</f>
        <v>65.98</v>
      </c>
      <c r="X132" s="219">
        <v>0.15859999999999999</v>
      </c>
      <c r="Y132" s="361">
        <f>Main[[#This Row],[Cantidad_Min]]*Main[[#This Row],[Precio]]*Main[[#This Row],[Qty]]</f>
        <v>347.5</v>
      </c>
      <c r="Z132">
        <f>_xlfn.XLOOKUP(Main[[#This Row],[Finca]], Fincas[Nombre], Fincas[ID])</f>
        <v>58</v>
      </c>
      <c r="AA132" t="str" cm="1">
        <f t="array" ref="AA13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2" s="2" t="s">
        <v>33</v>
      </c>
      <c r="AC132" s="5"/>
      <c r="AD132" s="226"/>
    </row>
    <row r="133" spans="1:30" x14ac:dyDescent="0.25">
      <c r="A133" s="33" t="s">
        <v>151</v>
      </c>
      <c r="B133" s="153">
        <v>2</v>
      </c>
      <c r="C133" s="153" t="s">
        <v>35</v>
      </c>
      <c r="D133" s="33">
        <v>125</v>
      </c>
      <c r="E133">
        <v>125</v>
      </c>
      <c r="F133" t="s">
        <v>55</v>
      </c>
      <c r="G133" t="str">
        <f>"Madame Cerise/Vendela/Goldfinch/Freedom/Country Blues " &amp; _xlfn.XLOOKUP(Main[[#This Row],[FechaEntrega]], Guias[Fecha], Guias[Llegada])</f>
        <v>Madame Cerise/Vendela/Goldfinch/Freedom/Country Blues (T/W)</v>
      </c>
      <c r="H133" s="1" t="s">
        <v>1043</v>
      </c>
      <c r="I133" s="235">
        <v>0.38</v>
      </c>
      <c r="J133" s="69">
        <f>_xlfn.LET(
  _xlpm.result, 1-((Main[[#This Row],[Cost]]+Main[[#This Row],[Duties]]+Main[[#This Row],[Transport]])/((Main[[#This Row],[Precio]]*0.96))),
  IF(_xlpm.result&lt;0, "BAJO", IF(_xlpm.result&gt;1, "ALTO", _xlpm.result))
)</f>
        <v>0.26558752997601909</v>
      </c>
      <c r="K133" s="131">
        <v>1.39</v>
      </c>
      <c r="L133" s="360" cm="1">
        <f t="array" aca="1" ref="L13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3" s="152">
        <f>Guias!$B$3</f>
        <v>46310</v>
      </c>
      <c r="N133" s="216">
        <f>ROUNDUP((Main[[#This Row],[Cost]]*Main[[#This Row],[Import Duties]]),2)</f>
        <v>6.9999999999999993E-2</v>
      </c>
      <c r="O133">
        <v>0</v>
      </c>
      <c r="P133">
        <v>1</v>
      </c>
      <c r="Q133">
        <v>0</v>
      </c>
      <c r="R133" s="217">
        <f>ROUNDUP(Main[[#This Row],[Transport2]]/Main[[#This Row],[Cantidad_Min]],2)</f>
        <v>0.53</v>
      </c>
      <c r="S133">
        <f>_xlfn.XLOOKUP(Main[[#This Row],[Type of Box]], Cajas[Nombre], Cajas[Largo])</f>
        <v>99</v>
      </c>
      <c r="T133">
        <f>_xlfn.XLOOKUP(Main[[#This Row],[Type of Box]], Cajas[Nombre], Cajas[Ancho])</f>
        <v>35</v>
      </c>
      <c r="U133">
        <f>_xlfn.XLOOKUP(Main[[#This Row],[Type of Box]], Cajas[Nombre], Cajas[Alto])</f>
        <v>16</v>
      </c>
      <c r="V1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3">
        <f>ROUNDUP(((Main[[#This Row],[Volumen]]*5.25))*1.36,2)</f>
        <v>65.98</v>
      </c>
      <c r="X133" s="219">
        <v>0.15859999999999999</v>
      </c>
      <c r="Y133" s="361">
        <f>Main[[#This Row],[Cantidad_Min]]*Main[[#This Row],[Precio]]*Main[[#This Row],[Qty]]</f>
        <v>347.5</v>
      </c>
      <c r="Z133">
        <f>_xlfn.XLOOKUP(Main[[#This Row],[Finca]], Fincas[Nombre], Fincas[ID])</f>
        <v>58</v>
      </c>
      <c r="AA133" t="str" cm="1">
        <f t="array" ref="AA13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3" s="2" t="s">
        <v>33</v>
      </c>
      <c r="AC133" s="5"/>
      <c r="AD133" s="226"/>
    </row>
    <row r="134" spans="1:30" x14ac:dyDescent="0.25">
      <c r="A134" s="33" t="s">
        <v>151</v>
      </c>
      <c r="B134" s="153">
        <v>3</v>
      </c>
      <c r="C134" s="153" t="s">
        <v>35</v>
      </c>
      <c r="D134" s="33">
        <v>1</v>
      </c>
      <c r="E134">
        <v>1</v>
      </c>
      <c r="F134" t="s">
        <v>185</v>
      </c>
      <c r="G134" t="str">
        <f>"Oriental Lilies/Roselilies/Mums/Spray Mums/Ruscus x 100 " &amp; _xlfn.XLOOKUP(Main[[#This Row],[FechaEntrega]], Guias[Fecha], Guias[Llegada])</f>
        <v>Oriental Lilies/Roselilies/Mums/Spray Mums/Ruscus x 100 (T/W)</v>
      </c>
      <c r="H134" s="1" t="s">
        <v>1044</v>
      </c>
      <c r="I134" s="235">
        <v>51.65</v>
      </c>
      <c r="J134" s="69">
        <f>_xlfn.LET(
  _xlpm.result, 1-((Main[[#This Row],[Cost]]+Main[[#This Row],[Duties]]+Main[[#This Row],[Transport]])/((Main[[#This Row],[Precio]]*0.96))),
  IF(_xlpm.result&lt;0, "BAJO", IF(_xlpm.result&gt;1, "ALTO", _xlpm.result))
)</f>
        <v>0.26774906890130357</v>
      </c>
      <c r="K134" s="131">
        <v>179</v>
      </c>
      <c r="L134" s="360" cm="1">
        <f t="array" aca="1" ref="L13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4" s="152">
        <f>Guias!$B$3</f>
        <v>46310</v>
      </c>
      <c r="N134" s="216">
        <f>ROUNDUP((Main[[#This Row],[Cost]]*Main[[#This Row],[Import Duties]]),2)</f>
        <v>8.1999999999999993</v>
      </c>
      <c r="O134">
        <v>0</v>
      </c>
      <c r="P134">
        <v>1</v>
      </c>
      <c r="Q134">
        <v>0</v>
      </c>
      <c r="R134" s="217">
        <f>ROUNDUP(Main[[#This Row],[Transport2]]/Main[[#This Row],[Cantidad_Min]],2)</f>
        <v>65.98</v>
      </c>
      <c r="S134">
        <f>_xlfn.XLOOKUP(Main[[#This Row],[Type of Box]], Cajas[Nombre], Cajas[Largo])</f>
        <v>99</v>
      </c>
      <c r="T134">
        <f>_xlfn.XLOOKUP(Main[[#This Row],[Type of Box]], Cajas[Nombre], Cajas[Ancho])</f>
        <v>35</v>
      </c>
      <c r="U134">
        <f>_xlfn.XLOOKUP(Main[[#This Row],[Type of Box]], Cajas[Nombre], Cajas[Alto])</f>
        <v>16</v>
      </c>
      <c r="V13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4">
        <f>ROUNDUP(((Main[[#This Row],[Volumen]]*5.25))*1.36,2)</f>
        <v>65.98</v>
      </c>
      <c r="X134" s="219">
        <v>0.15859999999999999</v>
      </c>
      <c r="Y134" s="361">
        <f>Main[[#This Row],[Cantidad_Min]]*Main[[#This Row],[Precio]]*Main[[#This Row],[Qty]]</f>
        <v>537</v>
      </c>
      <c r="Z134">
        <f>_xlfn.XLOOKUP(Main[[#This Row],[Finca]], Fincas[Nombre], Fincas[ID])</f>
        <v>58</v>
      </c>
      <c r="AA134" t="str" cm="1">
        <f t="array" ref="AA13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4" s="2" t="s">
        <v>33</v>
      </c>
      <c r="AC134" s="5" t="s">
        <v>186</v>
      </c>
      <c r="AD134" s="225"/>
    </row>
    <row r="135" spans="1:30" x14ac:dyDescent="0.25">
      <c r="A135" s="33" t="s">
        <v>151</v>
      </c>
      <c r="B135" s="153">
        <v>3</v>
      </c>
      <c r="C135" s="153" t="s">
        <v>35</v>
      </c>
      <c r="D135" s="33">
        <v>1</v>
      </c>
      <c r="E135">
        <v>1</v>
      </c>
      <c r="F135" t="s">
        <v>187</v>
      </c>
      <c r="G135" t="str">
        <f>"Alstroemeria/Delphinium/Spray Roses x 120 " &amp; _xlfn.XLOOKUP(Main[[#This Row],[FechaEntrega]], Guias[Fecha], Guias[Llegada])</f>
        <v>Alstroemeria/Delphinium/Spray Roses x 120 (T/W)</v>
      </c>
      <c r="H135" s="1" t="s">
        <v>1045</v>
      </c>
      <c r="I135" s="235">
        <v>43</v>
      </c>
      <c r="J135" s="69">
        <f>_xlfn.LET(
  _xlpm.result, 1-((Main[[#This Row],[Cost]]+Main[[#This Row],[Duties]]+Main[[#This Row],[Transport]])/((Main[[#This Row],[Precio]]*0.96))),
  IF(_xlpm.result&lt;0, "BAJO", IF(_xlpm.result&gt;1, "ALTO", _xlpm.result))
)</f>
        <v>0.2460466279142447</v>
      </c>
      <c r="K135" s="131">
        <v>159.99</v>
      </c>
      <c r="L135" s="360" cm="1">
        <f t="array" aca="1" ref="L13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5" s="152">
        <f>Guias!$B$3</f>
        <v>46310</v>
      </c>
      <c r="N135" s="216">
        <f>ROUNDUP((Main[[#This Row],[Cost]]*Main[[#This Row],[Import Duties]]),2)</f>
        <v>6.8199999999999994</v>
      </c>
      <c r="O135">
        <v>0</v>
      </c>
      <c r="P135">
        <v>1</v>
      </c>
      <c r="Q135">
        <v>0</v>
      </c>
      <c r="R135" s="217">
        <f>ROUNDUP(Main[[#This Row],[Transport2]]/Main[[#This Row],[Cantidad_Min]],2)</f>
        <v>65.98</v>
      </c>
      <c r="S135">
        <f>_xlfn.XLOOKUP(Main[[#This Row],[Type of Box]], Cajas[Nombre], Cajas[Largo])</f>
        <v>99</v>
      </c>
      <c r="T135">
        <f>_xlfn.XLOOKUP(Main[[#This Row],[Type of Box]], Cajas[Nombre], Cajas[Ancho])</f>
        <v>35</v>
      </c>
      <c r="U135">
        <f>_xlfn.XLOOKUP(Main[[#This Row],[Type of Box]], Cajas[Nombre], Cajas[Alto])</f>
        <v>16</v>
      </c>
      <c r="V13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5">
        <f>ROUNDUP(((Main[[#This Row],[Volumen]]*5.25))*1.36,2)</f>
        <v>65.98</v>
      </c>
      <c r="X135" s="219">
        <v>0.15859999999999999</v>
      </c>
      <c r="Y135" s="361">
        <f>Main[[#This Row],[Cantidad_Min]]*Main[[#This Row],[Precio]]*Main[[#This Row],[Qty]]</f>
        <v>479.97</v>
      </c>
      <c r="Z135">
        <f>_xlfn.XLOOKUP(Main[[#This Row],[Finca]], Fincas[Nombre], Fincas[ID])</f>
        <v>58</v>
      </c>
      <c r="AA135" t="str" cm="1">
        <f t="array" ref="AA13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5" s="2" t="s">
        <v>33</v>
      </c>
      <c r="AC135" s="5" t="s">
        <v>188</v>
      </c>
      <c r="AD135" s="405"/>
    </row>
    <row r="136" spans="1:30" x14ac:dyDescent="0.25">
      <c r="A136" s="33" t="s">
        <v>151</v>
      </c>
      <c r="B136" s="153">
        <v>3</v>
      </c>
      <c r="C136" s="153" t="s">
        <v>35</v>
      </c>
      <c r="D136" s="33">
        <v>1</v>
      </c>
      <c r="E136">
        <v>1</v>
      </c>
      <c r="F136" t="s">
        <v>189</v>
      </c>
      <c r="G136" t="str">
        <f>"30 Gypso/40 Solidago/40 Lpidium/30 Glaminis  x 140 " &amp; _xlfn.XLOOKUP(Main[[#This Row],[FechaEntrega]], Guias[Fecha], Guias[Llegada])</f>
        <v>30 Gypso/40 Solidago/40 Lpidium/30 Glaminis  x 140 (T/W)</v>
      </c>
      <c r="H136" s="1" t="s">
        <v>1046</v>
      </c>
      <c r="I136" s="235">
        <v>41</v>
      </c>
      <c r="J136" s="69">
        <f>_xlfn.LET(
  _xlpm.result, 1-((Main[[#This Row],[Cost]]+Main[[#This Row],[Duties]]+Main[[#This Row],[Transport]])/((Main[[#This Row],[Precio]]*0.96))),
  IF(_xlpm.result&lt;0, "BAJO", IF(_xlpm.result&gt;1, "ALTO", _xlpm.result))
)</f>
        <v>0.26108663041440094</v>
      </c>
      <c r="K136" s="131">
        <v>159.99</v>
      </c>
      <c r="L136" s="360" cm="1">
        <f t="array" aca="1" ref="L13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6" s="152">
        <f>Guias!$B$3</f>
        <v>46310</v>
      </c>
      <c r="N136" s="216">
        <f>ROUNDUP((Main[[#This Row],[Cost]]*Main[[#This Row],[Import Duties]]),2)</f>
        <v>6.51</v>
      </c>
      <c r="O136">
        <v>0</v>
      </c>
      <c r="P136">
        <v>1</v>
      </c>
      <c r="Q136">
        <v>0</v>
      </c>
      <c r="R136" s="217">
        <f>ROUNDUP(Main[[#This Row],[Transport2]]/Main[[#This Row],[Cantidad_Min]],2)</f>
        <v>65.98</v>
      </c>
      <c r="S136">
        <f>_xlfn.XLOOKUP(Main[[#This Row],[Type of Box]], Cajas[Nombre], Cajas[Largo])</f>
        <v>99</v>
      </c>
      <c r="T136">
        <f>_xlfn.XLOOKUP(Main[[#This Row],[Type of Box]], Cajas[Nombre], Cajas[Ancho])</f>
        <v>35</v>
      </c>
      <c r="U136">
        <f>_xlfn.XLOOKUP(Main[[#This Row],[Type of Box]], Cajas[Nombre], Cajas[Alto])</f>
        <v>16</v>
      </c>
      <c r="V13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6">
        <f>ROUNDUP(((Main[[#This Row],[Volumen]]*5.25))*1.36,2)</f>
        <v>65.98</v>
      </c>
      <c r="X136" s="219">
        <v>0.15859999999999999</v>
      </c>
      <c r="Y136" s="361">
        <f>Main[[#This Row],[Cantidad_Min]]*Main[[#This Row],[Precio]]*Main[[#This Row],[Qty]]</f>
        <v>479.97</v>
      </c>
      <c r="Z136">
        <f>_xlfn.XLOOKUP(Main[[#This Row],[Finca]], Fincas[Nombre], Fincas[ID])</f>
        <v>58</v>
      </c>
      <c r="AA136" t="str" cm="1">
        <f t="array" ref="AA13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6" s="2" t="s">
        <v>33</v>
      </c>
      <c r="AC136" s="5" t="s">
        <v>190</v>
      </c>
      <c r="AD136" s="225"/>
    </row>
    <row r="137" spans="1:30" x14ac:dyDescent="0.25">
      <c r="A137" s="33" t="s">
        <v>151</v>
      </c>
      <c r="B137" s="153">
        <v>4</v>
      </c>
      <c r="C137" s="153" t="s">
        <v>35</v>
      </c>
      <c r="D137" s="33">
        <v>60</v>
      </c>
      <c r="E137">
        <v>60</v>
      </c>
      <c r="F137" t="s">
        <v>191</v>
      </c>
      <c r="G137" t="str">
        <f>"White " &amp; _xlfn.XLOOKUP(Main[[#This Row],[FechaEntrega]], Guias[Fecha], Guias[Llegada])</f>
        <v>White (T/W)</v>
      </c>
      <c r="H137" s="1" t="s">
        <v>1047</v>
      </c>
      <c r="I137" s="235">
        <v>0.35</v>
      </c>
      <c r="J137" s="69">
        <f>_xlfn.LET(
  _xlpm.result, 1-((Main[[#This Row],[Cost]]+Main[[#This Row],[Duties]]+Main[[#This Row],[Transport]])/((Main[[#This Row],[Precio]]*0.96))),
  IF(_xlpm.result&lt;0, "BAJO", IF(_xlpm.result&gt;1, "ALTO", _xlpm.result))
)</f>
        <v>0.30092592592592593</v>
      </c>
      <c r="K137" s="131">
        <v>2.25</v>
      </c>
      <c r="L137" s="360" cm="1">
        <f t="array" aca="1" ref="L13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7" s="152">
        <f>Guias!$B$3</f>
        <v>46310</v>
      </c>
      <c r="N137" s="216">
        <f>ROUNDUP((Main[[#This Row],[Cost]]*Main[[#This Row],[Import Duties]]),2)</f>
        <v>6.0000000000000005E-2</v>
      </c>
      <c r="O137">
        <v>0</v>
      </c>
      <c r="P137">
        <v>1</v>
      </c>
      <c r="Q137">
        <v>0</v>
      </c>
      <c r="R137" s="217">
        <f>ROUNDUP(Main[[#This Row],[Transport2]]/Main[[#This Row],[Cantidad_Min]],2)</f>
        <v>1.1000000000000001</v>
      </c>
      <c r="S137">
        <f>_xlfn.XLOOKUP(Main[[#This Row],[Type of Box]], Cajas[Nombre], Cajas[Largo])</f>
        <v>99</v>
      </c>
      <c r="T137">
        <f>_xlfn.XLOOKUP(Main[[#This Row],[Type of Box]], Cajas[Nombre], Cajas[Ancho])</f>
        <v>35</v>
      </c>
      <c r="U137">
        <f>_xlfn.XLOOKUP(Main[[#This Row],[Type of Box]], Cajas[Nombre], Cajas[Alto])</f>
        <v>16</v>
      </c>
      <c r="V13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37">
        <f>ROUNDUP(((Main[[#This Row],[Volumen]]*5.25))*1.36,2)</f>
        <v>65.98</v>
      </c>
      <c r="X137" s="219">
        <v>0.15859999999999999</v>
      </c>
      <c r="Y137" s="361">
        <f>Main[[#This Row],[Cantidad_Min]]*Main[[#This Row],[Precio]]*Main[[#This Row],[Qty]]</f>
        <v>540</v>
      </c>
      <c r="Z137">
        <f>_xlfn.XLOOKUP(Main[[#This Row],[Finca]], Fincas[Nombre], Fincas[ID])</f>
        <v>58</v>
      </c>
      <c r="AA137" t="str" cm="1">
        <f t="array" ref="AA13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7" s="2" t="s">
        <v>33</v>
      </c>
      <c r="AC137" s="5"/>
      <c r="AD137" s="224"/>
    </row>
    <row r="138" spans="1:30" x14ac:dyDescent="0.25">
      <c r="A138" s="33" t="s">
        <v>151</v>
      </c>
      <c r="B138" s="153">
        <v>5</v>
      </c>
      <c r="C138" s="153" t="s">
        <v>31</v>
      </c>
      <c r="D138" s="33">
        <v>6</v>
      </c>
      <c r="E138">
        <v>6</v>
      </c>
      <c r="F138" t="s">
        <v>74</v>
      </c>
      <c r="G138" t="str">
        <f>"250rg. " &amp; _xlfn.XLOOKUP(Main[[#This Row],[FechaEntrega]], Guias[Fecha], Guias[Llegada])</f>
        <v>250rg. (T/W)</v>
      </c>
      <c r="H138" s="1" t="s">
        <v>1048</v>
      </c>
      <c r="I138" s="235">
        <v>2.2000000000000002</v>
      </c>
      <c r="J138" s="69">
        <f>_xlfn.LET(
  _xlpm.result, 1-((Main[[#This Row],[Cost]]+Main[[#This Row],[Duties]]+Main[[#This Row],[Transport]])/((Main[[#This Row],[Precio]]*0.96))),
  IF(_xlpm.result&lt;0, "BAJO", IF(_xlpm.result&gt;1, "ALTO", _xlpm.result))
)</f>
        <v>0.25545593550180712</v>
      </c>
      <c r="K138" s="131">
        <v>11.99</v>
      </c>
      <c r="L138" s="360" cm="1">
        <f t="array" aca="1" ref="L13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8" s="152">
        <f>Guias!$B$3</f>
        <v>46310</v>
      </c>
      <c r="N138" s="216">
        <f>ROUNDUP((Main[[#This Row],[Cost]]*Main[[#This Row],[Import Duties]]),2)</f>
        <v>0.35000000000000003</v>
      </c>
      <c r="O138">
        <v>0</v>
      </c>
      <c r="P138">
        <v>1</v>
      </c>
      <c r="Q138">
        <v>0</v>
      </c>
      <c r="R138" s="217">
        <f>ROUNDUP(Main[[#This Row],[Transport2]]/Main[[#This Row],[Cantidad_Min]],2)</f>
        <v>6.02</v>
      </c>
      <c r="S138">
        <f>_xlfn.XLOOKUP(Main[[#This Row],[Type of Box]], Cajas[Nombre], Cajas[Largo])</f>
        <v>105</v>
      </c>
      <c r="T138">
        <f>_xlfn.XLOOKUP(Main[[#This Row],[Type of Box]], Cajas[Nombre], Cajas[Ancho])</f>
        <v>17</v>
      </c>
      <c r="U138">
        <f>_xlfn.XLOOKUP(Main[[#This Row],[Type of Box]], Cajas[Nombre], Cajas[Alto])</f>
        <v>17</v>
      </c>
      <c r="V13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8">
        <f>ROUNDUP(((Main[[#This Row],[Volumen]]*5.25))*1.36,2)</f>
        <v>36.119999999999997</v>
      </c>
      <c r="X138" s="219">
        <v>0.15859999999999999</v>
      </c>
      <c r="Y138" s="361">
        <f>Main[[#This Row],[Cantidad_Min]]*Main[[#This Row],[Precio]]*Main[[#This Row],[Qty]]</f>
        <v>359.7</v>
      </c>
      <c r="Z138">
        <f>_xlfn.XLOOKUP(Main[[#This Row],[Finca]], Fincas[Nombre], Fincas[ID])</f>
        <v>58</v>
      </c>
      <c r="AA138" t="str" cm="1">
        <f t="array" ref="AA13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38" s="2" t="s">
        <v>33</v>
      </c>
      <c r="AC138" s="5"/>
      <c r="AD138" s="224"/>
    </row>
    <row r="139" spans="1:30" x14ac:dyDescent="0.25">
      <c r="A139" s="33" t="s">
        <v>151</v>
      </c>
      <c r="B139" s="153">
        <v>4</v>
      </c>
      <c r="C139" s="153" t="s">
        <v>31</v>
      </c>
      <c r="D139" s="33">
        <v>70</v>
      </c>
      <c r="E139">
        <v>70</v>
      </c>
      <c r="F139" t="s">
        <v>158</v>
      </c>
      <c r="G139" t="str">
        <f>"Red/Yellow/Orange/White/Lavender/Ligth Pink/Hot Pink " &amp; _xlfn.XLOOKUP(Main[[#This Row],[FechaEntrega]], Guias[Fecha], Guias[Llegada])</f>
        <v>Red/Yellow/Orange/White/Lavender/Ligth Pink/Hot Pink (T/W)</v>
      </c>
      <c r="H139" s="1" t="s">
        <v>1049</v>
      </c>
      <c r="I139" s="235">
        <v>0.21</v>
      </c>
      <c r="J139" s="69">
        <f>_xlfn.LET(
  _xlpm.result, 1-((Main[[#This Row],[Cost]]+Main[[#This Row],[Duties]]+Main[[#This Row],[Transport]])/((Main[[#This Row],[Precio]]*0.96))),
  IF(_xlpm.result&lt;0, "BAJO", IF(_xlpm.result&gt;1, "ALTO", _xlpm.result))
)</f>
        <v>0.26414373088685017</v>
      </c>
      <c r="K139" s="131">
        <v>1.0900000000000001</v>
      </c>
      <c r="L139" s="360" cm="1">
        <f t="array" aca="1" ref="L13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39" s="152">
        <f>Guias!$B$3</f>
        <v>46310</v>
      </c>
      <c r="N139" s="216">
        <f>ROUNDUP((Main[[#This Row],[Cost]]*Main[[#This Row],[Import Duties]]),2)</f>
        <v>0.04</v>
      </c>
      <c r="O139">
        <v>0</v>
      </c>
      <c r="P139">
        <v>1</v>
      </c>
      <c r="Q139">
        <v>0</v>
      </c>
      <c r="R139" s="217">
        <f>ROUNDUP(Main[[#This Row],[Transport2]]/Main[[#This Row],[Cantidad_Min]],2)</f>
        <v>0.52</v>
      </c>
      <c r="S139">
        <f>_xlfn.XLOOKUP(Main[[#This Row],[Type of Box]], Cajas[Nombre], Cajas[Largo])</f>
        <v>105</v>
      </c>
      <c r="T139">
        <f>_xlfn.XLOOKUP(Main[[#This Row],[Type of Box]], Cajas[Nombre], Cajas[Ancho])</f>
        <v>17</v>
      </c>
      <c r="U139">
        <f>_xlfn.XLOOKUP(Main[[#This Row],[Type of Box]], Cajas[Nombre], Cajas[Alto])</f>
        <v>17</v>
      </c>
      <c r="V13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39">
        <f>ROUNDUP(((Main[[#This Row],[Volumen]]*5.25))*1.36,2)</f>
        <v>36.119999999999997</v>
      </c>
      <c r="X139" s="219">
        <v>0.15859999999999999</v>
      </c>
      <c r="Y139" s="361">
        <f>Main[[#This Row],[Cantidad_Min]]*Main[[#This Row],[Precio]]*Main[[#This Row],[Qty]]</f>
        <v>305.20000000000005</v>
      </c>
      <c r="Z139">
        <f>_xlfn.XLOOKUP(Main[[#This Row],[Finca]], Fincas[Nombre], Fincas[ID])</f>
        <v>58</v>
      </c>
      <c r="AA139" t="str" cm="1">
        <f t="array" ref="AA13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39" s="2" t="s">
        <v>33</v>
      </c>
      <c r="AC139" s="5"/>
      <c r="AD139" s="225" t="s">
        <v>125</v>
      </c>
    </row>
    <row r="140" spans="1:30" x14ac:dyDescent="0.25">
      <c r="A140" s="33" t="s">
        <v>151</v>
      </c>
      <c r="B140" s="153">
        <v>1</v>
      </c>
      <c r="C140" s="153" t="s">
        <v>35</v>
      </c>
      <c r="D140" s="33">
        <v>1</v>
      </c>
      <c r="E140">
        <v>1</v>
      </c>
      <c r="F140" t="s">
        <v>192</v>
      </c>
      <c r="G140" t="str">
        <f>"Alstro/Spray Roses/Delph/Gypso/Lepidium/Solidago x 120 " &amp; _xlfn.XLOOKUP(Main[[#This Row],[FechaEntrega]], Guias[Fecha], Guias[Llegada])</f>
        <v>Alstro/Spray Roses/Delph/Gypso/Lepidium/Solidago x 120 (M/T)</v>
      </c>
      <c r="H140" s="1" t="s">
        <v>1050</v>
      </c>
      <c r="I140" s="235">
        <v>34.700000000000003</v>
      </c>
      <c r="J140" s="69">
        <f>_xlfn.LET(
  _xlpm.result, 1-((Main[[#This Row],[Cost]]+Main[[#This Row],[Duties]]+Main[[#This Row],[Transport]])/((Main[[#This Row],[Precio]]*0.96))),
  IF(_xlpm.result&lt;0, "BAJO", IF(_xlpm.result&gt;1, "ALTO", _xlpm.result))
)</f>
        <v>0.28635752688172034</v>
      </c>
      <c r="K140" s="131">
        <v>155</v>
      </c>
      <c r="L140" s="360" cm="1">
        <f t="array" aca="1" ref="L14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40" s="152">
        <f>Guias!$B$2</f>
        <v>46309</v>
      </c>
      <c r="N140" s="216">
        <f>ROUNDUP((Main[[#This Row],[Cost]]*Main[[#This Row],[Import Duties]]),2)</f>
        <v>5.51</v>
      </c>
      <c r="O140">
        <v>0</v>
      </c>
      <c r="P140">
        <v>1</v>
      </c>
      <c r="Q140">
        <v>0</v>
      </c>
      <c r="R140" s="217">
        <f>ROUNDUP(Main[[#This Row],[Transport2]]/Main[[#This Row],[Cantidad_Min]],2)</f>
        <v>65.98</v>
      </c>
      <c r="S140">
        <f>_xlfn.XLOOKUP(Main[[#This Row],[Type of Box]], Cajas[Nombre], Cajas[Largo])</f>
        <v>99</v>
      </c>
      <c r="T140">
        <f>_xlfn.XLOOKUP(Main[[#This Row],[Type of Box]], Cajas[Nombre], Cajas[Ancho])</f>
        <v>35</v>
      </c>
      <c r="U140">
        <f>_xlfn.XLOOKUP(Main[[#This Row],[Type of Box]], Cajas[Nombre], Cajas[Alto])</f>
        <v>16</v>
      </c>
      <c r="V14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0">
        <f>ROUNDUP(((Main[[#This Row],[Volumen]]*5.25))*1.36,2)</f>
        <v>65.98</v>
      </c>
      <c r="X140" s="219">
        <v>0.15859999999999999</v>
      </c>
      <c r="Y140" s="361">
        <f>Main[[#This Row],[Cantidad_Min]]*Main[[#This Row],[Precio]]*Main[[#This Row],[Qty]]</f>
        <v>155</v>
      </c>
      <c r="Z140">
        <f>_xlfn.XLOOKUP(Main[[#This Row],[Finca]], Fincas[Nombre], Fincas[ID])</f>
        <v>58</v>
      </c>
      <c r="AA140" t="str" cm="1">
        <f t="array" ref="AA14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40" s="2" t="s">
        <v>33</v>
      </c>
      <c r="AC140" s="5" t="s">
        <v>193</v>
      </c>
      <c r="AD140" s="226"/>
    </row>
    <row r="141" spans="1:30" x14ac:dyDescent="0.25">
      <c r="A141" s="33" t="s">
        <v>151</v>
      </c>
      <c r="B141" s="153">
        <v>1</v>
      </c>
      <c r="C141" s="153" t="s">
        <v>35</v>
      </c>
      <c r="D141" s="33">
        <v>1</v>
      </c>
      <c r="E141">
        <v>1</v>
      </c>
      <c r="F141" t="s">
        <v>194</v>
      </c>
      <c r="G141" t="str">
        <f>"Alstro/Spray Roses/Delph/Gypso/Lepidium/Solidago x 120 " &amp; _xlfn.XLOOKUP(Main[[#This Row],[FechaEntrega]], Guias[Fecha], Guias[Llegada])</f>
        <v>Alstro/Spray Roses/Delph/Gypso/Lepidium/Solidago x 120 (M/T)</v>
      </c>
      <c r="H141" s="1" t="s">
        <v>1051</v>
      </c>
      <c r="I141" s="235">
        <v>34.700000000000003</v>
      </c>
      <c r="J141" s="69">
        <f>_xlfn.LET(
  _xlpm.result, 1-((Main[[#This Row],[Cost]]+Main[[#This Row],[Duties]]+Main[[#This Row],[Transport]])/((Main[[#This Row],[Precio]]*0.96))),
  IF(_xlpm.result&lt;0, "BAJO", IF(_xlpm.result&gt;1, "ALTO", _xlpm.result))
)</f>
        <v>0.23708818999011438</v>
      </c>
      <c r="K141" s="131">
        <v>144.99</v>
      </c>
      <c r="L141" s="360" cm="1">
        <f t="array" aca="1" ref="L14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41" s="152">
        <f>Guias!$B$2</f>
        <v>46309</v>
      </c>
      <c r="N141" s="216">
        <f>ROUNDUP((Main[[#This Row],[Cost]]*Main[[#This Row],[Import Duties]]),2)</f>
        <v>5.51</v>
      </c>
      <c r="O141">
        <v>0</v>
      </c>
      <c r="P141">
        <v>1</v>
      </c>
      <c r="Q141">
        <v>0</v>
      </c>
      <c r="R141" s="217">
        <f>ROUNDUP(Main[[#This Row],[Transport2]]/Main[[#This Row],[Cantidad_Min]],2)</f>
        <v>65.98</v>
      </c>
      <c r="S141">
        <f>_xlfn.XLOOKUP(Main[[#This Row],[Type of Box]], Cajas[Nombre], Cajas[Largo])</f>
        <v>99</v>
      </c>
      <c r="T141">
        <f>_xlfn.XLOOKUP(Main[[#This Row],[Type of Box]], Cajas[Nombre], Cajas[Ancho])</f>
        <v>35</v>
      </c>
      <c r="U141">
        <f>_xlfn.XLOOKUP(Main[[#This Row],[Type of Box]], Cajas[Nombre], Cajas[Alto])</f>
        <v>16</v>
      </c>
      <c r="V14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1">
        <f>ROUNDUP(((Main[[#This Row],[Volumen]]*5.25))*1.36,2)</f>
        <v>65.98</v>
      </c>
      <c r="X141" s="219">
        <v>0.15859999999999999</v>
      </c>
      <c r="Y141" s="361">
        <f>Main[[#This Row],[Cantidad_Min]]*Main[[#This Row],[Precio]]*Main[[#This Row],[Qty]]</f>
        <v>144.99</v>
      </c>
      <c r="Z141">
        <f>_xlfn.XLOOKUP(Main[[#This Row],[Finca]], Fincas[Nombre], Fincas[ID])</f>
        <v>58</v>
      </c>
      <c r="AA141" t="str" cm="1">
        <f t="array" ref="AA14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41" s="2" t="s">
        <v>33</v>
      </c>
      <c r="AC141" s="5" t="s">
        <v>195</v>
      </c>
      <c r="AD141" s="224"/>
    </row>
    <row r="142" spans="1:30" x14ac:dyDescent="0.25">
      <c r="A142" s="33" t="s">
        <v>151</v>
      </c>
      <c r="B142" s="153">
        <v>1</v>
      </c>
      <c r="C142" s="153" t="s">
        <v>35</v>
      </c>
      <c r="D142" s="33">
        <v>60</v>
      </c>
      <c r="E142">
        <v>60</v>
      </c>
      <c r="F142" t="s">
        <v>160</v>
      </c>
      <c r="G142" t="str">
        <f>"White/Pink/Hot Pink " &amp; _xlfn.XLOOKUP(Main[[#This Row],[FechaEntrega]], Guias[Fecha], Guias[Llegada])</f>
        <v>White/Pink/Hot Pink (M/T)</v>
      </c>
      <c r="H142" s="1" t="s">
        <v>1052</v>
      </c>
      <c r="I142" s="235">
        <v>0.85</v>
      </c>
      <c r="J142" s="69">
        <f>_xlfn.LET(
  _xlpm.result, 1-((Main[[#This Row],[Cost]]+Main[[#This Row],[Duties]]+Main[[#This Row],[Transport]])/((Main[[#This Row],[Precio]]*0.96))),
  IF(_xlpm.result&lt;0, "BAJO", IF(_xlpm.result&gt;1, "ALTO", _xlpm.result))
)</f>
        <v>0.27187848383500568</v>
      </c>
      <c r="K142" s="131">
        <v>2.99</v>
      </c>
      <c r="L142" s="360" cm="1">
        <f t="array" aca="1" ref="L14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42" s="152">
        <f>Guias!$B$2</f>
        <v>46309</v>
      </c>
      <c r="N142" s="398">
        <f>ROUNDUP((Main[[#This Row],[Cost]]*Main[[#This Row],[Import Duties]]),2)</f>
        <v>0.14000000000000001</v>
      </c>
      <c r="O142">
        <v>0</v>
      </c>
      <c r="P142">
        <v>1</v>
      </c>
      <c r="Q142">
        <v>0</v>
      </c>
      <c r="R142" s="399">
        <f>ROUNDUP(Main[[#This Row],[Transport2]]/Main[[#This Row],[Cantidad_Min]],2)</f>
        <v>1.1000000000000001</v>
      </c>
      <c r="S142">
        <f>_xlfn.XLOOKUP(Main[[#This Row],[Type of Box]], Cajas[Nombre], Cajas[Largo])</f>
        <v>99</v>
      </c>
      <c r="T142">
        <f>_xlfn.XLOOKUP(Main[[#This Row],[Type of Box]], Cajas[Nombre], Cajas[Ancho])</f>
        <v>35</v>
      </c>
      <c r="U142">
        <f>_xlfn.XLOOKUP(Main[[#This Row],[Type of Box]], Cajas[Nombre], Cajas[Alto])</f>
        <v>16</v>
      </c>
      <c r="V14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2">
        <f>ROUNDUP(((Main[[#This Row],[Volumen]]*5.25))*1.36,2)</f>
        <v>65.98</v>
      </c>
      <c r="X142" s="219">
        <v>0.15859999999999999</v>
      </c>
      <c r="Y142" s="361">
        <f>Main[[#This Row],[Cantidad_Min]]*Main[[#This Row],[Precio]]*Main[[#This Row],[Qty]]</f>
        <v>179.4</v>
      </c>
      <c r="Z142">
        <f>_xlfn.XLOOKUP(Main[[#This Row],[Finca]], Fincas[Nombre], Fincas[ID])</f>
        <v>58</v>
      </c>
      <c r="AA142" t="str" cm="1">
        <f t="array" ref="AA14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42" s="2" t="s">
        <v>33</v>
      </c>
      <c r="AC142" s="5"/>
      <c r="AD142" s="224"/>
    </row>
    <row r="143" spans="1:30" x14ac:dyDescent="0.25">
      <c r="A143" s="33" t="s">
        <v>151</v>
      </c>
      <c r="B143" s="153">
        <v>1</v>
      </c>
      <c r="C143" s="153" t="s">
        <v>31</v>
      </c>
      <c r="D143" s="33">
        <v>60</v>
      </c>
      <c r="E143">
        <v>60</v>
      </c>
      <c r="F143" t="s">
        <v>184</v>
      </c>
      <c r="G143" t="str">
        <f>"Premium Golden Glory " &amp; _xlfn.XLOOKUP(Main[[#This Row],[FechaEntrega]], Guias[Fecha], Guias[Llegada])</f>
        <v>Premium Golden Glory (M/T)</v>
      </c>
      <c r="H143" s="1" t="s">
        <v>1053</v>
      </c>
      <c r="I143" s="235">
        <v>0.3</v>
      </c>
      <c r="J143" s="69">
        <f>_xlfn.LET(
  _xlpm.result, 1-((Main[[#This Row],[Cost]]+Main[[#This Row],[Duties]]+Main[[#This Row],[Transport]])/((Main[[#This Row],[Precio]]*0.96))),
  IF(_xlpm.result&lt;0, "BAJO", IF(_xlpm.result&gt;1, "ALTO", _xlpm.result))
)</f>
        <v>0.22480620155038755</v>
      </c>
      <c r="K143" s="131">
        <v>1.29</v>
      </c>
      <c r="L143" s="360" cm="1">
        <f t="array" aca="1" ref="L14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43" s="152">
        <f>Guias!$B$2</f>
        <v>46309</v>
      </c>
      <c r="N143" s="216">
        <f>ROUNDUP((Main[[#This Row],[Cost]]*Main[[#This Row],[Import Duties]]),2)</f>
        <v>0.05</v>
      </c>
      <c r="O143">
        <v>0</v>
      </c>
      <c r="P143">
        <v>1</v>
      </c>
      <c r="Q143">
        <v>0</v>
      </c>
      <c r="R143" s="217">
        <f>ROUNDUP(Main[[#This Row],[Transport2]]/Main[[#This Row],[Cantidad_Min]],2)</f>
        <v>0.61</v>
      </c>
      <c r="S143">
        <f>_xlfn.XLOOKUP(Main[[#This Row],[Type of Box]], Cajas[Nombre], Cajas[Largo])</f>
        <v>105</v>
      </c>
      <c r="T143">
        <f>_xlfn.XLOOKUP(Main[[#This Row],[Type of Box]], Cajas[Nombre], Cajas[Ancho])</f>
        <v>17</v>
      </c>
      <c r="U143">
        <f>_xlfn.XLOOKUP(Main[[#This Row],[Type of Box]], Cajas[Nombre], Cajas[Alto])</f>
        <v>17</v>
      </c>
      <c r="V14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3">
        <f>ROUNDUP(((Main[[#This Row],[Volumen]]*5.25))*1.36,2)</f>
        <v>36.119999999999997</v>
      </c>
      <c r="X143" s="219">
        <v>0.15859999999999999</v>
      </c>
      <c r="Y143" s="361">
        <f>Main[[#This Row],[Cantidad_Min]]*Main[[#This Row],[Precio]]*Main[[#This Row],[Qty]]</f>
        <v>77.400000000000006</v>
      </c>
      <c r="Z143">
        <f>_xlfn.XLOOKUP(Main[[#This Row],[Finca]], Fincas[Nombre], Fincas[ID])</f>
        <v>58</v>
      </c>
      <c r="AA143" t="str" cm="1">
        <f t="array" ref="AA14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43" s="2" t="s">
        <v>33</v>
      </c>
      <c r="AC143" s="5"/>
      <c r="AD143" s="225"/>
    </row>
    <row r="144" spans="1:30" ht="15.75" thickBot="1" x14ac:dyDescent="0.3">
      <c r="A144" s="362" t="s">
        <v>151</v>
      </c>
      <c r="B144" s="363">
        <v>1</v>
      </c>
      <c r="C144" s="363" t="s">
        <v>35</v>
      </c>
      <c r="D144" s="362">
        <v>50</v>
      </c>
      <c r="E144" s="233">
        <v>50</v>
      </c>
      <c r="F144" s="233" t="s">
        <v>177</v>
      </c>
      <c r="G144" s="233" t="s">
        <v>196</v>
      </c>
      <c r="H144" s="1" t="s">
        <v>1054</v>
      </c>
      <c r="I144" s="364">
        <v>1.45</v>
      </c>
      <c r="J144" s="293">
        <f>_xlfn.LET(
  _xlpm.result, 1-((Main[[#This Row],[Cost]]+Main[[#This Row],[Duties]]+Main[[#This Row],[Transport]])/((Main[[#This Row],[Precio]]*0.96))),
  IF(_xlpm.result&lt;0, "BAJO", IF(_xlpm.result&gt;1, "ALTO", _xlpm.result))
)</f>
        <v>0.25417661097852029</v>
      </c>
      <c r="K144" s="240">
        <v>4.1900000000000004</v>
      </c>
      <c r="L144" s="365" cm="1">
        <f t="array" aca="1" ref="L14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44" s="366">
        <f>Guias!$B$2</f>
        <v>46309</v>
      </c>
      <c r="N144" s="367">
        <f>ROUNDUP((Main[[#This Row],[Cost]]*Main[[#This Row],[Import Duties]]),2)</f>
        <v>0.23</v>
      </c>
      <c r="O144" s="233">
        <v>0</v>
      </c>
      <c r="P144" s="233">
        <v>1</v>
      </c>
      <c r="Q144" s="233">
        <v>0</v>
      </c>
      <c r="R144" s="368">
        <f>ROUNDUP(Main[[#This Row],[Transport2]]/Main[[#This Row],[Cantidad_Min]],2)</f>
        <v>1.32</v>
      </c>
      <c r="S144" s="233">
        <f>_xlfn.XLOOKUP(Main[[#This Row],[Type of Box]], Cajas[Nombre], Cajas[Largo])</f>
        <v>99</v>
      </c>
      <c r="T144" s="233">
        <f>_xlfn.XLOOKUP(Main[[#This Row],[Type of Box]], Cajas[Nombre], Cajas[Ancho])</f>
        <v>35</v>
      </c>
      <c r="U144" s="233">
        <f>_xlfn.XLOOKUP(Main[[#This Row],[Type of Box]], Cajas[Nombre], Cajas[Alto])</f>
        <v>16</v>
      </c>
      <c r="V144" s="2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44" s="233">
        <f>ROUNDUP(((Main[[#This Row],[Volumen]]*5.25))*1.36,2)</f>
        <v>65.98</v>
      </c>
      <c r="X144" s="369">
        <v>0.15859999999999999</v>
      </c>
      <c r="Y144" s="370">
        <f>Main[[#This Row],[Cantidad_Min]]*Main[[#This Row],[Precio]]*Main[[#This Row],[Qty]]</f>
        <v>209.50000000000003</v>
      </c>
      <c r="Z144" s="233">
        <f>_xlfn.XLOOKUP(Main[[#This Row],[Finca]], Fincas[Nombre], Fincas[ID])</f>
        <v>58</v>
      </c>
      <c r="AA144" s="233" t="str" cm="1">
        <f t="array" ref="AA14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44" s="73" t="s">
        <v>33</v>
      </c>
      <c r="AC144" s="72"/>
      <c r="AD144" s="371"/>
    </row>
    <row r="145" spans="1:30" ht="15.75" thickBot="1" x14ac:dyDescent="0.3">
      <c r="A145" s="431" t="s">
        <v>197</v>
      </c>
      <c r="B145" s="432">
        <v>1</v>
      </c>
      <c r="C145" s="432" t="s">
        <v>31</v>
      </c>
      <c r="D145" s="431">
        <v>60</v>
      </c>
      <c r="E145" s="433">
        <v>60</v>
      </c>
      <c r="F145" s="433" t="s">
        <v>198</v>
      </c>
      <c r="G145" s="433" t="str">
        <f>"30 Baby Blue/30 Silver Dollar " &amp; _xlfn.XLOOKUP(Main[[#This Row],[FechaEntrega]], Guias[Fecha], Guias[Llegada])</f>
        <v>30 Baby Blue/30 Silver Dollar (T/W)</v>
      </c>
      <c r="H145" s="1" t="s">
        <v>1055</v>
      </c>
      <c r="I145" s="434">
        <v>0.25</v>
      </c>
      <c r="J145" s="435">
        <f>_xlfn.LET(
  _xlpm.result, 1-((Main[[#This Row],[Cost]]+Main[[#This Row],[Duties]]+Main[[#This Row],[Transport]])/((Main[[#This Row],[Precio]]*0.96))),
  IF(_xlpm.result&lt;0, "BAJO", IF(_xlpm.result&gt;1, "ALTO", _xlpm.result))
)</f>
        <v>0.25</v>
      </c>
      <c r="K145" s="436">
        <v>1.25</v>
      </c>
      <c r="L145" s="437" cm="1">
        <f t="array" aca="1" ref="L14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45" s="438">
        <f>Guias!$B$3</f>
        <v>46310</v>
      </c>
      <c r="N145" s="439">
        <f>ROUNDUP((Main[[#This Row],[Cost]]*Main[[#This Row],[Import Duties]]),2)</f>
        <v>0.04</v>
      </c>
      <c r="O145" s="433">
        <v>0</v>
      </c>
      <c r="P145" s="433">
        <v>1</v>
      </c>
      <c r="Q145" s="433">
        <v>0</v>
      </c>
      <c r="R145" s="440">
        <f>ROUNDUP(Main[[#This Row],[Transport2]]/Main[[#This Row],[Cantidad_Min]],2)</f>
        <v>0.61</v>
      </c>
      <c r="S145" s="433">
        <f>_xlfn.XLOOKUP(Main[[#This Row],[Type of Box]], Cajas[Nombre], Cajas[Largo])</f>
        <v>105</v>
      </c>
      <c r="T145" s="433">
        <f>_xlfn.XLOOKUP(Main[[#This Row],[Type of Box]], Cajas[Nombre], Cajas[Ancho])</f>
        <v>17</v>
      </c>
      <c r="U145" s="433">
        <f>_xlfn.XLOOKUP(Main[[#This Row],[Type of Box]], Cajas[Nombre], Cajas[Alto])</f>
        <v>17</v>
      </c>
      <c r="V145" s="4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5" s="433">
        <f>ROUNDUP(((Main[[#This Row],[Volumen]]*5.25))*1.36,2)</f>
        <v>36.119999999999997</v>
      </c>
      <c r="X145" s="441">
        <v>0.15859999999999999</v>
      </c>
      <c r="Y145" s="442">
        <f>Main[[#This Row],[Cantidad_Min]]*Main[[#This Row],[Precio]]*Main[[#This Row],[Qty]]</f>
        <v>75</v>
      </c>
      <c r="Z145" s="433">
        <f>_xlfn.XLOOKUP(Main[[#This Row],[Finca]], Fincas[Nombre], Fincas[ID])</f>
        <v>66</v>
      </c>
      <c r="AA145" s="433" t="str" cm="1">
        <f t="array" ref="AA14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45" s="443" t="s">
        <v>33</v>
      </c>
      <c r="AC145" s="444"/>
      <c r="AD145" s="445"/>
    </row>
    <row r="146" spans="1:30" x14ac:dyDescent="0.25">
      <c r="A146" s="385" t="s">
        <v>199</v>
      </c>
      <c r="B146" s="386">
        <v>1</v>
      </c>
      <c r="C146" s="386" t="s">
        <v>31</v>
      </c>
      <c r="D146" s="385">
        <v>1</v>
      </c>
      <c r="E146" s="387">
        <v>1</v>
      </c>
      <c r="F146" s="387" t="s">
        <v>200</v>
      </c>
      <c r="G146" t="str">
        <f>"6 Tender Love/6 Charm/6 Trophy x 18 " &amp; _xlfn.XLOOKUP(Main[[#This Row],[FechaEntrega]], Guias[Fecha], Guias[Llegada])</f>
        <v>6 Tender Love/6 Charm/6 Trophy x 18 (W/T)</v>
      </c>
      <c r="H146" s="1" t="s">
        <v>1056</v>
      </c>
      <c r="I146" s="235">
        <f>1.5*18</f>
        <v>27</v>
      </c>
      <c r="J146" s="69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46" s="131">
        <v>89.99</v>
      </c>
      <c r="L146" s="360" cm="1">
        <f t="array" aca="1" ref="L14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46" s="152">
        <f>Guias!$B$4</f>
        <v>46311</v>
      </c>
      <c r="N146" s="216">
        <f>ROUNDUP((Main[[#This Row],[Cost]]*Main[[#This Row],[Import Duties]]),2)</f>
        <v>4.29</v>
      </c>
      <c r="O146">
        <v>0</v>
      </c>
      <c r="P146">
        <v>1</v>
      </c>
      <c r="Q146">
        <v>0</v>
      </c>
      <c r="R146" s="217">
        <f>ROUNDUP(Main[[#This Row],[Transport2]]/Main[[#This Row],[Cantidad_Min]],2)</f>
        <v>36.119999999999997</v>
      </c>
      <c r="S146">
        <f>_xlfn.XLOOKUP(Main[[#This Row],[Type of Box]], Cajas[Nombre], Cajas[Largo])</f>
        <v>105</v>
      </c>
      <c r="T146">
        <f>_xlfn.XLOOKUP(Main[[#This Row],[Type of Box]], Cajas[Nombre], Cajas[Ancho])</f>
        <v>17</v>
      </c>
      <c r="U146">
        <f>_xlfn.XLOOKUP(Main[[#This Row],[Type of Box]], Cajas[Nombre], Cajas[Alto])</f>
        <v>17</v>
      </c>
      <c r="V14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6">
        <f>ROUNDUP(((Main[[#This Row],[Volumen]]*5.25))*1.36,2)</f>
        <v>36.119999999999997</v>
      </c>
      <c r="X146" s="219">
        <v>0.15859999999999999</v>
      </c>
      <c r="Y146" s="361">
        <f>Main[[#This Row],[Cantidad_Min]]*Main[[#This Row],[Precio]]*Main[[#This Row],[Qty]]</f>
        <v>89.99</v>
      </c>
      <c r="Z146">
        <f>_xlfn.XLOOKUP(Main[[#This Row],[Finca]], Fincas[Nombre], Fincas[ID])</f>
        <v>40</v>
      </c>
      <c r="AA146" t="str" cm="1">
        <f t="array" ref="AA14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46" s="2" t="s">
        <v>33</v>
      </c>
      <c r="AC146" s="5"/>
      <c r="AD146" s="224" t="s">
        <v>201</v>
      </c>
    </row>
    <row r="147" spans="1:30" x14ac:dyDescent="0.25">
      <c r="A147" s="385" t="s">
        <v>199</v>
      </c>
      <c r="B147" s="386">
        <v>1</v>
      </c>
      <c r="C147" s="386" t="s">
        <v>31</v>
      </c>
      <c r="D147" s="385">
        <v>1</v>
      </c>
      <c r="E147" s="387">
        <v>1</v>
      </c>
      <c r="F147" s="387" t="s">
        <v>200</v>
      </c>
      <c r="G147" t="str">
        <f>"6 Tender Love/6 Charm/6 Trophy x 18 " &amp; _xlfn.XLOOKUP(Main[[#This Row],[FechaEntrega]], Guias[Fecha], Guias[Llegada])</f>
        <v>6 Tender Love/6 Charm/6 Trophy x 18 (W/T)</v>
      </c>
      <c r="H147" s="1" t="s">
        <v>1057</v>
      </c>
      <c r="I147" s="235">
        <f>1.5*18</f>
        <v>27</v>
      </c>
      <c r="J147" s="69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47" s="131">
        <v>89.99</v>
      </c>
      <c r="L147" s="360" cm="1">
        <f t="array" aca="1" ref="L14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47" s="152">
        <f>Guias!$B$4</f>
        <v>46311</v>
      </c>
      <c r="N147" s="398">
        <f>ROUNDUP((Main[[#This Row],[Cost]]*Main[[#This Row],[Import Duties]]),2)</f>
        <v>4.29</v>
      </c>
      <c r="O147">
        <v>0</v>
      </c>
      <c r="P147">
        <v>1</v>
      </c>
      <c r="Q147">
        <v>0</v>
      </c>
      <c r="R147" s="399">
        <f>ROUNDUP(Main[[#This Row],[Transport2]]/Main[[#This Row],[Cantidad_Min]],2)</f>
        <v>36.119999999999997</v>
      </c>
      <c r="S147">
        <f>_xlfn.XLOOKUP(Main[[#This Row],[Type of Box]], Cajas[Nombre], Cajas[Largo])</f>
        <v>105</v>
      </c>
      <c r="T147">
        <f>_xlfn.XLOOKUP(Main[[#This Row],[Type of Box]], Cajas[Nombre], Cajas[Ancho])</f>
        <v>17</v>
      </c>
      <c r="U147">
        <f>_xlfn.XLOOKUP(Main[[#This Row],[Type of Box]], Cajas[Nombre], Cajas[Alto])</f>
        <v>17</v>
      </c>
      <c r="V14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7">
        <f>ROUNDUP(((Main[[#This Row],[Volumen]]*5.25))*1.36,2)</f>
        <v>36.119999999999997</v>
      </c>
      <c r="X147" s="219">
        <v>0.15859999999999999</v>
      </c>
      <c r="Y147" s="361">
        <f>Main[[#This Row],[Cantidad_Min]]*Main[[#This Row],[Precio]]*Main[[#This Row],[Qty]]</f>
        <v>89.99</v>
      </c>
      <c r="Z147">
        <f>_xlfn.XLOOKUP(Main[[#This Row],[Finca]], Fincas[Nombre], Fincas[ID])</f>
        <v>40</v>
      </c>
      <c r="AA147" t="str" cm="1">
        <f t="array" ref="AA14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47" s="2" t="s">
        <v>33</v>
      </c>
      <c r="AC147" s="31"/>
      <c r="AD147" s="224" t="s">
        <v>47</v>
      </c>
    </row>
    <row r="148" spans="1:30" x14ac:dyDescent="0.25">
      <c r="A148" s="385" t="s">
        <v>199</v>
      </c>
      <c r="B148" s="386">
        <v>1</v>
      </c>
      <c r="C148" s="386" t="s">
        <v>31</v>
      </c>
      <c r="D148" s="385">
        <v>60</v>
      </c>
      <c r="E148" s="387">
        <v>60</v>
      </c>
      <c r="F148" s="387" t="s">
        <v>141</v>
      </c>
      <c r="G148" t="str">
        <f>"10 Yellow/10 Orange/10 White/10 Pink/10 Hot Pink/10 Red " &amp; _xlfn.XLOOKUP(Main[[#This Row],[FechaEntrega]], Guias[Fecha], Guias[Llegada])</f>
        <v>10 Yellow/10 Orange/10 White/10 Pink/10 Hot Pink/10 Red (M/T)</v>
      </c>
      <c r="H148" s="1" t="s">
        <v>1058</v>
      </c>
      <c r="I148" s="235">
        <v>0.35</v>
      </c>
      <c r="J148" s="69">
        <f>_xlfn.LET(
  _xlpm.result, 1-((Main[[#This Row],[Cost]]+Main[[#This Row],[Duties]]+Main[[#This Row],[Transport]])/((Main[[#This Row],[Precio]]*0.96))),
  IF(_xlpm.result&lt;0, "BAJO", IF(_xlpm.result&gt;1, "ALTO", _xlpm.result))
)</f>
        <v>0.23401162790697672</v>
      </c>
      <c r="K148" s="131">
        <v>1.3870967741935483</v>
      </c>
      <c r="L148" s="360" cm="1">
        <f t="array" aca="1" ref="L14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48" s="152">
        <f>Guias!$B$2</f>
        <v>46309</v>
      </c>
      <c r="N148" s="216">
        <f>ROUNDUP((Main[[#This Row],[Cost]]*Main[[#This Row],[Import Duties]]),2)</f>
        <v>6.0000000000000005E-2</v>
      </c>
      <c r="O148">
        <v>0</v>
      </c>
      <c r="P148">
        <v>1</v>
      </c>
      <c r="Q148">
        <v>0</v>
      </c>
      <c r="R148" s="217">
        <f>ROUNDUP(Main[[#This Row],[Transport2]]/Main[[#This Row],[Cantidad_Min]],2)</f>
        <v>0.61</v>
      </c>
      <c r="S148">
        <f>_xlfn.XLOOKUP(Main[[#This Row],[Type of Box]], Cajas[Nombre], Cajas[Largo])</f>
        <v>105</v>
      </c>
      <c r="T148">
        <f>_xlfn.XLOOKUP(Main[[#This Row],[Type of Box]], Cajas[Nombre], Cajas[Ancho])</f>
        <v>17</v>
      </c>
      <c r="U148">
        <f>_xlfn.XLOOKUP(Main[[#This Row],[Type of Box]], Cajas[Nombre], Cajas[Alto])</f>
        <v>17</v>
      </c>
      <c r="V14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8">
        <f>ROUNDUP(((Main[[#This Row],[Volumen]]*5.25))*1.36,2)</f>
        <v>36.119999999999997</v>
      </c>
      <c r="X148" s="219">
        <v>0.15859999999999999</v>
      </c>
      <c r="Y148" s="361">
        <f>Main[[#This Row],[Cantidad_Min]]*Main[[#This Row],[Precio]]*Main[[#This Row],[Qty]]</f>
        <v>83.225806451612897</v>
      </c>
      <c r="Z148">
        <f>_xlfn.XLOOKUP(Main[[#This Row],[Finca]], Fincas[Nombre], Fincas[ID])</f>
        <v>40</v>
      </c>
      <c r="AA148" t="str" cm="1">
        <f t="array" ref="AA14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48" s="2" t="s">
        <v>33</v>
      </c>
      <c r="AC148" s="31"/>
      <c r="AD148" s="224" t="s">
        <v>202</v>
      </c>
    </row>
    <row r="149" spans="1:30" x14ac:dyDescent="0.25">
      <c r="A149" s="385" t="s">
        <v>199</v>
      </c>
      <c r="B149" s="386">
        <v>1</v>
      </c>
      <c r="C149" s="386" t="s">
        <v>31</v>
      </c>
      <c r="D149" s="385">
        <v>1</v>
      </c>
      <c r="E149" s="387">
        <v>1</v>
      </c>
      <c r="F149" s="387" t="s">
        <v>200</v>
      </c>
      <c r="G149" t="str">
        <f>"9 Tender Love/9 Trophy x 18 " &amp; _xlfn.XLOOKUP(Main[[#This Row],[FechaEntrega]], Guias[Fecha], Guias[Llegada])</f>
        <v>9 Tender Love/9 Trophy x 18 (M/T)</v>
      </c>
      <c r="H149" s="1" t="s">
        <v>1059</v>
      </c>
      <c r="I149" s="235">
        <f>1.5*18</f>
        <v>27</v>
      </c>
      <c r="J149" s="69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49" s="131">
        <v>89.99</v>
      </c>
      <c r="L149" s="360" cm="1">
        <f t="array" aca="1" ref="L14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49" s="152">
        <f>Guias!$B$2</f>
        <v>46309</v>
      </c>
      <c r="N149" s="216">
        <f>ROUNDUP((Main[[#This Row],[Cost]]*Main[[#This Row],[Import Duties]]),2)</f>
        <v>4.29</v>
      </c>
      <c r="O149">
        <v>0</v>
      </c>
      <c r="P149">
        <v>1</v>
      </c>
      <c r="Q149">
        <v>0</v>
      </c>
      <c r="R149" s="217">
        <f>ROUNDUP(Main[[#This Row],[Transport2]]/Main[[#This Row],[Cantidad_Min]],2)</f>
        <v>36.119999999999997</v>
      </c>
      <c r="S149">
        <f>_xlfn.XLOOKUP(Main[[#This Row],[Type of Box]], Cajas[Nombre], Cajas[Largo])</f>
        <v>105</v>
      </c>
      <c r="T149">
        <f>_xlfn.XLOOKUP(Main[[#This Row],[Type of Box]], Cajas[Nombre], Cajas[Ancho])</f>
        <v>17</v>
      </c>
      <c r="U149">
        <f>_xlfn.XLOOKUP(Main[[#This Row],[Type of Box]], Cajas[Nombre], Cajas[Alto])</f>
        <v>17</v>
      </c>
      <c r="V14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49">
        <f>ROUNDUP(((Main[[#This Row],[Volumen]]*5.25))*1.36,2)</f>
        <v>36.119999999999997</v>
      </c>
      <c r="X149" s="219">
        <v>0.15859999999999999</v>
      </c>
      <c r="Y149" s="361">
        <f>Main[[#This Row],[Cantidad_Min]]*Main[[#This Row],[Precio]]*Main[[#This Row],[Qty]]</f>
        <v>89.99</v>
      </c>
      <c r="Z149">
        <f>_xlfn.XLOOKUP(Main[[#This Row],[Finca]], Fincas[Nombre], Fincas[ID])</f>
        <v>40</v>
      </c>
      <c r="AA149" t="str" cm="1">
        <f t="array" ref="AA14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49" s="2" t="s">
        <v>33</v>
      </c>
      <c r="AC149" s="5"/>
      <c r="AD149" s="224" t="s">
        <v>203</v>
      </c>
    </row>
    <row r="150" spans="1:30" x14ac:dyDescent="0.25">
      <c r="A150" s="33" t="s">
        <v>199</v>
      </c>
      <c r="B150" s="153">
        <v>4</v>
      </c>
      <c r="C150" s="153" t="s">
        <v>31</v>
      </c>
      <c r="D150" s="33">
        <v>1</v>
      </c>
      <c r="E150">
        <v>1</v>
      </c>
      <c r="F150" t="s">
        <v>200</v>
      </c>
      <c r="G150" t="s">
        <v>204</v>
      </c>
      <c r="H150" s="1" t="s">
        <v>1060</v>
      </c>
      <c r="I150" s="235">
        <f>1.5*18</f>
        <v>27</v>
      </c>
      <c r="J150" s="69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50" s="131">
        <v>89.99</v>
      </c>
      <c r="L150" s="360" cm="1">
        <f t="array" aca="1" ref="L15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50" s="152">
        <f>Guias!$B$7</f>
        <v>46314</v>
      </c>
      <c r="N150" s="216">
        <f>ROUNDUP((Main[[#This Row],[Cost]]*Main[[#This Row],[Import Duties]]),2)</f>
        <v>4.29</v>
      </c>
      <c r="O150">
        <v>0</v>
      </c>
      <c r="P150">
        <v>1</v>
      </c>
      <c r="Q150">
        <v>0</v>
      </c>
      <c r="R150" s="217">
        <f>ROUNDUP(Main[[#This Row],[Transport2]]/Main[[#This Row],[Cantidad_Min]],2)</f>
        <v>36.119999999999997</v>
      </c>
      <c r="S150">
        <f>_xlfn.XLOOKUP(Main[[#This Row],[Type of Box]], Cajas[Nombre], Cajas[Largo])</f>
        <v>105</v>
      </c>
      <c r="T150">
        <f>_xlfn.XLOOKUP(Main[[#This Row],[Type of Box]], Cajas[Nombre], Cajas[Ancho])</f>
        <v>17</v>
      </c>
      <c r="U150">
        <f>_xlfn.XLOOKUP(Main[[#This Row],[Type of Box]], Cajas[Nombre], Cajas[Alto])</f>
        <v>17</v>
      </c>
      <c r="V15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0">
        <f>ROUNDUP(((Main[[#This Row],[Volumen]]*5.25))*1.36,2)</f>
        <v>36.119999999999997</v>
      </c>
      <c r="X150" s="219">
        <v>0.15859999999999999</v>
      </c>
      <c r="Y150" s="361">
        <f>Main[[#This Row],[Cantidad_Min]]*Main[[#This Row],[Precio]]*Main[[#This Row],[Qty]]</f>
        <v>359.96</v>
      </c>
      <c r="Z150">
        <f>_xlfn.XLOOKUP(Main[[#This Row],[Finca]], Fincas[Nombre], Fincas[ID])</f>
        <v>40</v>
      </c>
      <c r="AA150" t="str" cm="1">
        <f t="array" ref="AA15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50" s="2" t="s">
        <v>33</v>
      </c>
      <c r="AC150" s="31"/>
    </row>
    <row r="151" spans="1:30" ht="15.75" thickBot="1" x14ac:dyDescent="0.3">
      <c r="A151" s="33" t="s">
        <v>199</v>
      </c>
      <c r="B151" s="153">
        <v>2</v>
      </c>
      <c r="C151" s="153" t="s">
        <v>31</v>
      </c>
      <c r="D151" s="33">
        <v>1</v>
      </c>
      <c r="E151">
        <v>1</v>
      </c>
      <c r="F151" t="s">
        <v>200</v>
      </c>
      <c r="G151" t="str">
        <f>"6 Tender Love/6 Charm/6 Trophy x 18 " &amp; _xlfn.XLOOKUP(Main[[#This Row],[FechaEntrega]], Guias[Fecha], Guias[Llegada])</f>
        <v>6 Tender Love/6 Charm/6 Trophy x 18 (W/T)</v>
      </c>
      <c r="H151" s="1" t="s">
        <v>1061</v>
      </c>
      <c r="I151" s="235">
        <f>1.5*18</f>
        <v>27</v>
      </c>
      <c r="J151" s="69">
        <f>_xlfn.LET(
  _xlpm.result, 1-((Main[[#This Row],[Cost]]+Main[[#This Row],[Duties]]+Main[[#This Row],[Transport]])/((Main[[#This Row],[Precio]]*0.96))),
  IF(_xlpm.result&lt;0, "BAJO", IF(_xlpm.result&gt;1, "ALTO", _xlpm.result))
)</f>
        <v>0.21970496721857979</v>
      </c>
      <c r="K151" s="131">
        <v>89.99</v>
      </c>
      <c r="L151" s="360" cm="1">
        <f t="array" aca="1" ref="L15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51" s="152">
        <f>Guias!$B$4</f>
        <v>46311</v>
      </c>
      <c r="N151" s="398">
        <f>ROUNDUP((Main[[#This Row],[Cost]]*Main[[#This Row],[Import Duties]]),2)</f>
        <v>4.29</v>
      </c>
      <c r="O151">
        <v>0</v>
      </c>
      <c r="P151">
        <v>1</v>
      </c>
      <c r="Q151">
        <v>0</v>
      </c>
      <c r="R151" s="399">
        <f>ROUNDUP(Main[[#This Row],[Transport2]]/Main[[#This Row],[Cantidad_Min]],2)</f>
        <v>36.119999999999997</v>
      </c>
      <c r="S151">
        <f>_xlfn.XLOOKUP(Main[[#This Row],[Type of Box]], Cajas[Nombre], Cajas[Largo])</f>
        <v>105</v>
      </c>
      <c r="T151">
        <f>_xlfn.XLOOKUP(Main[[#This Row],[Type of Box]], Cajas[Nombre], Cajas[Ancho])</f>
        <v>17</v>
      </c>
      <c r="U151">
        <f>_xlfn.XLOOKUP(Main[[#This Row],[Type of Box]], Cajas[Nombre], Cajas[Alto])</f>
        <v>17</v>
      </c>
      <c r="V15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1">
        <f>ROUNDUP(((Main[[#This Row],[Volumen]]*5.25))*1.36,2)</f>
        <v>36.119999999999997</v>
      </c>
      <c r="X151" s="219">
        <v>0.15859999999999999</v>
      </c>
      <c r="Y151" s="361">
        <f>Main[[#This Row],[Cantidad_Min]]*Main[[#This Row],[Precio]]*Main[[#This Row],[Qty]]</f>
        <v>179.98</v>
      </c>
      <c r="Z151">
        <f>_xlfn.XLOOKUP(Main[[#This Row],[Finca]], Fincas[Nombre], Fincas[ID])</f>
        <v>40</v>
      </c>
      <c r="AA151" t="str" cm="1">
        <f t="array" ref="AA15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51" s="2" t="s">
        <v>33</v>
      </c>
      <c r="AC151" s="5"/>
      <c r="AD151" s="225" t="s">
        <v>125</v>
      </c>
    </row>
    <row r="152" spans="1:30" ht="15.75" thickBot="1" x14ac:dyDescent="0.3">
      <c r="A152" s="449" t="s">
        <v>205</v>
      </c>
      <c r="B152" s="450">
        <v>1</v>
      </c>
      <c r="C152" s="450" t="s">
        <v>31</v>
      </c>
      <c r="D152" s="449">
        <v>70</v>
      </c>
      <c r="E152" s="451">
        <v>70</v>
      </c>
      <c r="F152" s="451" t="s">
        <v>206</v>
      </c>
      <c r="G152" s="452" t="s">
        <v>78</v>
      </c>
      <c r="H152" s="1" t="s">
        <v>1062</v>
      </c>
      <c r="I152" s="453">
        <v>0.5</v>
      </c>
      <c r="J152" s="454">
        <f>_xlfn.LET(
  _xlpm.result, 1-((Main[[#This Row],[Cost]]+Main[[#This Row],[Duties]]+Main[[#This Row],[Transport]])/((Main[[#This Row],[Precio]]*0.96))),
  IF(_xlpm.result&lt;0, "BAJO", IF(_xlpm.result&gt;1, "ALTO", _xlpm.result))
)</f>
        <v>0.23098434004474266</v>
      </c>
      <c r="K152" s="455">
        <v>1.49</v>
      </c>
      <c r="L152" s="456" cm="1">
        <f t="array" aca="1" ref="L15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52" s="457">
        <f>Guias!$B$7</f>
        <v>46314</v>
      </c>
      <c r="N152" s="458">
        <f>ROUNDUP((Main[[#This Row],[Cost]]*Main[[#This Row],[Import Duties]]),2)</f>
        <v>0.08</v>
      </c>
      <c r="O152" s="452">
        <v>0</v>
      </c>
      <c r="P152" s="452">
        <v>1</v>
      </c>
      <c r="Q152" s="452">
        <v>0</v>
      </c>
      <c r="R152" s="459">
        <f>ROUNDUP(Main[[#This Row],[Transport2]]/Main[[#This Row],[Cantidad_Min]],2)</f>
        <v>0.52</v>
      </c>
      <c r="S152" s="452">
        <f>_xlfn.XLOOKUP(Main[[#This Row],[Type of Box]], Cajas[Nombre], Cajas[Largo])</f>
        <v>105</v>
      </c>
      <c r="T152" s="452">
        <f>_xlfn.XLOOKUP(Main[[#This Row],[Type of Box]], Cajas[Nombre], Cajas[Ancho])</f>
        <v>17</v>
      </c>
      <c r="U152" s="452">
        <f>_xlfn.XLOOKUP(Main[[#This Row],[Type of Box]], Cajas[Nombre], Cajas[Alto])</f>
        <v>17</v>
      </c>
      <c r="V152" s="45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2" s="452">
        <f>ROUNDUP(((Main[[#This Row],[Volumen]]*5.25))*1.36,2)</f>
        <v>36.119999999999997</v>
      </c>
      <c r="X152" s="460">
        <v>0.15859999999999999</v>
      </c>
      <c r="Y152" s="461">
        <f>Main[[#This Row],[Cantidad_Min]]*Main[[#This Row],[Precio]]*Main[[#This Row],[Qty]]</f>
        <v>104.3</v>
      </c>
      <c r="Z152" s="452">
        <f>_xlfn.XLOOKUP(Main[[#This Row],[Finca]], Fincas[Nombre], Fincas[ID])</f>
        <v>82</v>
      </c>
      <c r="AA152" s="452" t="str" cm="1">
        <f t="array" ref="AA15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52" s="462" t="s">
        <v>33</v>
      </c>
      <c r="AC152" s="463"/>
      <c r="AD152" s="452" t="s">
        <v>207</v>
      </c>
    </row>
    <row r="153" spans="1:30" x14ac:dyDescent="0.25">
      <c r="A153" s="385" t="s">
        <v>208</v>
      </c>
      <c r="B153" s="386">
        <v>5</v>
      </c>
      <c r="C153" s="386" t="s">
        <v>31</v>
      </c>
      <c r="D153" s="385">
        <v>50</v>
      </c>
      <c r="E153" s="387">
        <v>50</v>
      </c>
      <c r="F153" s="387" t="s">
        <v>209</v>
      </c>
      <c r="G153" t="s">
        <v>210</v>
      </c>
      <c r="H153" s="1" t="s">
        <v>1063</v>
      </c>
      <c r="I153" s="235">
        <v>0.36</v>
      </c>
      <c r="J153" s="69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153" s="131">
        <v>1.59</v>
      </c>
      <c r="L153" s="360" cm="1">
        <f t="array" aca="1" ref="L15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53" s="152">
        <f>Guias!$B$5</f>
        <v>46312</v>
      </c>
      <c r="N153" s="216">
        <f>ROUNDUP((Main[[#This Row],[Cost]]*Main[[#This Row],[Import Duties]]),2)</f>
        <v>6.0000000000000005E-2</v>
      </c>
      <c r="O153">
        <v>0</v>
      </c>
      <c r="P153">
        <v>1</v>
      </c>
      <c r="Q153">
        <v>0</v>
      </c>
      <c r="R153" s="217">
        <f>ROUNDUP(Main[[#This Row],[Transport2]]/Main[[#This Row],[Cantidad_Min]],2)</f>
        <v>0.73</v>
      </c>
      <c r="S153">
        <f>_xlfn.XLOOKUP(Main[[#This Row],[Type of Box]], Cajas[Nombre], Cajas[Largo])</f>
        <v>105</v>
      </c>
      <c r="T153">
        <f>_xlfn.XLOOKUP(Main[[#This Row],[Type of Box]], Cajas[Nombre], Cajas[Ancho])</f>
        <v>17</v>
      </c>
      <c r="U153">
        <f>_xlfn.XLOOKUP(Main[[#This Row],[Type of Box]], Cajas[Nombre], Cajas[Alto])</f>
        <v>17</v>
      </c>
      <c r="V15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3">
        <f>ROUNDUP(((Main[[#This Row],[Volumen]]*5.25))*1.36,2)</f>
        <v>36.119999999999997</v>
      </c>
      <c r="X153" s="219">
        <v>0.15859999999999999</v>
      </c>
      <c r="Y153" s="361">
        <f>Main[[#This Row],[Cantidad_Min]]*Main[[#This Row],[Precio]]*Main[[#This Row],[Qty]]</f>
        <v>397.5</v>
      </c>
      <c r="Z153">
        <f>_xlfn.XLOOKUP(Main[[#This Row],[Finca]], Fincas[Nombre], Fincas[ID])</f>
        <v>23</v>
      </c>
      <c r="AA153" t="str" cm="1">
        <f t="array" ref="AA15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53" s="2" t="s">
        <v>33</v>
      </c>
      <c r="AC153" s="31"/>
    </row>
    <row r="154" spans="1:30" x14ac:dyDescent="0.25">
      <c r="A154" s="385" t="s">
        <v>208</v>
      </c>
      <c r="B154" s="386">
        <v>1</v>
      </c>
      <c r="C154" s="386" t="s">
        <v>35</v>
      </c>
      <c r="D154" s="385">
        <v>125</v>
      </c>
      <c r="E154" s="387">
        <v>125</v>
      </c>
      <c r="F154" s="387" t="s">
        <v>55</v>
      </c>
      <c r="G154" t="s">
        <v>211</v>
      </c>
      <c r="H154" s="1" t="s">
        <v>1064</v>
      </c>
      <c r="I154" s="235">
        <v>0.4</v>
      </c>
      <c r="J154" s="69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154" s="131">
        <v>1.39</v>
      </c>
      <c r="L154" s="360" cm="1">
        <f t="array" aca="1" ref="L15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54" s="152">
        <f>Guias!$B$4</f>
        <v>46311</v>
      </c>
      <c r="N154" s="216">
        <f>ROUNDUP((Main[[#This Row],[Cost]]*Main[[#This Row],[Import Duties]]),2)</f>
        <v>6.9999999999999993E-2</v>
      </c>
      <c r="O154">
        <v>0</v>
      </c>
      <c r="P154">
        <v>1</v>
      </c>
      <c r="Q154">
        <v>0</v>
      </c>
      <c r="R154" s="217">
        <f>ROUNDUP(Main[[#This Row],[Transport2]]/Main[[#This Row],[Cantidad_Min]],2)</f>
        <v>0.53</v>
      </c>
      <c r="S154">
        <f>_xlfn.XLOOKUP(Main[[#This Row],[Type of Box]], Cajas[Nombre], Cajas[Largo])</f>
        <v>99</v>
      </c>
      <c r="T154">
        <f>_xlfn.XLOOKUP(Main[[#This Row],[Type of Box]], Cajas[Nombre], Cajas[Ancho])</f>
        <v>35</v>
      </c>
      <c r="U154">
        <f>_xlfn.XLOOKUP(Main[[#This Row],[Type of Box]], Cajas[Nombre], Cajas[Alto])</f>
        <v>16</v>
      </c>
      <c r="V15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54">
        <f>ROUNDUP(((Main[[#This Row],[Volumen]]*5.25))*1.36,2)</f>
        <v>65.98</v>
      </c>
      <c r="X154" s="219">
        <v>0.15859999999999999</v>
      </c>
      <c r="Y154" s="361">
        <f>Main[[#This Row],[Cantidad_Min]]*Main[[#This Row],[Precio]]*Main[[#This Row],[Qty]]</f>
        <v>173.75</v>
      </c>
      <c r="Z154">
        <f>_xlfn.XLOOKUP(Main[[#This Row],[Finca]], Fincas[Nombre], Fincas[ID])</f>
        <v>23</v>
      </c>
      <c r="AA154" t="str" cm="1">
        <f t="array" ref="AA15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54" s="2" t="s">
        <v>33</v>
      </c>
      <c r="AC154" s="400"/>
      <c r="AD154" s="225" t="s">
        <v>155</v>
      </c>
    </row>
    <row r="155" spans="1:30" x14ac:dyDescent="0.25">
      <c r="A155" s="385" t="s">
        <v>208</v>
      </c>
      <c r="B155" s="386">
        <v>1</v>
      </c>
      <c r="C155" s="386" t="s">
        <v>35</v>
      </c>
      <c r="D155" s="385">
        <v>100</v>
      </c>
      <c r="E155" s="387">
        <v>100</v>
      </c>
      <c r="F155" s="387" t="s">
        <v>55</v>
      </c>
      <c r="G155" t="str">
        <f>"50 Miss Piggy/25 Yellow/25 Purple " &amp; _xlfn.XLOOKUP(Main[[#This Row],[FechaEntrega]], Guias[Fecha], Guias[Llegada])</f>
        <v>50 Miss Piggy/25 Yellow/25 Purple (T/W)</v>
      </c>
      <c r="H155" s="1" t="s">
        <v>1065</v>
      </c>
      <c r="I155" s="235">
        <v>0.35</v>
      </c>
      <c r="J155" s="69">
        <f>_xlfn.LET(
  _xlpm.result, 1-((Main[[#This Row],[Cost]]+Main[[#This Row],[Duties]]+Main[[#This Row],[Transport]])/((Main[[#This Row],[Precio]]*0.96))),
  IF(_xlpm.result&lt;0, "BAJO", IF(_xlpm.result&gt;1, "ALTO", _xlpm.result))
)</f>
        <v>0.28016493055555547</v>
      </c>
      <c r="K155" s="131">
        <v>1.5483870967741935</v>
      </c>
      <c r="L155" s="360" cm="1">
        <f t="array" aca="1" ref="L15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55" s="152">
        <f>Guias!$B$3</f>
        <v>46310</v>
      </c>
      <c r="N155" s="216">
        <f>ROUNDUP((Main[[#This Row],[Cost]]*Main[[#This Row],[Import Duties]]),2)</f>
        <v>6.0000000000000005E-2</v>
      </c>
      <c r="O155">
        <v>0</v>
      </c>
      <c r="P155">
        <v>1</v>
      </c>
      <c r="Q155">
        <v>0</v>
      </c>
      <c r="R155" s="217">
        <f>ROUNDUP(Main[[#This Row],[Transport2]]/Main[[#This Row],[Cantidad_Min]],2)</f>
        <v>0.66</v>
      </c>
      <c r="S155">
        <f>_xlfn.XLOOKUP(Main[[#This Row],[Type of Box]], Cajas[Nombre], Cajas[Largo])</f>
        <v>99</v>
      </c>
      <c r="T155">
        <f>_xlfn.XLOOKUP(Main[[#This Row],[Type of Box]], Cajas[Nombre], Cajas[Ancho])</f>
        <v>35</v>
      </c>
      <c r="U155">
        <f>_xlfn.XLOOKUP(Main[[#This Row],[Type of Box]], Cajas[Nombre], Cajas[Alto])</f>
        <v>16</v>
      </c>
      <c r="V15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55">
        <f>ROUNDUP(((Main[[#This Row],[Volumen]]*5.25))*1.36,2)</f>
        <v>65.98</v>
      </c>
      <c r="X155" s="219">
        <v>0.15859999999999999</v>
      </c>
      <c r="Y155" s="361">
        <f>Main[[#This Row],[Cantidad_Min]]*Main[[#This Row],[Precio]]*Main[[#This Row],[Qty]]</f>
        <v>154.83870967741936</v>
      </c>
      <c r="Z155">
        <f>_xlfn.XLOOKUP(Main[[#This Row],[Finca]], Fincas[Nombre], Fincas[ID])</f>
        <v>23</v>
      </c>
      <c r="AA155" t="str" cm="1">
        <f t="array" ref="AA15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55" s="2" t="s">
        <v>33</v>
      </c>
      <c r="AC155" s="400"/>
      <c r="AD155" s="225" t="s">
        <v>212</v>
      </c>
    </row>
    <row r="156" spans="1:30" x14ac:dyDescent="0.25">
      <c r="A156" s="33" t="s">
        <v>208</v>
      </c>
      <c r="B156" s="153">
        <v>5</v>
      </c>
      <c r="C156" s="153" t="s">
        <v>31</v>
      </c>
      <c r="D156" s="33">
        <v>50</v>
      </c>
      <c r="E156">
        <v>50</v>
      </c>
      <c r="F156" t="s">
        <v>209</v>
      </c>
      <c r="G156" t="str">
        <f>"Assorted Colors " &amp; _xlfn.XLOOKUP(Main[[#This Row],[FechaEntrega]], Guias[Fecha], Guias[Llegada])</f>
        <v>Assorted Colors (T/W)</v>
      </c>
      <c r="H156" s="1" t="s">
        <v>1066</v>
      </c>
      <c r="I156" s="235">
        <v>0.36</v>
      </c>
      <c r="J156" s="69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156" s="131">
        <v>1.59</v>
      </c>
      <c r="L156" s="360" cm="1">
        <f t="array" aca="1" ref="L15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56" s="152">
        <f>Guias!$B$3</f>
        <v>46310</v>
      </c>
      <c r="N156" s="216">
        <f>ROUNDUP((Main[[#This Row],[Cost]]*Main[[#This Row],[Import Duties]]),2)</f>
        <v>6.0000000000000005E-2</v>
      </c>
      <c r="O156">
        <v>0</v>
      </c>
      <c r="P156">
        <v>1</v>
      </c>
      <c r="Q156">
        <v>0</v>
      </c>
      <c r="R156" s="217">
        <f>ROUNDUP(Main[[#This Row],[Transport2]]/Main[[#This Row],[Cantidad_Min]],2)</f>
        <v>0.73</v>
      </c>
      <c r="S156">
        <f>_xlfn.XLOOKUP(Main[[#This Row],[Type of Box]], Cajas[Nombre], Cajas[Largo])</f>
        <v>105</v>
      </c>
      <c r="T156">
        <f>_xlfn.XLOOKUP(Main[[#This Row],[Type of Box]], Cajas[Nombre], Cajas[Ancho])</f>
        <v>17</v>
      </c>
      <c r="U156">
        <f>_xlfn.XLOOKUP(Main[[#This Row],[Type of Box]], Cajas[Nombre], Cajas[Alto])</f>
        <v>17</v>
      </c>
      <c r="V15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6">
        <f>ROUNDUP(((Main[[#This Row],[Volumen]]*5.25))*1.36,2)</f>
        <v>36.119999999999997</v>
      </c>
      <c r="X156" s="219">
        <v>0.15859999999999999</v>
      </c>
      <c r="Y156" s="361">
        <f>Main[[#This Row],[Cantidad_Min]]*Main[[#This Row],[Precio]]*Main[[#This Row],[Qty]]</f>
        <v>397.5</v>
      </c>
      <c r="Z156">
        <f>_xlfn.XLOOKUP(Main[[#This Row],[Finca]], Fincas[Nombre], Fincas[ID])</f>
        <v>23</v>
      </c>
      <c r="AA156" t="str" cm="1">
        <f t="array" ref="AA15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56" s="2" t="s">
        <v>33</v>
      </c>
      <c r="AC156" s="5"/>
      <c r="AD156" s="224"/>
    </row>
    <row r="157" spans="1:30" x14ac:dyDescent="0.25">
      <c r="A157" s="33" t="s">
        <v>208</v>
      </c>
      <c r="B157" s="153">
        <v>3</v>
      </c>
      <c r="C157" s="153" t="s">
        <v>31</v>
      </c>
      <c r="D157" s="33">
        <v>50</v>
      </c>
      <c r="E157">
        <v>50</v>
      </c>
      <c r="F157" t="s">
        <v>209</v>
      </c>
      <c r="G157" t="str">
        <f>"Assorted Colors " &amp; _xlfn.XLOOKUP(Main[[#This Row],[FechaEntrega]], Guias[Fecha], Guias[Llegada])</f>
        <v>Assorted Colors (M/T)</v>
      </c>
      <c r="H157" s="1" t="s">
        <v>1067</v>
      </c>
      <c r="I157" s="235">
        <v>0.36</v>
      </c>
      <c r="J157" s="69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157" s="131">
        <v>1.59</v>
      </c>
      <c r="L157" s="360" cm="1">
        <f t="array" aca="1" ref="L15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57" s="152">
        <f>Guias!$B$2</f>
        <v>46309</v>
      </c>
      <c r="N157" s="216">
        <f>ROUNDUP((Main[[#This Row],[Cost]]*Main[[#This Row],[Import Duties]]),2)</f>
        <v>6.0000000000000005E-2</v>
      </c>
      <c r="O157">
        <v>0</v>
      </c>
      <c r="P157">
        <v>1</v>
      </c>
      <c r="Q157">
        <v>0</v>
      </c>
      <c r="R157" s="217">
        <f>ROUNDUP(Main[[#This Row],[Transport2]]/Main[[#This Row],[Cantidad_Min]],2)</f>
        <v>0.73</v>
      </c>
      <c r="S157">
        <f>_xlfn.XLOOKUP(Main[[#This Row],[Type of Box]], Cajas[Nombre], Cajas[Largo])</f>
        <v>105</v>
      </c>
      <c r="T157">
        <f>_xlfn.XLOOKUP(Main[[#This Row],[Type of Box]], Cajas[Nombre], Cajas[Ancho])</f>
        <v>17</v>
      </c>
      <c r="U157">
        <f>_xlfn.XLOOKUP(Main[[#This Row],[Type of Box]], Cajas[Nombre], Cajas[Alto])</f>
        <v>17</v>
      </c>
      <c r="V15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7">
        <f>ROUNDUP(((Main[[#This Row],[Volumen]]*5.25))*1.36,2)</f>
        <v>36.119999999999997</v>
      </c>
      <c r="X157" s="219">
        <v>0.15859999999999999</v>
      </c>
      <c r="Y157" s="361">
        <f>Main[[#This Row],[Cantidad_Min]]*Main[[#This Row],[Precio]]*Main[[#This Row],[Qty]]</f>
        <v>238.5</v>
      </c>
      <c r="Z157">
        <f>_xlfn.XLOOKUP(Main[[#This Row],[Finca]], Fincas[Nombre], Fincas[ID])</f>
        <v>23</v>
      </c>
      <c r="AA157" t="str" cm="1">
        <f t="array" ref="AA15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57" s="2" t="s">
        <v>33</v>
      </c>
      <c r="AC157" s="249"/>
      <c r="AD157" s="225" t="s">
        <v>125</v>
      </c>
    </row>
    <row r="158" spans="1:30" x14ac:dyDescent="0.25">
      <c r="A158" s="33" t="s">
        <v>208</v>
      </c>
      <c r="B158" s="153">
        <v>1</v>
      </c>
      <c r="C158" s="153" t="s">
        <v>31</v>
      </c>
      <c r="D158" s="33">
        <v>50</v>
      </c>
      <c r="E158">
        <v>50</v>
      </c>
      <c r="F158" t="s">
        <v>213</v>
      </c>
      <c r="G158" t="str">
        <f>"Assorted Colors " &amp; _xlfn.XLOOKUP(Main[[#This Row],[FechaEntrega]], Guias[Fecha], Guias[Llegada])</f>
        <v>Assorted Colors (M/T)</v>
      </c>
      <c r="H158" s="1" t="s">
        <v>1068</v>
      </c>
      <c r="I158" s="235">
        <v>0.36</v>
      </c>
      <c r="J158" s="69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158" s="131">
        <v>1.59</v>
      </c>
      <c r="L158" s="360" cm="1">
        <f t="array" aca="1" ref="L15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58" s="152">
        <f>Guias!$B$2</f>
        <v>46309</v>
      </c>
      <c r="N158" s="216">
        <f>ROUNDUP((Main[[#This Row],[Cost]]*Main[[#This Row],[Import Duties]]),2)</f>
        <v>6.0000000000000005E-2</v>
      </c>
      <c r="O158">
        <v>0</v>
      </c>
      <c r="P158">
        <v>1</v>
      </c>
      <c r="Q158">
        <v>0</v>
      </c>
      <c r="R158" s="217">
        <f>ROUNDUP(Main[[#This Row],[Transport2]]/Main[[#This Row],[Cantidad_Min]],2)</f>
        <v>0.73</v>
      </c>
      <c r="S158">
        <f>_xlfn.XLOOKUP(Main[[#This Row],[Type of Box]], Cajas[Nombre], Cajas[Largo])</f>
        <v>105</v>
      </c>
      <c r="T158">
        <f>_xlfn.XLOOKUP(Main[[#This Row],[Type of Box]], Cajas[Nombre], Cajas[Ancho])</f>
        <v>17</v>
      </c>
      <c r="U158">
        <f>_xlfn.XLOOKUP(Main[[#This Row],[Type of Box]], Cajas[Nombre], Cajas[Alto])</f>
        <v>17</v>
      </c>
      <c r="V15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8">
        <f>ROUNDUP(((Main[[#This Row],[Volumen]]*5.25))*1.36,2)</f>
        <v>36.119999999999997</v>
      </c>
      <c r="X158" s="219">
        <v>0.15859999999999999</v>
      </c>
      <c r="Y158" s="361">
        <f>Main[[#This Row],[Cantidad_Min]]*Main[[#This Row],[Precio]]*Main[[#This Row],[Qty]]</f>
        <v>79.5</v>
      </c>
      <c r="Z158">
        <f>_xlfn.XLOOKUP(Main[[#This Row],[Finca]], Fincas[Nombre], Fincas[ID])</f>
        <v>23</v>
      </c>
      <c r="AA158" t="str" cm="1">
        <f t="array" ref="AA15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denriquez,</v>
      </c>
      <c r="AB158" s="2" t="s">
        <v>33</v>
      </c>
      <c r="AC158" s="249"/>
      <c r="AD158" s="225" t="s">
        <v>214</v>
      </c>
    </row>
    <row r="159" spans="1:30" ht="15.75" thickBot="1" x14ac:dyDescent="0.3">
      <c r="A159" s="33" t="s">
        <v>208</v>
      </c>
      <c r="B159" s="153">
        <v>1</v>
      </c>
      <c r="C159" s="153" t="s">
        <v>31</v>
      </c>
      <c r="D159" s="33">
        <v>50</v>
      </c>
      <c r="E159">
        <v>50</v>
      </c>
      <c r="F159" t="s">
        <v>215</v>
      </c>
      <c r="G159" t="str">
        <f>"Assorted Colors " &amp; _xlfn.XLOOKUP(Main[[#This Row],[FechaEntrega]], Guias[Fecha], Guias[Llegada])</f>
        <v>Assorted Colors (M/T)</v>
      </c>
      <c r="H159" s="1" t="s">
        <v>1069</v>
      </c>
      <c r="I159" s="235">
        <v>0.36</v>
      </c>
      <c r="J159" s="69">
        <f>_xlfn.LET(
  _xlpm.result, 1-((Main[[#This Row],[Cost]]+Main[[#This Row],[Duties]]+Main[[#This Row],[Transport]])/((Main[[#This Row],[Precio]]*0.96))),
  IF(_xlpm.result&lt;0, "BAJO", IF(_xlpm.result&gt;1, "ALTO", _xlpm.result))
)</f>
        <v>0.24659329140461217</v>
      </c>
      <c r="K159" s="131">
        <v>1.59</v>
      </c>
      <c r="L159" s="360" cm="1">
        <f t="array" aca="1" ref="L15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59" s="152">
        <f>Guias!$B$2</f>
        <v>46309</v>
      </c>
      <c r="N159" s="216">
        <f>ROUNDUP((Main[[#This Row],[Cost]]*Main[[#This Row],[Import Duties]]),2)</f>
        <v>6.0000000000000005E-2</v>
      </c>
      <c r="O159">
        <v>0</v>
      </c>
      <c r="P159">
        <v>1</v>
      </c>
      <c r="Q159">
        <v>0</v>
      </c>
      <c r="R159" s="217">
        <f>ROUNDUP(Main[[#This Row],[Transport2]]/Main[[#This Row],[Cantidad_Min]],2)</f>
        <v>0.73</v>
      </c>
      <c r="S159">
        <f>_xlfn.XLOOKUP(Main[[#This Row],[Type of Box]], Cajas[Nombre], Cajas[Largo])</f>
        <v>105</v>
      </c>
      <c r="T159">
        <f>_xlfn.XLOOKUP(Main[[#This Row],[Type of Box]], Cajas[Nombre], Cajas[Ancho])</f>
        <v>17</v>
      </c>
      <c r="U159">
        <f>_xlfn.XLOOKUP(Main[[#This Row],[Type of Box]], Cajas[Nombre], Cajas[Alto])</f>
        <v>17</v>
      </c>
      <c r="V15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59">
        <f>ROUNDUP(((Main[[#This Row],[Volumen]]*5.25))*1.36,2)</f>
        <v>36.119999999999997</v>
      </c>
      <c r="X159" s="219">
        <v>0.15859999999999999</v>
      </c>
      <c r="Y159" s="361">
        <f>Main[[#This Row],[Cantidad_Min]]*Main[[#This Row],[Precio]]*Main[[#This Row],[Qty]]</f>
        <v>79.5</v>
      </c>
      <c r="Z159">
        <f>_xlfn.XLOOKUP(Main[[#This Row],[Finca]], Fincas[Nombre], Fincas[ID])</f>
        <v>23</v>
      </c>
      <c r="AA159" t="str" cm="1">
        <f t="array" ref="AA15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59" s="2" t="s">
        <v>33</v>
      </c>
      <c r="AC159" s="249"/>
      <c r="AD159" s="382"/>
    </row>
    <row r="160" spans="1:30" x14ac:dyDescent="0.25">
      <c r="A160" s="446" t="s">
        <v>216</v>
      </c>
      <c r="B160" s="447">
        <v>1</v>
      </c>
      <c r="C160" s="447" t="s">
        <v>35</v>
      </c>
      <c r="D160" s="446">
        <v>125</v>
      </c>
      <c r="E160" s="448">
        <v>125</v>
      </c>
      <c r="F160" s="448" t="s">
        <v>55</v>
      </c>
      <c r="G160" s="418" t="str">
        <f>"25 Playa Blanca/25 Freedom/25 Full Monty/25 Deep Purple/25 Brighton " &amp; _xlfn.XLOOKUP(Main[[#This Row],[FechaEntrega]], Guias[Fecha], Guias[Llegada])</f>
        <v>25 Playa Blanca/25 Freedom/25 Full Monty/25 Deep Purple/25 Brighton (M/T)</v>
      </c>
      <c r="H160" s="1" t="s">
        <v>1070</v>
      </c>
      <c r="I160" s="419">
        <v>0.3</v>
      </c>
      <c r="J160" s="420">
        <f>_xlfn.LET(
  _xlpm.result, 1-((Main[[#This Row],[Cost]]+Main[[#This Row],[Duties]]+Main[[#This Row],[Transport]])/((Main[[#This Row],[Precio]]*0.96))),
  IF(_xlpm.result&lt;0, "BAJO", IF(_xlpm.result&gt;1, "ALTO", _xlpm.result))
)</f>
        <v>0.31249999999999989</v>
      </c>
      <c r="K160" s="421">
        <v>1.3333333333333333</v>
      </c>
      <c r="L160" s="422" cm="1">
        <f t="array" aca="1" ref="L16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60" s="423">
        <f>Guias!$B$2</f>
        <v>46309</v>
      </c>
      <c r="N160" s="424">
        <f>ROUNDUP((Main[[#This Row],[Cost]]*Main[[#This Row],[Import Duties]]),2)</f>
        <v>0.05</v>
      </c>
      <c r="O160" s="418">
        <v>0</v>
      </c>
      <c r="P160" s="418">
        <v>1</v>
      </c>
      <c r="Q160" s="418">
        <v>0</v>
      </c>
      <c r="R160" s="425">
        <f>ROUNDUP(Main[[#This Row],[Transport2]]/Main[[#This Row],[Cantidad_Min]],2)</f>
        <v>0.53</v>
      </c>
      <c r="S160" s="418">
        <f>_xlfn.XLOOKUP(Main[[#This Row],[Type of Box]], Cajas[Nombre], Cajas[Largo])</f>
        <v>99</v>
      </c>
      <c r="T160" s="418">
        <f>_xlfn.XLOOKUP(Main[[#This Row],[Type of Box]], Cajas[Nombre], Cajas[Ancho])</f>
        <v>35</v>
      </c>
      <c r="U160" s="418">
        <f>_xlfn.XLOOKUP(Main[[#This Row],[Type of Box]], Cajas[Nombre], Cajas[Alto])</f>
        <v>16</v>
      </c>
      <c r="V160" s="4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0" s="418">
        <f>ROUNDUP(((Main[[#This Row],[Volumen]]*5.25))*1.36,2)</f>
        <v>65.98</v>
      </c>
      <c r="X160" s="426">
        <v>0.15859999999999999</v>
      </c>
      <c r="Y160" s="427">
        <f>Main[[#This Row],[Cantidad_Min]]*Main[[#This Row],[Precio]]*Main[[#This Row],[Qty]]</f>
        <v>166.66666666666666</v>
      </c>
      <c r="Z160" s="418">
        <f>_xlfn.XLOOKUP(Main[[#This Row],[Finca]], Fincas[Nombre], Fincas[ID])</f>
        <v>70</v>
      </c>
      <c r="AA160" s="418" t="str" cm="1">
        <f t="array" ref="AA16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60" s="428" t="s">
        <v>33</v>
      </c>
      <c r="AC160" s="429"/>
      <c r="AD160" s="465" t="s">
        <v>133</v>
      </c>
    </row>
    <row r="161" spans="1:30" x14ac:dyDescent="0.25">
      <c r="A161" s="385" t="s">
        <v>216</v>
      </c>
      <c r="B161" s="386">
        <v>1</v>
      </c>
      <c r="C161" s="386" t="s">
        <v>35</v>
      </c>
      <c r="D161" s="385">
        <v>125</v>
      </c>
      <c r="E161" s="387">
        <v>125</v>
      </c>
      <c r="F161" s="387" t="s">
        <v>55</v>
      </c>
      <c r="G161" t="str">
        <f>"50 Proud/25 Sweet Memory/25 Atlas/25 Shocking Blue " &amp; _xlfn.XLOOKUP(Main[[#This Row],[FechaEntrega]], Guias[Fecha], Guias[Llegada])</f>
        <v>50 Proud/25 Sweet Memory/25 Atlas/25 Shocking Blue (M/T)</v>
      </c>
      <c r="H161" s="1" t="s">
        <v>1071</v>
      </c>
      <c r="I161" s="235">
        <v>0.3</v>
      </c>
      <c r="J161" s="69">
        <f>_xlfn.LET(
  _xlpm.result, 1-((Main[[#This Row],[Cost]]+Main[[#This Row],[Duties]]+Main[[#This Row],[Transport]])/((Main[[#This Row],[Precio]]*0.96))),
  IF(_xlpm.result&lt;0, "BAJO", IF(_xlpm.result&gt;1, "ALTO", _xlpm.result))
)</f>
        <v>0.20289855072463758</v>
      </c>
      <c r="K161" s="131">
        <v>1.1499999999999999</v>
      </c>
      <c r="L161" s="360" cm="1">
        <f t="array" aca="1" ref="L16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61" s="152">
        <f>Guias!$B$2</f>
        <v>46309</v>
      </c>
      <c r="N161" s="216">
        <f>ROUNDUP((Main[[#This Row],[Cost]]*Main[[#This Row],[Import Duties]]),2)</f>
        <v>0.05</v>
      </c>
      <c r="O161">
        <v>0</v>
      </c>
      <c r="P161">
        <v>1</v>
      </c>
      <c r="Q161">
        <v>0</v>
      </c>
      <c r="R161" s="217">
        <f>ROUNDUP(Main[[#This Row],[Transport2]]/Main[[#This Row],[Cantidad_Min]],2)</f>
        <v>0.53</v>
      </c>
      <c r="S161">
        <f>_xlfn.XLOOKUP(Main[[#This Row],[Type of Box]], Cajas[Nombre], Cajas[Largo])</f>
        <v>99</v>
      </c>
      <c r="T161">
        <f>_xlfn.XLOOKUP(Main[[#This Row],[Type of Box]], Cajas[Nombre], Cajas[Ancho])</f>
        <v>35</v>
      </c>
      <c r="U161">
        <f>_xlfn.XLOOKUP(Main[[#This Row],[Type of Box]], Cajas[Nombre], Cajas[Alto])</f>
        <v>16</v>
      </c>
      <c r="V16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1">
        <f>ROUNDUP(((Main[[#This Row],[Volumen]]*5.25))*1.36,2)</f>
        <v>65.98</v>
      </c>
      <c r="X161" s="219">
        <v>0.15859999999999999</v>
      </c>
      <c r="Y161" s="361">
        <f>Main[[#This Row],[Cantidad_Min]]*Main[[#This Row],[Precio]]*Main[[#This Row],[Qty]]</f>
        <v>143.75</v>
      </c>
      <c r="Z161">
        <f>_xlfn.XLOOKUP(Main[[#This Row],[Finca]], Fincas[Nombre], Fincas[ID])</f>
        <v>70</v>
      </c>
      <c r="AA161" t="str" cm="1">
        <f t="array" ref="AA16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61" s="2" t="s">
        <v>33</v>
      </c>
      <c r="AC161" s="400"/>
      <c r="AD161" s="224" t="s">
        <v>81</v>
      </c>
    </row>
    <row r="162" spans="1:30" x14ac:dyDescent="0.25">
      <c r="A162" s="385" t="s">
        <v>216</v>
      </c>
      <c r="B162" s="386">
        <v>1</v>
      </c>
      <c r="C162" s="386" t="s">
        <v>35</v>
      </c>
      <c r="D162" s="385">
        <v>125</v>
      </c>
      <c r="E162" s="387">
        <v>125</v>
      </c>
      <c r="F162" s="387" t="s">
        <v>55</v>
      </c>
      <c r="G162" t="str">
        <f>"25 Born Free/25 Proud/25 Fasination/25 Shocking Blue/25 Atomic " &amp; _xlfn.XLOOKUP(Main[[#This Row],[FechaEntrega]], Guias[Fecha], Guias[Llegada])</f>
        <v>25 Born Free/25 Proud/25 Fasination/25 Shocking Blue/25 Atomic (M/T)</v>
      </c>
      <c r="H162" s="1" t="s">
        <v>1072</v>
      </c>
      <c r="I162" s="235">
        <v>0.33</v>
      </c>
      <c r="J162" s="69">
        <f>_xlfn.LET(
  _xlpm.result, 1-((Main[[#This Row],[Cost]]+Main[[#This Row],[Duties]]+Main[[#This Row],[Transport]])/((Main[[#This Row],[Precio]]*0.96))),
  IF(_xlpm.result&lt;0, "BAJO", IF(_xlpm.result&gt;1, "ALTO", _xlpm.result))
)</f>
        <v>0.25710594315245472</v>
      </c>
      <c r="K162" s="131">
        <v>1.29</v>
      </c>
      <c r="L162" s="360" cm="1">
        <f t="array" aca="1" ref="L16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62" s="152">
        <f>Guias!$B$2</f>
        <v>46309</v>
      </c>
      <c r="N162" s="216">
        <f>ROUNDUP((Main[[#This Row],[Cost]]*Main[[#This Row],[Import Duties]]),2)</f>
        <v>6.0000000000000005E-2</v>
      </c>
      <c r="O162">
        <v>0</v>
      </c>
      <c r="P162">
        <v>1</v>
      </c>
      <c r="Q162">
        <v>0</v>
      </c>
      <c r="R162" s="217">
        <f>ROUNDUP(Main[[#This Row],[Transport2]]/Main[[#This Row],[Cantidad_Min]],2)</f>
        <v>0.53</v>
      </c>
      <c r="S162">
        <f>_xlfn.XLOOKUP(Main[[#This Row],[Type of Box]], Cajas[Nombre], Cajas[Largo])</f>
        <v>99</v>
      </c>
      <c r="T162">
        <f>_xlfn.XLOOKUP(Main[[#This Row],[Type of Box]], Cajas[Nombre], Cajas[Ancho])</f>
        <v>35</v>
      </c>
      <c r="U162">
        <f>_xlfn.XLOOKUP(Main[[#This Row],[Type of Box]], Cajas[Nombre], Cajas[Alto])</f>
        <v>16</v>
      </c>
      <c r="V16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2">
        <f>ROUNDUP(((Main[[#This Row],[Volumen]]*5.25))*1.36,2)</f>
        <v>65.98</v>
      </c>
      <c r="X162" s="219">
        <v>0.15859999999999999</v>
      </c>
      <c r="Y162" s="361">
        <f>Main[[#This Row],[Cantidad_Min]]*Main[[#This Row],[Precio]]*Main[[#This Row],[Qty]]</f>
        <v>161.25</v>
      </c>
      <c r="Z162">
        <f>_xlfn.XLOOKUP(Main[[#This Row],[Finca]], Fincas[Nombre], Fincas[ID])</f>
        <v>70</v>
      </c>
      <c r="AA162" t="str" cm="1">
        <f t="array" ref="AA16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62" s="2" t="s">
        <v>33</v>
      </c>
      <c r="AC162" s="400"/>
      <c r="AD162" s="224" t="s">
        <v>217</v>
      </c>
    </row>
    <row r="163" spans="1:30" x14ac:dyDescent="0.25">
      <c r="A163" s="154" t="s">
        <v>216</v>
      </c>
      <c r="B163" s="155">
        <f>IF(Main[[#This Row],[SendEmail]]="Y", 1, 0)</f>
        <v>1</v>
      </c>
      <c r="C163" s="155" t="s">
        <v>35</v>
      </c>
      <c r="D163" s="154">
        <v>125</v>
      </c>
      <c r="E163" s="236">
        <v>125</v>
      </c>
      <c r="F163" s="236" t="s">
        <v>89</v>
      </c>
      <c r="G163" t="s">
        <v>218</v>
      </c>
      <c r="H163" s="1" t="s">
        <v>1073</v>
      </c>
      <c r="I163" s="235">
        <v>0.3</v>
      </c>
      <c r="J163" s="69">
        <f>_xlfn.LET(
  _xlpm.result, 1-((Main[[#This Row],[Cost]]+Main[[#This Row],[Duties]]+Main[[#This Row],[Transport]])/((Main[[#This Row],[Precio]]*0.96))),
  IF(_xlpm.result&lt;0, "BAJO", IF(_xlpm.result&gt;1, "ALTO", _xlpm.result))
)</f>
        <v>0.20289855072463758</v>
      </c>
      <c r="K163" s="131">
        <v>1.1499999999999999</v>
      </c>
      <c r="L163" s="360" cm="1">
        <f t="array" aca="1" ref="L16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63" s="152">
        <f>Guias!$B$2</f>
        <v>46309</v>
      </c>
      <c r="N163" s="398">
        <f>ROUNDUP((Main[[#This Row],[Cost]]*Main[[#This Row],[Import Duties]]),2)</f>
        <v>0.05</v>
      </c>
      <c r="O163">
        <v>0</v>
      </c>
      <c r="P163">
        <v>1</v>
      </c>
      <c r="Q163">
        <v>0</v>
      </c>
      <c r="R163" s="399">
        <f>ROUNDUP(Main[[#This Row],[Transport2]]/Main[[#This Row],[Cantidad_Min]],2)</f>
        <v>0.53</v>
      </c>
      <c r="S163">
        <f>_xlfn.XLOOKUP(Main[[#This Row],[Type of Box]], Cajas[Nombre], Cajas[Largo])</f>
        <v>99</v>
      </c>
      <c r="T163">
        <f>_xlfn.XLOOKUP(Main[[#This Row],[Type of Box]], Cajas[Nombre], Cajas[Ancho])</f>
        <v>35</v>
      </c>
      <c r="U163">
        <f>_xlfn.XLOOKUP(Main[[#This Row],[Type of Box]], Cajas[Nombre], Cajas[Alto])</f>
        <v>16</v>
      </c>
      <c r="V16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3">
        <f>ROUNDUP(((Main[[#This Row],[Volumen]]*5.25))*1.36,2)</f>
        <v>65.98</v>
      </c>
      <c r="X163" s="219">
        <v>0.15859999999999999</v>
      </c>
      <c r="Y163" s="361">
        <f>Main[[#This Row],[Cantidad_Min]]*Main[[#This Row],[Precio]]*Main[[#This Row],[Qty]]</f>
        <v>143.75</v>
      </c>
      <c r="Z163">
        <f>_xlfn.XLOOKUP(Main[[#This Row],[Finca]], Fincas[Nombre], Fincas[ID])</f>
        <v>70</v>
      </c>
      <c r="AA163" t="str" cm="1">
        <f t="array" ref="AA16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63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63" s="400"/>
      <c r="AD163" s="224" t="s">
        <v>219</v>
      </c>
    </row>
    <row r="164" spans="1:30" x14ac:dyDescent="0.25">
      <c r="A164" s="33" t="s">
        <v>220</v>
      </c>
      <c r="B164" s="153">
        <v>1</v>
      </c>
      <c r="C164" s="153" t="s">
        <v>35</v>
      </c>
      <c r="D164" s="33">
        <v>125</v>
      </c>
      <c r="E164">
        <v>125</v>
      </c>
      <c r="F164" t="s">
        <v>89</v>
      </c>
      <c r="G164" t="str">
        <f>"Hermosa " &amp; _xlfn.XLOOKUP(Main[[#This Row],[FechaEntrega]], Guias[Fecha], Guias[Llegada])</f>
        <v>Hermosa (M/T)</v>
      </c>
      <c r="H164" s="1" t="s">
        <v>1074</v>
      </c>
      <c r="I164" s="235">
        <v>0.45</v>
      </c>
      <c r="J164" s="69">
        <f>_xlfn.LET(
  _xlpm.result, 1-((Main[[#This Row],[Cost]]+Main[[#This Row],[Duties]]+Main[[#This Row],[Transport]])/((Main[[#This Row],[Precio]]*0.96))),
  IF(_xlpm.result&lt;0, "BAJO", IF(_xlpm.result&gt;1, "ALTO", _xlpm.result))
)</f>
        <v>0.23321759259259245</v>
      </c>
      <c r="K164" s="131">
        <v>1.44</v>
      </c>
      <c r="L164" s="360" cm="1">
        <f t="array" aca="1" ref="L16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64" s="152">
        <f>Guias!$B$2</f>
        <v>46309</v>
      </c>
      <c r="N164" s="216">
        <f>ROUNDUP((Main[[#This Row],[Cost]]*Main[[#This Row],[Import Duties]]),2)</f>
        <v>0.08</v>
      </c>
      <c r="O164">
        <v>0</v>
      </c>
      <c r="P164">
        <v>1</v>
      </c>
      <c r="Q164">
        <v>0</v>
      </c>
      <c r="R164" s="217">
        <f>ROUNDUP(Main[[#This Row],[Transport2]]/Main[[#This Row],[Cantidad_Min]],2)</f>
        <v>0.53</v>
      </c>
      <c r="S164">
        <f>_xlfn.XLOOKUP(Main[[#This Row],[Type of Box]], Cajas[Nombre], Cajas[Largo])</f>
        <v>99</v>
      </c>
      <c r="T164">
        <f>_xlfn.XLOOKUP(Main[[#This Row],[Type of Box]], Cajas[Nombre], Cajas[Ancho])</f>
        <v>35</v>
      </c>
      <c r="U164">
        <f>_xlfn.XLOOKUP(Main[[#This Row],[Type of Box]], Cajas[Nombre], Cajas[Alto])</f>
        <v>16</v>
      </c>
      <c r="V16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4">
        <f>ROUNDUP(((Main[[#This Row],[Volumen]]*5.25))*1.36,2)</f>
        <v>65.98</v>
      </c>
      <c r="X164" s="219">
        <v>0.15859999999999999</v>
      </c>
      <c r="Y164" s="361">
        <f>Main[[#This Row],[Cantidad_Min]]*Main[[#This Row],[Precio]]*Main[[#This Row],[Qty]]</f>
        <v>180</v>
      </c>
      <c r="Z164">
        <f>_xlfn.XLOOKUP(Main[[#This Row],[Finca]], Fincas[Nombre], Fincas[ID])</f>
        <v>35</v>
      </c>
      <c r="AA164" t="str" cm="1">
        <f t="array" ref="AA16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4" s="2" t="s">
        <v>33</v>
      </c>
      <c r="AC164" s="5"/>
      <c r="AD164" s="224"/>
    </row>
    <row r="165" spans="1:30" ht="15.75" thickBot="1" x14ac:dyDescent="0.3">
      <c r="A165" s="33" t="s">
        <v>220</v>
      </c>
      <c r="B165" s="153">
        <v>2</v>
      </c>
      <c r="C165" s="153" t="s">
        <v>35</v>
      </c>
      <c r="D165" s="33">
        <v>125</v>
      </c>
      <c r="E165">
        <v>125</v>
      </c>
      <c r="F165" t="s">
        <v>89</v>
      </c>
      <c r="G165" t="str">
        <f>"Freedom " &amp; _xlfn.XLOOKUP(Main[[#This Row],[FechaEntrega]], Guias[Fecha], Guias[Llegada])</f>
        <v>Freedom (M/T)</v>
      </c>
      <c r="H165" s="1" t="s">
        <v>1075</v>
      </c>
      <c r="I165" s="235">
        <v>0.4</v>
      </c>
      <c r="J165" s="69">
        <f>_xlfn.LET(
  _xlpm.result, 1-((Main[[#This Row],[Cost]]+Main[[#This Row],[Duties]]+Main[[#This Row],[Transport]])/((Main[[#This Row],[Precio]]*0.96))),
  IF(_xlpm.result&lt;0, "BAJO", IF(_xlpm.result&gt;1, "ALTO", _xlpm.result))
)</f>
        <v>0.25059952038369293</v>
      </c>
      <c r="K165" s="131">
        <v>1.39</v>
      </c>
      <c r="L165" s="360" cm="1">
        <f t="array" aca="1" ref="L16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65" s="152">
        <f>Guias!$B$2</f>
        <v>46309</v>
      </c>
      <c r="N165" s="216">
        <f>ROUNDUP((Main[[#This Row],[Cost]]*Main[[#This Row],[Import Duties]]),2)</f>
        <v>6.9999999999999993E-2</v>
      </c>
      <c r="O165">
        <v>0</v>
      </c>
      <c r="P165">
        <v>1</v>
      </c>
      <c r="Q165">
        <v>0</v>
      </c>
      <c r="R165" s="217">
        <f>ROUNDUP(Main[[#This Row],[Transport2]]/Main[[#This Row],[Cantidad_Min]],2)</f>
        <v>0.53</v>
      </c>
      <c r="S165">
        <f>_xlfn.XLOOKUP(Main[[#This Row],[Type of Box]], Cajas[Nombre], Cajas[Largo])</f>
        <v>99</v>
      </c>
      <c r="T165">
        <f>_xlfn.XLOOKUP(Main[[#This Row],[Type of Box]], Cajas[Nombre], Cajas[Ancho])</f>
        <v>35</v>
      </c>
      <c r="U165">
        <f>_xlfn.XLOOKUP(Main[[#This Row],[Type of Box]], Cajas[Nombre], Cajas[Alto])</f>
        <v>16</v>
      </c>
      <c r="V16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5">
        <f>ROUNDUP(((Main[[#This Row],[Volumen]]*5.25))*1.36,2)</f>
        <v>65.98</v>
      </c>
      <c r="X165" s="219">
        <v>0.15859999999999999</v>
      </c>
      <c r="Y165" s="361">
        <f>Main[[#This Row],[Cantidad_Min]]*Main[[#This Row],[Precio]]*Main[[#This Row],[Qty]]</f>
        <v>347.5</v>
      </c>
      <c r="Z165">
        <f>_xlfn.XLOOKUP(Main[[#This Row],[Finca]], Fincas[Nombre], Fincas[ID])</f>
        <v>35</v>
      </c>
      <c r="AA165" t="str" cm="1">
        <f t="array" ref="AA16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5" s="2" t="s">
        <v>33</v>
      </c>
      <c r="AC165" s="5"/>
      <c r="AD165" s="224"/>
    </row>
    <row r="166" spans="1:30" s="418" customFormat="1" x14ac:dyDescent="0.25">
      <c r="A166" s="446" t="s">
        <v>221</v>
      </c>
      <c r="B166" s="447">
        <v>1</v>
      </c>
      <c r="C166" s="447" t="s">
        <v>35</v>
      </c>
      <c r="D166" s="446">
        <v>70</v>
      </c>
      <c r="E166" s="448">
        <v>70</v>
      </c>
      <c r="F166" s="448" t="s">
        <v>222</v>
      </c>
      <c r="G166" s="418" t="str">
        <f>"Red/White/Pink/Orange " &amp; _xlfn.XLOOKUP(Main[[#This Row],[FechaEntrega]], Guias[Fecha], Guias[Llegada])</f>
        <v>Red/White/Pink/Orange (T/W)</v>
      </c>
      <c r="H166" s="1" t="s">
        <v>1076</v>
      </c>
      <c r="I166" s="419">
        <v>0.54</v>
      </c>
      <c r="J166" s="420">
        <f>_xlfn.LET(
  _xlpm.result, 1-((Main[[#This Row],[Cost]]+Main[[#This Row],[Duties]]+Main[[#This Row],[Transport]])/((Main[[#This Row],[Precio]]*0.96))),
  IF(_xlpm.result&lt;0, "BAJO", IF(_xlpm.result&gt;1, "ALTO", _xlpm.result))
)</f>
        <v>0.23091900311526481</v>
      </c>
      <c r="K166" s="421">
        <v>2.14</v>
      </c>
      <c r="L166" s="422" cm="1">
        <f t="array" aca="1" ref="L16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66" s="423">
        <f>Guias!$B$3</f>
        <v>46310</v>
      </c>
      <c r="N166" s="424">
        <f>ROUNDUP((Main[[#This Row],[Cost]]*Main[[#This Row],[Import Duties]]),2)</f>
        <v>0.09</v>
      </c>
      <c r="O166" s="418">
        <v>0</v>
      </c>
      <c r="P166" s="418">
        <v>1</v>
      </c>
      <c r="Q166" s="418">
        <v>0</v>
      </c>
      <c r="R166" s="425">
        <f>ROUNDUP(Main[[#This Row],[Transport2]]/Main[[#This Row],[Cantidad_Min]],2)</f>
        <v>0.95</v>
      </c>
      <c r="S166" s="418">
        <f>_xlfn.XLOOKUP(Main[[#This Row],[Type of Box]], Cajas[Nombre], Cajas[Largo])</f>
        <v>99</v>
      </c>
      <c r="T166" s="418">
        <f>_xlfn.XLOOKUP(Main[[#This Row],[Type of Box]], Cajas[Nombre], Cajas[Ancho])</f>
        <v>35</v>
      </c>
      <c r="U166" s="418">
        <f>_xlfn.XLOOKUP(Main[[#This Row],[Type of Box]], Cajas[Nombre], Cajas[Alto])</f>
        <v>16</v>
      </c>
      <c r="V166" s="4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6" s="418">
        <f>ROUNDUP(((Main[[#This Row],[Volumen]]*5.25))*1.36,2)</f>
        <v>65.98</v>
      </c>
      <c r="X166" s="426">
        <v>0.15859999999999999</v>
      </c>
      <c r="Y166" s="427">
        <f>Main[[#This Row],[Cantidad_Min]]*Main[[#This Row],[Precio]]*Main[[#This Row],[Qty]]</f>
        <v>149.80000000000001</v>
      </c>
      <c r="Z166" s="418">
        <f>_xlfn.XLOOKUP(Main[[#This Row],[Finca]], Fincas[Nombre], Fincas[ID])</f>
        <v>29</v>
      </c>
      <c r="AA166" s="418" t="str" cm="1">
        <f t="array" ref="AA16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66" s="428" t="s">
        <v>33</v>
      </c>
      <c r="AC166" s="466"/>
      <c r="AD166" s="430" t="s">
        <v>87</v>
      </c>
    </row>
    <row r="167" spans="1:30" x14ac:dyDescent="0.25">
      <c r="A167" s="385" t="s">
        <v>221</v>
      </c>
      <c r="B167" s="386">
        <v>1</v>
      </c>
      <c r="C167" s="386" t="s">
        <v>35</v>
      </c>
      <c r="D167" s="385">
        <v>70</v>
      </c>
      <c r="E167" s="387">
        <v>70</v>
      </c>
      <c r="F167" s="387" t="s">
        <v>223</v>
      </c>
      <c r="G167" t="str">
        <f>"Red/White/Pink/Orange " &amp; _xlfn.XLOOKUP(Main[[#This Row],[FechaEntrega]], Guias[Fecha], Guias[Llegada])</f>
        <v>Red/White/Pink/Orange (T/W)</v>
      </c>
      <c r="H167" s="1" t="s">
        <v>1077</v>
      </c>
      <c r="I167" s="235">
        <v>0.54</v>
      </c>
      <c r="J167" s="69">
        <f>_xlfn.LET(
  _xlpm.result, 1-((Main[[#This Row],[Cost]]+Main[[#This Row],[Duties]]+Main[[#This Row],[Transport]])/((Main[[#This Row],[Precio]]*0.96))),
  IF(_xlpm.result&lt;0, "BAJO", IF(_xlpm.result&gt;1, "ALTO", _xlpm.result))
)</f>
        <v>0.24847792998477924</v>
      </c>
      <c r="K167" s="131">
        <f>IF(OR(AND(ISNUMBER(FIND("(*PAR)",
UPPER(Main[[#This Row],[Standing Orders]]))),
MOD(IFERROR(VALUE(Guias!$M$2),0),2)=0),
AND(ISNUMBER(FIND("(*IMPAR)",
UPPER(Main[[#This Row],[Standing Orders]]))),
MOD(IFERROR(VALUE(Guias!$M$2),
0),2)=1)), 2.16, 2.19)</f>
        <v>2.19</v>
      </c>
      <c r="L167" s="360" cm="1">
        <f t="array" aca="1" ref="L16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67" s="152">
        <f>Guias!$B$3</f>
        <v>46310</v>
      </c>
      <c r="N167" s="216">
        <f>ROUNDUP((Main[[#This Row],[Cost]]*Main[[#This Row],[Import Duties]]),2)</f>
        <v>0.09</v>
      </c>
      <c r="O167">
        <v>0</v>
      </c>
      <c r="P167">
        <v>1</v>
      </c>
      <c r="Q167">
        <v>0</v>
      </c>
      <c r="R167" s="217">
        <f>ROUNDUP(Main[[#This Row],[Transport2]]/Main[[#This Row],[Cantidad_Min]],2)</f>
        <v>0.95</v>
      </c>
      <c r="S167">
        <f>_xlfn.XLOOKUP(Main[[#This Row],[Type of Box]], Cajas[Nombre], Cajas[Largo])</f>
        <v>99</v>
      </c>
      <c r="T167">
        <f>_xlfn.XLOOKUP(Main[[#This Row],[Type of Box]], Cajas[Nombre], Cajas[Ancho])</f>
        <v>35</v>
      </c>
      <c r="U167">
        <f>_xlfn.XLOOKUP(Main[[#This Row],[Type of Box]], Cajas[Nombre], Cajas[Alto])</f>
        <v>16</v>
      </c>
      <c r="V16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7">
        <f>ROUNDUP(((Main[[#This Row],[Volumen]]*5.25))*1.36,2)</f>
        <v>65.98</v>
      </c>
      <c r="X167" s="219">
        <v>0.15859999999999999</v>
      </c>
      <c r="Y167" s="361">
        <f>Main[[#This Row],[Cantidad_Min]]*Main[[#This Row],[Precio]]*Main[[#This Row],[Qty]]</f>
        <v>153.29999999999998</v>
      </c>
      <c r="Z167">
        <f>_xlfn.XLOOKUP(Main[[#This Row],[Finca]], Fincas[Nombre], Fincas[ID])</f>
        <v>29</v>
      </c>
      <c r="AA167" t="str" cm="1">
        <f t="array" ref="AA16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67" s="2" t="s">
        <v>33</v>
      </c>
      <c r="AC167" s="5"/>
      <c r="AD167" s="224" t="s">
        <v>125</v>
      </c>
    </row>
    <row r="168" spans="1:30" x14ac:dyDescent="0.25">
      <c r="A168" s="385" t="s">
        <v>221</v>
      </c>
      <c r="B168" s="386">
        <v>1</v>
      </c>
      <c r="C168" s="386" t="s">
        <v>35</v>
      </c>
      <c r="D168" s="385">
        <v>60</v>
      </c>
      <c r="E168" s="387">
        <v>60</v>
      </c>
      <c r="F168" s="387" t="s">
        <v>180</v>
      </c>
      <c r="G168" t="str">
        <f>"30 Starfighter/30 White " &amp; _xlfn.XLOOKUP(Main[[#This Row],[FechaEntrega]], Guias[Fecha], Guias[Llegada])</f>
        <v>30 Starfighter/30 White (T/W)</v>
      </c>
      <c r="H168" s="1" t="s">
        <v>1078</v>
      </c>
      <c r="I168" s="235">
        <v>0.84</v>
      </c>
      <c r="J168" s="69">
        <f>_xlfn.LET(
  _xlpm.result, 1-((Main[[#This Row],[Cost]]+Main[[#This Row],[Duties]]+Main[[#This Row],[Transport]])/((Main[[#This Row],[Precio]]*0.96))),
  IF(_xlpm.result&lt;0, "BAJO", IF(_xlpm.result&gt;1, "ALTO", _xlpm.result))
)</f>
        <v>0.27517985611510776</v>
      </c>
      <c r="K168" s="131">
        <v>2.9892473118279566</v>
      </c>
      <c r="L168" s="360" cm="1">
        <f t="array" aca="1" ref="L16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68" s="152">
        <f>Guias!$B$3</f>
        <v>46310</v>
      </c>
      <c r="N168" s="216">
        <f>ROUNDUP((Main[[#This Row],[Cost]]*Main[[#This Row],[Import Duties]]),2)</f>
        <v>0.14000000000000001</v>
      </c>
      <c r="O168">
        <v>0</v>
      </c>
      <c r="P168">
        <v>1</v>
      </c>
      <c r="Q168">
        <v>0</v>
      </c>
      <c r="R168" s="217">
        <f>ROUNDUP(Main[[#This Row],[Transport2]]/Main[[#This Row],[Cantidad_Min]],2)</f>
        <v>1.1000000000000001</v>
      </c>
      <c r="S168">
        <f>_xlfn.XLOOKUP(Main[[#This Row],[Type of Box]], Cajas[Nombre], Cajas[Largo])</f>
        <v>99</v>
      </c>
      <c r="T168">
        <f>_xlfn.XLOOKUP(Main[[#This Row],[Type of Box]], Cajas[Nombre], Cajas[Ancho])</f>
        <v>35</v>
      </c>
      <c r="U168">
        <f>_xlfn.XLOOKUP(Main[[#This Row],[Type of Box]], Cajas[Nombre], Cajas[Alto])</f>
        <v>16</v>
      </c>
      <c r="V16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8">
        <f>ROUNDUP(((Main[[#This Row],[Volumen]]*5.25))*1.36,2)</f>
        <v>65.98</v>
      </c>
      <c r="X168" s="219">
        <v>0.15859999999999999</v>
      </c>
      <c r="Y168" s="361">
        <f>Main[[#This Row],[Cantidad_Min]]*Main[[#This Row],[Precio]]*Main[[#This Row],[Qty]]</f>
        <v>179.35483870967738</v>
      </c>
      <c r="Z168">
        <f>_xlfn.XLOOKUP(Main[[#This Row],[Finca]], Fincas[Nombre], Fincas[ID])</f>
        <v>29</v>
      </c>
      <c r="AA168" t="str" cm="1">
        <f t="array" ref="AA16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68" s="2" t="s">
        <v>33</v>
      </c>
      <c r="AC168" s="5"/>
      <c r="AD168" s="225" t="s">
        <v>224</v>
      </c>
    </row>
    <row r="169" spans="1:30" s="433" customFormat="1" ht="15.75" thickBot="1" x14ac:dyDescent="0.3">
      <c r="A169" s="467" t="s">
        <v>221</v>
      </c>
      <c r="B169" s="468">
        <v>1</v>
      </c>
      <c r="C169" s="468" t="s">
        <v>35</v>
      </c>
      <c r="D169" s="467">
        <v>70</v>
      </c>
      <c r="E169" s="469">
        <v>70</v>
      </c>
      <c r="F169" s="469" t="s">
        <v>223</v>
      </c>
      <c r="G169" s="433" t="str">
        <f>"Red/White/Pink/Orange " &amp; _xlfn.XLOOKUP(Main[[#This Row],[FechaEntrega]], Guias[Fecha], Guias[Llegada])</f>
        <v>Red/White/Pink/Orange (T/W)</v>
      </c>
      <c r="H169" s="1" t="s">
        <v>1079</v>
      </c>
      <c r="I169" s="434">
        <v>0.54</v>
      </c>
      <c r="J169" s="435">
        <f>_xlfn.LET(
  _xlpm.result, 1-((Main[[#This Row],[Cost]]+Main[[#This Row],[Duties]]+Main[[#This Row],[Transport]])/((Main[[#This Row],[Precio]]*0.96))),
  IF(_xlpm.result&lt;0, "BAJO", IF(_xlpm.result&gt;1, "ALTO", _xlpm.result))
)</f>
        <v>0.24847792998477924</v>
      </c>
      <c r="K169" s="436">
        <f>IF(OR(AND(ISNUMBER(FIND("(*PAR)",
UPPER(Main[[#This Row],[Standing Orders]]))),
MOD(IFERROR(VALUE(Guias!$M$2),0),2)=0),
AND(ISNUMBER(FIND("(*IMPAR)",
UPPER(Main[[#This Row],[Standing Orders]]))),
MOD(IFERROR(VALUE(Guias!$M$2),
0),2)=1)), 2.16, 2.19)</f>
        <v>2.19</v>
      </c>
      <c r="L169" s="437" cm="1">
        <f t="array" aca="1" ref="L16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69" s="438">
        <f>Guias!$B$3</f>
        <v>46310</v>
      </c>
      <c r="N169" s="439">
        <f>ROUNDUP((Main[[#This Row],[Cost]]*Main[[#This Row],[Import Duties]]),2)</f>
        <v>0.09</v>
      </c>
      <c r="O169" s="433">
        <v>0</v>
      </c>
      <c r="P169" s="433">
        <v>1</v>
      </c>
      <c r="Q169" s="433">
        <v>0</v>
      </c>
      <c r="R169" s="440">
        <f>ROUNDUP(Main[[#This Row],[Transport2]]/Main[[#This Row],[Cantidad_Min]],2)</f>
        <v>0.95</v>
      </c>
      <c r="S169" s="433">
        <f>_xlfn.XLOOKUP(Main[[#This Row],[Type of Box]], Cajas[Nombre], Cajas[Largo])</f>
        <v>99</v>
      </c>
      <c r="T169" s="433">
        <f>_xlfn.XLOOKUP(Main[[#This Row],[Type of Box]], Cajas[Nombre], Cajas[Ancho])</f>
        <v>35</v>
      </c>
      <c r="U169" s="433">
        <f>_xlfn.XLOOKUP(Main[[#This Row],[Type of Box]], Cajas[Nombre], Cajas[Alto])</f>
        <v>16</v>
      </c>
      <c r="V169" s="4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69" s="433">
        <f>ROUNDUP(((Main[[#This Row],[Volumen]]*5.25))*1.36,2)</f>
        <v>65.98</v>
      </c>
      <c r="X169" s="441">
        <v>0.15859999999999999</v>
      </c>
      <c r="Y169" s="442">
        <f>Main[[#This Row],[Cantidad_Min]]*Main[[#This Row],[Precio]]*Main[[#This Row],[Qty]]</f>
        <v>153.29999999999998</v>
      </c>
      <c r="Z169" s="433">
        <f>_xlfn.XLOOKUP(Main[[#This Row],[Finca]], Fincas[Nombre], Fincas[ID])</f>
        <v>29</v>
      </c>
      <c r="AA169" s="433" t="str" cm="1">
        <f t="array" ref="AA16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69" s="443" t="s">
        <v>33</v>
      </c>
      <c r="AC169" s="444"/>
      <c r="AD169" s="464" t="s">
        <v>225</v>
      </c>
    </row>
    <row r="170" spans="1:30" x14ac:dyDescent="0.25">
      <c r="A170" s="385" t="s">
        <v>226</v>
      </c>
      <c r="B170" s="386">
        <v>2</v>
      </c>
      <c r="C170" s="386" t="s">
        <v>227</v>
      </c>
      <c r="D170" s="385">
        <v>80</v>
      </c>
      <c r="E170" s="387">
        <v>80</v>
      </c>
      <c r="F170" s="387" t="s">
        <v>228</v>
      </c>
      <c r="G170" t="str">
        <f>"Assorted Colors " &amp; _xlfn.XLOOKUP(Main[[#This Row],[FechaEntrega]], Guias[Fecha], Guias[Llegada])</f>
        <v>Assorted Colors (T/F)</v>
      </c>
      <c r="H170" s="1" t="s">
        <v>1080</v>
      </c>
      <c r="I170" s="235">
        <v>0.34</v>
      </c>
      <c r="J170" s="69">
        <f>_xlfn.LET(
  _xlpm.result, 1-((Main[[#This Row],[Cost]]+Main[[#This Row],[Duties]]+Main[[#This Row],[Transport]])/((Main[[#This Row],[Precio]]*0.96))),
  IF(_xlpm.result&lt;0, "BAJO", IF(_xlpm.result&gt;1, "ALTO", _xlpm.result))
)</f>
        <v>0.15800233644859785</v>
      </c>
      <c r="K170" s="131">
        <v>1.150537634408602</v>
      </c>
      <c r="L170" s="360" cm="1">
        <f t="array" aca="1" ref="L17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16961</v>
      </c>
      <c r="M170" s="152">
        <f>Guias!$B$7</f>
        <v>46314</v>
      </c>
      <c r="N170" s="216">
        <f>ROUNDUP((Main[[#This Row],[Cost]]*Main[[#This Row],[Import Duties]]),2)</f>
        <v>6.0000000000000005E-2</v>
      </c>
      <c r="O170">
        <v>0</v>
      </c>
      <c r="P170">
        <v>1</v>
      </c>
      <c r="Q170">
        <v>0</v>
      </c>
      <c r="R170" s="217">
        <f>ROUNDUP(Main[[#This Row],[Transport2]]/Main[[#This Row],[Cantidad_Min]],2)</f>
        <v>0.53</v>
      </c>
      <c r="S170">
        <f>_xlfn.XLOOKUP(Main[[#This Row],[Type of Box]], Cajas[Nombre], Cajas[Largo])</f>
        <v>39</v>
      </c>
      <c r="T170">
        <f>_xlfn.XLOOKUP(Main[[#This Row],[Type of Box]], Cajas[Nombre], Cajas[Ancho])</f>
        <v>30</v>
      </c>
      <c r="U170">
        <f>_xlfn.XLOOKUP(Main[[#This Row],[Type of Box]], Cajas[Nombre], Cajas[Alto])</f>
        <v>30</v>
      </c>
      <c r="V17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70">
        <f>ROUNDUP(((Main[[#This Row],[Volumen]]*5.25))*1.36,2)</f>
        <v>41.769999999999996</v>
      </c>
      <c r="X170" s="219">
        <v>0.15859999999999999</v>
      </c>
      <c r="Y170" s="361">
        <f>Main[[#This Row],[Cantidad_Min]]*Main[[#This Row],[Precio]]*Main[[#This Row],[Qty]]</f>
        <v>184.08602150537632</v>
      </c>
      <c r="Z170">
        <f>_xlfn.XLOOKUP(Main[[#This Row],[Finca]], Fincas[Nombre], Fincas[ID])</f>
        <v>8</v>
      </c>
      <c r="AA170" t="str" cm="1">
        <f t="array" ref="AA17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fparamo,fparamo,</v>
      </c>
      <c r="AB170" s="2" t="s">
        <v>33</v>
      </c>
      <c r="AC170" s="400"/>
      <c r="AD170" s="225" t="s">
        <v>229</v>
      </c>
    </row>
    <row r="171" spans="1:30" x14ac:dyDescent="0.25">
      <c r="A171" s="385" t="s">
        <v>226</v>
      </c>
      <c r="B171" s="386">
        <v>4</v>
      </c>
      <c r="C171" s="386" t="s">
        <v>69</v>
      </c>
      <c r="D171" s="385">
        <v>160</v>
      </c>
      <c r="E171" s="387">
        <v>160</v>
      </c>
      <c r="F171" s="387" t="s">
        <v>228</v>
      </c>
      <c r="G171" t="str">
        <f>"Assorted Colors " &amp; _xlfn.XLOOKUP(Main[[#This Row],[FechaEntrega]], Guias[Fecha], Guias[Llegada])</f>
        <v>Assorted Colors (W/T)</v>
      </c>
      <c r="H171" s="1" t="s">
        <v>1081</v>
      </c>
      <c r="I171" s="235">
        <v>0.34</v>
      </c>
      <c r="J171" s="69">
        <f>_xlfn.LET(
  _xlpm.result, 1-((Main[[#This Row],[Cost]]+Main[[#This Row],[Duties]]+Main[[#This Row],[Transport]])/((Main[[#This Row],[Precio]]*0.96))),
  IF(_xlpm.result&lt;0, "BAJO", IF(_xlpm.result&gt;1, "ALTO", _xlpm.result))
)</f>
        <v>0.16456422018348604</v>
      </c>
      <c r="K171" s="131">
        <v>1.172043010752688</v>
      </c>
      <c r="L171" s="360" cm="1">
        <f t="array" aca="1" ref="L17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16978</v>
      </c>
      <c r="M171" s="152">
        <f>Guias!$B$4</f>
        <v>46311</v>
      </c>
      <c r="N171" s="216">
        <f>ROUNDUP((Main[[#This Row],[Cost]]*Main[[#This Row],[Import Duties]]),2)</f>
        <v>6.0000000000000005E-2</v>
      </c>
      <c r="O171">
        <v>0</v>
      </c>
      <c r="P171">
        <v>1</v>
      </c>
      <c r="Q171">
        <v>0</v>
      </c>
      <c r="R171" s="217">
        <f>ROUNDUP(Main[[#This Row],[Transport2]]/Main[[#This Row],[Cantidad_Min]],2)</f>
        <v>0.54</v>
      </c>
      <c r="S171">
        <f>_xlfn.XLOOKUP(Main[[#This Row],[Type of Box]], Cajas[Nombre], Cajas[Largo])</f>
        <v>85</v>
      </c>
      <c r="T171">
        <f>_xlfn.XLOOKUP(Main[[#This Row],[Type of Box]], Cajas[Nombre], Cajas[Ancho])</f>
        <v>30</v>
      </c>
      <c r="U171">
        <f>_xlfn.XLOOKUP(Main[[#This Row],[Type of Box]], Cajas[Nombre], Cajas[Alto])</f>
        <v>28</v>
      </c>
      <c r="V17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11.9</v>
      </c>
      <c r="W171">
        <f>ROUNDUP(((Main[[#This Row],[Volumen]]*5.25))*1.36,2)</f>
        <v>84.97</v>
      </c>
      <c r="X171" s="219">
        <v>0.15859999999999999</v>
      </c>
      <c r="Y171" s="361">
        <f>Main[[#This Row],[Cantidad_Min]]*Main[[#This Row],[Precio]]*Main[[#This Row],[Qty]]</f>
        <v>750.10752688172033</v>
      </c>
      <c r="Z171">
        <f>_xlfn.XLOOKUP(Main[[#This Row],[Finca]], Fincas[Nombre], Fincas[ID])</f>
        <v>8</v>
      </c>
      <c r="AA171" t="str" cm="1">
        <f t="array" ref="AA17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rbaquero,rbaquero,rbaquero,rbaquero,</v>
      </c>
      <c r="AB171" s="2" t="s">
        <v>33</v>
      </c>
      <c r="AC171" s="5"/>
      <c r="AD171" s="224" t="s">
        <v>230</v>
      </c>
    </row>
    <row r="172" spans="1:30" x14ac:dyDescent="0.25">
      <c r="A172" s="385" t="s">
        <v>226</v>
      </c>
      <c r="B172" s="386">
        <v>1</v>
      </c>
      <c r="C172" s="386" t="s">
        <v>227</v>
      </c>
      <c r="D172" s="385">
        <v>70</v>
      </c>
      <c r="E172" s="387">
        <v>70</v>
      </c>
      <c r="F172" s="387" t="s">
        <v>231</v>
      </c>
      <c r="G172" t="str">
        <f>"White " &amp; _xlfn.XLOOKUP(Main[[#This Row],[FechaEntrega]], Guias[Fecha], Guias[Llegada])</f>
        <v>White (W/T)</v>
      </c>
      <c r="H172" s="1" t="s">
        <v>1082</v>
      </c>
      <c r="I172" s="235">
        <v>0.27</v>
      </c>
      <c r="J172" s="69">
        <f>_xlfn.LET(
  _xlpm.result, 1-((Main[[#This Row],[Cost]]+Main[[#This Row],[Duties]]+Main[[#This Row],[Transport]])/((Main[[#This Row],[Precio]]*0.96))),
  IF(_xlpm.result&lt;0, "BAJO", IF(_xlpm.result&gt;1, "ALTO", _xlpm.result))
)</f>
        <v>0.31055155875299756</v>
      </c>
      <c r="K172" s="131">
        <v>1.39</v>
      </c>
      <c r="L172" s="360" cm="1">
        <f t="array" aca="1" ref="L17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16978</v>
      </c>
      <c r="M172" s="152">
        <f>Guias!$B$4</f>
        <v>46311</v>
      </c>
      <c r="N172" s="216">
        <f>ROUNDUP((Main[[#This Row],[Cost]]*Main[[#This Row],[Import Duties]]),2)</f>
        <v>0.05</v>
      </c>
      <c r="O172">
        <v>0</v>
      </c>
      <c r="P172">
        <v>1</v>
      </c>
      <c r="Q172">
        <v>0</v>
      </c>
      <c r="R172" s="217">
        <f>ROUNDUP(Main[[#This Row],[Transport2]]/Main[[#This Row],[Cantidad_Min]],2)</f>
        <v>0.6</v>
      </c>
      <c r="S172">
        <f>_xlfn.XLOOKUP(Main[[#This Row],[Type of Box]], Cajas[Nombre], Cajas[Largo])</f>
        <v>39</v>
      </c>
      <c r="T172">
        <f>_xlfn.XLOOKUP(Main[[#This Row],[Type of Box]], Cajas[Nombre], Cajas[Ancho])</f>
        <v>30</v>
      </c>
      <c r="U172">
        <f>_xlfn.XLOOKUP(Main[[#This Row],[Type of Box]], Cajas[Nombre], Cajas[Alto])</f>
        <v>30</v>
      </c>
      <c r="V17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72">
        <f>ROUNDUP(((Main[[#This Row],[Volumen]]*5.25))*1.36,2)</f>
        <v>41.769999999999996</v>
      </c>
      <c r="X172" s="219">
        <v>0.15859999999999999</v>
      </c>
      <c r="Y172" s="361">
        <f>Main[[#This Row],[Cantidad_Min]]*Main[[#This Row],[Precio]]*Main[[#This Row],[Qty]]</f>
        <v>97.3</v>
      </c>
      <c r="Z172">
        <f>_xlfn.XLOOKUP(Main[[#This Row],[Finca]], Fincas[Nombre], Fincas[ID])</f>
        <v>8</v>
      </c>
      <c r="AA172" t="str" cm="1">
        <f t="array" ref="AA17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pbodley,</v>
      </c>
      <c r="AB172" s="2" t="s">
        <v>33</v>
      </c>
      <c r="AC172" s="5"/>
      <c r="AD172" s="224" t="s">
        <v>47</v>
      </c>
    </row>
    <row r="173" spans="1:30" x14ac:dyDescent="0.25">
      <c r="A173" s="385" t="s">
        <v>226</v>
      </c>
      <c r="B173" s="386">
        <v>1</v>
      </c>
      <c r="C173" s="386" t="s">
        <v>227</v>
      </c>
      <c r="D173" s="385">
        <v>80</v>
      </c>
      <c r="E173" s="387">
        <v>80</v>
      </c>
      <c r="F173" s="387" t="s">
        <v>228</v>
      </c>
      <c r="G173" t="str">
        <f>"Assorted Colors " &amp; _xlfn.XLOOKUP(Main[[#This Row],[FechaEntrega]], Guias[Fecha], Guias[Llegada])</f>
        <v>Assorted Colors (W/T)</v>
      </c>
      <c r="H173" s="1" t="s">
        <v>1083</v>
      </c>
      <c r="I173" s="235">
        <v>0.34</v>
      </c>
      <c r="J173" s="69">
        <f>_xlfn.LET(
  _xlpm.result, 1-((Main[[#This Row],[Cost]]+Main[[#This Row],[Duties]]+Main[[#This Row],[Transport]])/((Main[[#This Row],[Precio]]*0.96))),
  IF(_xlpm.result&lt;0, "BAJO", IF(_xlpm.result&gt;1, "ALTO", _xlpm.result))
)</f>
        <v>0.15800233644859785</v>
      </c>
      <c r="K173" s="131">
        <v>1.150537634408602</v>
      </c>
      <c r="L173" s="360" cm="1">
        <f t="array" aca="1" ref="L17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16978</v>
      </c>
      <c r="M173" s="152">
        <f>Guias!$B$4</f>
        <v>46311</v>
      </c>
      <c r="N173" s="216">
        <f>ROUNDUP((Main[[#This Row],[Cost]]*Main[[#This Row],[Import Duties]]),2)</f>
        <v>6.0000000000000005E-2</v>
      </c>
      <c r="O173">
        <v>0</v>
      </c>
      <c r="P173">
        <v>1</v>
      </c>
      <c r="Q173">
        <v>0</v>
      </c>
      <c r="R173" s="217">
        <f>ROUNDUP(Main[[#This Row],[Transport2]]/Main[[#This Row],[Cantidad_Min]],2)</f>
        <v>0.53</v>
      </c>
      <c r="S173">
        <f>_xlfn.XLOOKUP(Main[[#This Row],[Type of Box]], Cajas[Nombre], Cajas[Largo])</f>
        <v>39</v>
      </c>
      <c r="T173">
        <f>_xlfn.XLOOKUP(Main[[#This Row],[Type of Box]], Cajas[Nombre], Cajas[Ancho])</f>
        <v>30</v>
      </c>
      <c r="U173">
        <f>_xlfn.XLOOKUP(Main[[#This Row],[Type of Box]], Cajas[Nombre], Cajas[Alto])</f>
        <v>30</v>
      </c>
      <c r="V17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73">
        <f>ROUNDUP(((Main[[#This Row],[Volumen]]*5.25))*1.36,2)</f>
        <v>41.769999999999996</v>
      </c>
      <c r="X173" s="219">
        <v>0.15859999999999999</v>
      </c>
      <c r="Y173" s="361">
        <f>Main[[#This Row],[Cantidad_Min]]*Main[[#This Row],[Precio]]*Main[[#This Row],[Qty]]</f>
        <v>92.043010752688161</v>
      </c>
      <c r="Z173">
        <f>_xlfn.XLOOKUP(Main[[#This Row],[Finca]], Fincas[Nombre], Fincas[ID])</f>
        <v>8</v>
      </c>
      <c r="AA173" t="str" cm="1">
        <f t="array" ref="AA17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73" s="2" t="s">
        <v>33</v>
      </c>
      <c r="AC173" s="5"/>
      <c r="AD173" s="224" t="s">
        <v>133</v>
      </c>
    </row>
    <row r="174" spans="1:30" x14ac:dyDescent="0.25">
      <c r="A174" s="154" t="s">
        <v>226</v>
      </c>
      <c r="B174" s="155">
        <f>IF(Main[[#This Row],[SendEmail]]="Y", 1, 0)</f>
        <v>1</v>
      </c>
      <c r="C174" s="155" t="s">
        <v>227</v>
      </c>
      <c r="D174" s="154">
        <v>70</v>
      </c>
      <c r="E174" s="236">
        <v>70</v>
      </c>
      <c r="F174" s="236" t="s">
        <v>232</v>
      </c>
      <c r="G174" t="str">
        <f>"White/Pink/Orange/Red " &amp; _xlfn.XLOOKUP(Main[[#This Row],[FechaEntrega]], Guias[Fecha], Guias[Llegada])</f>
        <v>White/Pink/Orange/Red (W/T)</v>
      </c>
      <c r="H174" s="1" t="s">
        <v>1084</v>
      </c>
      <c r="I174" s="235">
        <v>0.35</v>
      </c>
      <c r="J174" s="69">
        <f>_xlfn.LET(
  _xlpm.result, 1-((Main[[#This Row],[Cost]]+Main[[#This Row],[Duties]]+Main[[#This Row],[Transport]])/((Main[[#This Row],[Precio]]*0.96))),
  IF(_xlpm.result&lt;0, "BAJO", IF(_xlpm.result&gt;1, "ALTO", _xlpm.result))
)</f>
        <v>0.20452235772357719</v>
      </c>
      <c r="K174" s="131">
        <v>1.3225806451612903</v>
      </c>
      <c r="L174" s="360" cm="1">
        <f t="array" aca="1" ref="L17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16978</v>
      </c>
      <c r="M174" s="152">
        <f>Guias!$B$4</f>
        <v>46311</v>
      </c>
      <c r="N174" s="216">
        <f>ROUNDUP((Main[[#This Row],[Cost]]*Main[[#This Row],[Import Duties]]),2)</f>
        <v>6.0000000000000005E-2</v>
      </c>
      <c r="O174">
        <v>0</v>
      </c>
      <c r="P174">
        <v>1</v>
      </c>
      <c r="Q174">
        <v>0</v>
      </c>
      <c r="R174" s="217">
        <f>ROUNDUP(Main[[#This Row],[Transport2]]/Main[[#This Row],[Cantidad_Min]],2)</f>
        <v>0.6</v>
      </c>
      <c r="S174">
        <f>_xlfn.XLOOKUP(Main[[#This Row],[Type of Box]], Cajas[Nombre], Cajas[Largo])</f>
        <v>39</v>
      </c>
      <c r="T174">
        <f>_xlfn.XLOOKUP(Main[[#This Row],[Type of Box]], Cajas[Nombre], Cajas[Ancho])</f>
        <v>30</v>
      </c>
      <c r="U174">
        <f>_xlfn.XLOOKUP(Main[[#This Row],[Type of Box]], Cajas[Nombre], Cajas[Alto])</f>
        <v>30</v>
      </c>
      <c r="V17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74">
        <f>ROUNDUP(((Main[[#This Row],[Volumen]]*5.25))*1.36,2)</f>
        <v>41.769999999999996</v>
      </c>
      <c r="X174" s="219">
        <v>0.15859999999999999</v>
      </c>
      <c r="Y174" s="361">
        <f>Main[[#This Row],[Cantidad_Min]]*Main[[#This Row],[Precio]]*Main[[#This Row],[Qty]]</f>
        <v>92.58064516129032</v>
      </c>
      <c r="Z174">
        <f>_xlfn.XLOOKUP(Main[[#This Row],[Finca]], Fincas[Nombre], Fincas[ID])</f>
        <v>8</v>
      </c>
      <c r="AA174" t="str" cm="1">
        <f t="array" ref="AA17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74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74" s="400"/>
      <c r="AD174" s="225" t="s">
        <v>233</v>
      </c>
    </row>
    <row r="175" spans="1:30" x14ac:dyDescent="0.25">
      <c r="A175" s="154" t="s">
        <v>226</v>
      </c>
      <c r="B175" s="155">
        <f>IF(Main[[#This Row],[SendEmail]]="Y", 1, 0)</f>
        <v>1</v>
      </c>
      <c r="C175" s="155" t="s">
        <v>227</v>
      </c>
      <c r="D175" s="154">
        <v>80</v>
      </c>
      <c r="E175" s="236">
        <v>80</v>
      </c>
      <c r="F175" s="236" t="s">
        <v>234</v>
      </c>
      <c r="G175" t="str">
        <f>"Assorted Colors " &amp; _xlfn.XLOOKUP(Main[[#This Row],[FechaEntrega]], Guias[Fecha], Guias[Llegada])</f>
        <v>Assorted Colors (W/T)</v>
      </c>
      <c r="H175" s="1" t="s">
        <v>1085</v>
      </c>
      <c r="I175" s="235">
        <v>0.34</v>
      </c>
      <c r="J175" s="69">
        <f>_xlfn.LET(
  _xlpm.result, 1-((Main[[#This Row],[Cost]]+Main[[#This Row],[Duties]]+Main[[#This Row],[Transport]])/((Main[[#This Row],[Precio]]*0.96))),
  IF(_xlpm.result&lt;0, "BAJO", IF(_xlpm.result&gt;1, "ALTO", _xlpm.result))
)</f>
        <v>6.8509615384615308E-2</v>
      </c>
      <c r="K175" s="131">
        <v>1.04</v>
      </c>
      <c r="L175" s="360" cm="1">
        <f t="array" aca="1" ref="L17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16978</v>
      </c>
      <c r="M175" s="152">
        <f>Guias!$B$4</f>
        <v>46311</v>
      </c>
      <c r="N175" s="216">
        <f>ROUNDUP((Main[[#This Row],[Cost]]*Main[[#This Row],[Import Duties]]),2)</f>
        <v>6.0000000000000005E-2</v>
      </c>
      <c r="O175">
        <v>0</v>
      </c>
      <c r="P175">
        <v>1</v>
      </c>
      <c r="Q175">
        <v>0</v>
      </c>
      <c r="R175" s="217">
        <f>ROUNDUP(Main[[#This Row],[Transport2]]/Main[[#This Row],[Cantidad_Min]],2)</f>
        <v>0.53</v>
      </c>
      <c r="S175">
        <f>_xlfn.XLOOKUP(Main[[#This Row],[Type of Box]], Cajas[Nombre], Cajas[Largo])</f>
        <v>39</v>
      </c>
      <c r="T175">
        <f>_xlfn.XLOOKUP(Main[[#This Row],[Type of Box]], Cajas[Nombre], Cajas[Ancho])</f>
        <v>30</v>
      </c>
      <c r="U175">
        <f>_xlfn.XLOOKUP(Main[[#This Row],[Type of Box]], Cajas[Nombre], Cajas[Alto])</f>
        <v>30</v>
      </c>
      <c r="V17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75">
        <f>ROUNDUP(((Main[[#This Row],[Volumen]]*5.25))*1.36,2)</f>
        <v>41.769999999999996</v>
      </c>
      <c r="X175" s="219">
        <v>0.15859999999999999</v>
      </c>
      <c r="Y175" s="361">
        <f>Main[[#This Row],[Cantidad_Min]]*Main[[#This Row],[Precio]]*Main[[#This Row],[Qty]]</f>
        <v>83.2</v>
      </c>
      <c r="Z175">
        <f>_xlfn.XLOOKUP(Main[[#This Row],[Finca]], Fincas[Nombre], Fincas[ID])</f>
        <v>8</v>
      </c>
      <c r="AA175" t="str" cm="1">
        <f t="array" ref="AA17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75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175" s="5"/>
      <c r="AD175" s="224" t="s">
        <v>235</v>
      </c>
    </row>
    <row r="176" spans="1:30" ht="15.75" thickBot="1" x14ac:dyDescent="0.3">
      <c r="A176" s="33" t="s">
        <v>226</v>
      </c>
      <c r="B176" s="153">
        <v>4</v>
      </c>
      <c r="C176" s="153" t="s">
        <v>227</v>
      </c>
      <c r="D176" s="33">
        <v>80</v>
      </c>
      <c r="E176">
        <v>80</v>
      </c>
      <c r="F176" t="s">
        <v>228</v>
      </c>
      <c r="G176" t="str">
        <f>"Assorted Colors " &amp; _xlfn.XLOOKUP(Main[[#This Row],[FechaEntrega]], Guias[Fecha], Guias[Llegada])</f>
        <v>Assorted Colors (W/T)</v>
      </c>
      <c r="H176" s="1" t="s">
        <v>1086</v>
      </c>
      <c r="I176" s="235">
        <v>0.34</v>
      </c>
      <c r="J176" s="69">
        <f>_xlfn.LET(
  _xlpm.result, 1-((Main[[#This Row],[Cost]]+Main[[#This Row],[Duties]]+Main[[#This Row],[Transport]])/((Main[[#This Row],[Precio]]*0.96))),
  IF(_xlpm.result&lt;0, "BAJO", IF(_xlpm.result&gt;1, "ALTO", _xlpm.result))
)</f>
        <v>0.21874999999999989</v>
      </c>
      <c r="K176" s="131">
        <v>1.24</v>
      </c>
      <c r="L176" s="360" cm="1">
        <f t="array" aca="1" ref="L17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16978</v>
      </c>
      <c r="M176" s="152">
        <f>Guias!$B$4</f>
        <v>46311</v>
      </c>
      <c r="N176" s="216">
        <f>ROUNDUP((Main[[#This Row],[Cost]]*Main[[#This Row],[Import Duties]]),2)</f>
        <v>6.0000000000000005E-2</v>
      </c>
      <c r="O176">
        <v>0</v>
      </c>
      <c r="P176">
        <v>1</v>
      </c>
      <c r="Q176">
        <v>0</v>
      </c>
      <c r="R176" s="217">
        <f>ROUNDUP(Main[[#This Row],[Transport2]]/Main[[#This Row],[Cantidad_Min]],2)</f>
        <v>0.53</v>
      </c>
      <c r="S176">
        <f>_xlfn.XLOOKUP(Main[[#This Row],[Type of Box]], Cajas[Nombre], Cajas[Largo])</f>
        <v>39</v>
      </c>
      <c r="T176">
        <f>_xlfn.XLOOKUP(Main[[#This Row],[Type of Box]], Cajas[Nombre], Cajas[Ancho])</f>
        <v>30</v>
      </c>
      <c r="U176">
        <f>_xlfn.XLOOKUP(Main[[#This Row],[Type of Box]], Cajas[Nombre], Cajas[Alto])</f>
        <v>30</v>
      </c>
      <c r="V17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5.85</v>
      </c>
      <c r="W176">
        <f>ROUNDUP(((Main[[#This Row],[Volumen]]*5.25))*1.36,2)</f>
        <v>41.769999999999996</v>
      </c>
      <c r="X176" s="219">
        <v>0.15859999999999999</v>
      </c>
      <c r="Y176" s="361">
        <f>Main[[#This Row],[Cantidad_Min]]*Main[[#This Row],[Precio]]*Main[[#This Row],[Qty]]</f>
        <v>396.8</v>
      </c>
      <c r="Z176">
        <f>_xlfn.XLOOKUP(Main[[#This Row],[Finca]], Fincas[Nombre], Fincas[ID])</f>
        <v>8</v>
      </c>
      <c r="AA176" t="str" cm="1">
        <f t="array" ref="AA17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76" s="2" t="s">
        <v>33</v>
      </c>
      <c r="AC176" s="31"/>
      <c r="AD176" s="406"/>
    </row>
    <row r="177" spans="1:30" x14ac:dyDescent="0.25">
      <c r="A177" s="446" t="s">
        <v>236</v>
      </c>
      <c r="B177" s="447">
        <v>1</v>
      </c>
      <c r="C177" s="447" t="s">
        <v>35</v>
      </c>
      <c r="D177" s="446">
        <v>125</v>
      </c>
      <c r="E177" s="448">
        <v>125</v>
      </c>
      <c r="F177" s="448" t="s">
        <v>106</v>
      </c>
      <c r="G177" s="418" t="str">
        <f>"Fortune " &amp; _xlfn.XLOOKUP(Main[[#This Row],[FechaEntrega]], Guias[Fecha], Guias[Llegada])</f>
        <v>Fortune (T/W)</v>
      </c>
      <c r="H177" s="1" t="s">
        <v>1087</v>
      </c>
      <c r="I177" s="419">
        <v>0.42</v>
      </c>
      <c r="J177" s="420">
        <f>_xlfn.LET(
  _xlpm.result, 1-((Main[[#This Row],[Cost]]+Main[[#This Row],[Duties]]+Main[[#This Row],[Transport]])/((Main[[#This Row],[Precio]]*0.96))),
  IF(_xlpm.result&lt;0, "BAJO", IF(_xlpm.result&gt;1, "ALTO", _xlpm.result))
)</f>
        <v>0.23561151079136677</v>
      </c>
      <c r="K177" s="421">
        <v>1.39</v>
      </c>
      <c r="L177" s="422" cm="1">
        <f t="array" aca="1" ref="L17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77" s="423">
        <f>Guias!$B$3</f>
        <v>46310</v>
      </c>
      <c r="N177" s="424">
        <f>ROUNDUP((Main[[#This Row],[Cost]]*Main[[#This Row],[Import Duties]]),2)</f>
        <v>6.9999999999999993E-2</v>
      </c>
      <c r="O177" s="418">
        <v>0</v>
      </c>
      <c r="P177" s="418">
        <v>1</v>
      </c>
      <c r="Q177" s="418">
        <v>0</v>
      </c>
      <c r="R177" s="425">
        <f>ROUNDUP(Main[[#This Row],[Transport2]]/Main[[#This Row],[Cantidad_Min]],2)</f>
        <v>0.53</v>
      </c>
      <c r="S177" s="418">
        <f>_xlfn.XLOOKUP(Main[[#This Row],[Type of Box]], Cajas[Nombre], Cajas[Largo])</f>
        <v>99</v>
      </c>
      <c r="T177" s="418">
        <f>_xlfn.XLOOKUP(Main[[#This Row],[Type of Box]], Cajas[Nombre], Cajas[Ancho])</f>
        <v>35</v>
      </c>
      <c r="U177" s="418">
        <f>_xlfn.XLOOKUP(Main[[#This Row],[Type of Box]], Cajas[Nombre], Cajas[Alto])</f>
        <v>16</v>
      </c>
      <c r="V177" s="41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77" s="418">
        <f>ROUNDUP(((Main[[#This Row],[Volumen]]*5.25))*1.36,2)</f>
        <v>65.98</v>
      </c>
      <c r="X177" s="426">
        <v>0.15859999999999999</v>
      </c>
      <c r="Y177" s="427">
        <f>Main[[#This Row],[Cantidad_Min]]*Main[[#This Row],[Precio]]*Main[[#This Row],[Qty]]</f>
        <v>173.75</v>
      </c>
      <c r="Z177" s="418">
        <f>_xlfn.XLOOKUP(Main[[#This Row],[Finca]], Fincas[Nombre], Fincas[ID])</f>
        <v>76</v>
      </c>
      <c r="AA177" s="418" t="str" cm="1">
        <f t="array" ref="AA17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77" s="428" t="s">
        <v>33</v>
      </c>
      <c r="AC177" s="429"/>
      <c r="AD177" s="465" t="s">
        <v>237</v>
      </c>
    </row>
    <row r="178" spans="1:30" x14ac:dyDescent="0.25">
      <c r="A178" s="385" t="s">
        <v>236</v>
      </c>
      <c r="B178" s="386">
        <v>1</v>
      </c>
      <c r="C178" s="386" t="s">
        <v>93</v>
      </c>
      <c r="D178" s="385">
        <v>250</v>
      </c>
      <c r="E178" s="387">
        <v>250</v>
      </c>
      <c r="F178" s="387" t="s">
        <v>55</v>
      </c>
      <c r="G178" t="str">
        <f>"50 Red/50 White/25 Hot Pink/25 Light Pink/25 Purple/25 Yellow/25 Orange/25 Peach " &amp; _xlfn.XLOOKUP(Main[[#This Row],[FechaEntrega]], Guias[Fecha], Guias[Llegada])</f>
        <v>50 Red/50 White/25 Hot Pink/25 Light Pink/25 Purple/25 Yellow/25 Orange/25 Peach (T/W)</v>
      </c>
      <c r="H178" s="1" t="s">
        <v>1088</v>
      </c>
      <c r="I178" s="235">
        <v>0.37</v>
      </c>
      <c r="J178" s="69">
        <f>_xlfn.LET(
  _xlpm.result, 1-((Main[[#This Row],[Cost]]+Main[[#This Row],[Duties]]+Main[[#This Row],[Transport]])/((Main[[#This Row],[Precio]]*0.96))),
  IF(_xlpm.result&lt;0, "BAJO", IF(_xlpm.result&gt;1, "ALTO", _xlpm.result))
)</f>
        <v>0.11852477477477452</v>
      </c>
      <c r="K178" s="131">
        <v>1.193548387096774</v>
      </c>
      <c r="L178" s="360" cm="1">
        <f t="array" aca="1" ref="L17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78" s="152">
        <f>Guias!$B$3</f>
        <v>46310</v>
      </c>
      <c r="N178" s="216">
        <f>ROUNDUP((Main[[#This Row],[Cost]]*Main[[#This Row],[Import Duties]]),2)</f>
        <v>6.0000000000000005E-2</v>
      </c>
      <c r="O178">
        <v>0</v>
      </c>
      <c r="P178">
        <v>1</v>
      </c>
      <c r="Q178">
        <v>0</v>
      </c>
      <c r="R178" s="217">
        <f>ROUNDUP(Main[[#This Row],[Transport2]]/Main[[#This Row],[Cantidad_Min]],2)</f>
        <v>0.57999999999999996</v>
      </c>
      <c r="S178">
        <f>_xlfn.XLOOKUP(Main[[#This Row],[Type of Box]], Cajas[Nombre], Cajas[Largo])</f>
        <v>105</v>
      </c>
      <c r="T178">
        <f>_xlfn.XLOOKUP(Main[[#This Row],[Type of Box]], Cajas[Nombre], Cajas[Ancho])</f>
        <v>35</v>
      </c>
      <c r="U178">
        <f>_xlfn.XLOOKUP(Main[[#This Row],[Type of Box]], Cajas[Nombre], Cajas[Alto])</f>
        <v>33</v>
      </c>
      <c r="V17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178">
        <f>ROUNDUP(((Main[[#This Row],[Volumen]]*5.25))*1.36,2)</f>
        <v>144.32</v>
      </c>
      <c r="X178" s="219">
        <v>0.15859999999999999</v>
      </c>
      <c r="Y178" s="361">
        <f>Main[[#This Row],[Cantidad_Min]]*Main[[#This Row],[Precio]]*Main[[#This Row],[Qty]]</f>
        <v>298.38709677419348</v>
      </c>
      <c r="Z178">
        <f>_xlfn.XLOOKUP(Main[[#This Row],[Finca]], Fincas[Nombre], Fincas[ID])</f>
        <v>76</v>
      </c>
      <c r="AA178" t="str" cm="1">
        <f t="array" ref="AA17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78" s="2" t="s">
        <v>33</v>
      </c>
      <c r="AC178" s="5"/>
      <c r="AD178" s="224" t="s">
        <v>139</v>
      </c>
    </row>
    <row r="179" spans="1:30" x14ac:dyDescent="0.25">
      <c r="A179" s="385" t="s">
        <v>236</v>
      </c>
      <c r="B179" s="386">
        <v>1</v>
      </c>
      <c r="C179" s="386" t="s">
        <v>35</v>
      </c>
      <c r="D179" s="385">
        <v>125</v>
      </c>
      <c r="E179" s="387">
        <v>125</v>
      </c>
      <c r="F179" s="387" t="s">
        <v>106</v>
      </c>
      <c r="G179" t="str">
        <f>"Fortune " &amp; _xlfn.XLOOKUP(Main[[#This Row],[FechaEntrega]], Guias[Fecha], Guias[Llegada])</f>
        <v>Fortune (M/T)</v>
      </c>
      <c r="H179" s="1" t="s">
        <v>1089</v>
      </c>
      <c r="I179" s="235">
        <v>0.42</v>
      </c>
      <c r="J179" s="69">
        <f>_xlfn.LET(
  _xlpm.result, 1-((Main[[#This Row],[Cost]]+Main[[#This Row],[Duties]]+Main[[#This Row],[Transport]])/((Main[[#This Row],[Precio]]*0.96))),
  IF(_xlpm.result&lt;0, "BAJO", IF(_xlpm.result&gt;1, "ALTO", _xlpm.result))
)</f>
        <v>0.26805555555555549</v>
      </c>
      <c r="K179" s="131">
        <v>1.4516129032258065</v>
      </c>
      <c r="L179" s="360" cm="1">
        <f t="array" aca="1" ref="L17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79" s="152">
        <f>Guias!$B$2</f>
        <v>46309</v>
      </c>
      <c r="N179" s="216">
        <f>ROUNDUP((Main[[#This Row],[Cost]]*Main[[#This Row],[Import Duties]]),2)</f>
        <v>6.9999999999999993E-2</v>
      </c>
      <c r="O179">
        <v>0</v>
      </c>
      <c r="P179">
        <v>1</v>
      </c>
      <c r="Q179">
        <v>0</v>
      </c>
      <c r="R179" s="217">
        <f>ROUNDUP(Main[[#This Row],[Transport2]]/Main[[#This Row],[Cantidad_Min]],2)</f>
        <v>0.53</v>
      </c>
      <c r="S179">
        <f>_xlfn.XLOOKUP(Main[[#This Row],[Type of Box]], Cajas[Nombre], Cajas[Largo])</f>
        <v>99</v>
      </c>
      <c r="T179">
        <f>_xlfn.XLOOKUP(Main[[#This Row],[Type of Box]], Cajas[Nombre], Cajas[Ancho])</f>
        <v>35</v>
      </c>
      <c r="U179">
        <f>_xlfn.XLOOKUP(Main[[#This Row],[Type of Box]], Cajas[Nombre], Cajas[Alto])</f>
        <v>16</v>
      </c>
      <c r="V17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79">
        <f>ROUNDUP(((Main[[#This Row],[Volumen]]*5.25))*1.36,2)</f>
        <v>65.98</v>
      </c>
      <c r="X179" s="219">
        <v>0.15859999999999999</v>
      </c>
      <c r="Y179" s="361">
        <f>Main[[#This Row],[Cantidad_Min]]*Main[[#This Row],[Precio]]*Main[[#This Row],[Qty]]</f>
        <v>181.45161290322582</v>
      </c>
      <c r="Z179">
        <f>_xlfn.XLOOKUP(Main[[#This Row],[Finca]], Fincas[Nombre], Fincas[ID])</f>
        <v>76</v>
      </c>
      <c r="AA179" t="str" cm="1">
        <f t="array" ref="AA17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79" s="2" t="s">
        <v>33</v>
      </c>
      <c r="AC179" s="5"/>
      <c r="AD179" s="224" t="s">
        <v>164</v>
      </c>
    </row>
    <row r="180" spans="1:30" x14ac:dyDescent="0.25">
      <c r="A180" s="385" t="s">
        <v>236</v>
      </c>
      <c r="B180" s="386">
        <v>1</v>
      </c>
      <c r="C180" s="386" t="s">
        <v>93</v>
      </c>
      <c r="D180" s="385">
        <v>250</v>
      </c>
      <c r="E180" s="387">
        <v>250</v>
      </c>
      <c r="F180" s="387" t="s">
        <v>55</v>
      </c>
      <c r="G180" t="str">
        <f>"25 Fredm/25 Vndla/25 Swet Mem/25 Ful Mty/25 Cabar/25 Bright/25 Shimr/25 Orage Onl " &amp; _xlfn.XLOOKUP(Main[[#This Row],[FechaEntrega]], Guias[Fecha], Guias[Llegada])</f>
        <v>25 Fredm/25 Vndla/25 Swet Mem/25 Ful Mty/25 Cabar/25 Bright/25 Shimr/25 Orage Onl (M/T)</v>
      </c>
      <c r="H180" s="1" t="s">
        <v>1090</v>
      </c>
      <c r="I180" s="235">
        <v>0.37</v>
      </c>
      <c r="J180" s="69">
        <f>_xlfn.LET(
  _xlpm.result, 1-((Main[[#This Row],[Cost]]+Main[[#This Row],[Duties]]+Main[[#This Row],[Transport]])/((Main[[#This Row],[Precio]]*0.96))),
  IF(_xlpm.result&lt;0, "BAJO", IF(_xlpm.result&gt;1, "ALTO", _xlpm.result))
)</f>
        <v>0.21093749999999989</v>
      </c>
      <c r="K180" s="131">
        <v>1.3333333333333333</v>
      </c>
      <c r="L180" s="360" cm="1">
        <f t="array" aca="1" ref="L18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80" s="152">
        <f>Guias!$B$2</f>
        <v>46309</v>
      </c>
      <c r="N180" s="216">
        <f>ROUNDUP((Main[[#This Row],[Cost]]*Main[[#This Row],[Import Duties]]),2)</f>
        <v>6.0000000000000005E-2</v>
      </c>
      <c r="O180">
        <v>0</v>
      </c>
      <c r="P180">
        <v>1</v>
      </c>
      <c r="Q180">
        <v>0</v>
      </c>
      <c r="R180" s="217">
        <f>ROUNDUP(Main[[#This Row],[Transport2]]/Main[[#This Row],[Cantidad_Min]],2)</f>
        <v>0.57999999999999996</v>
      </c>
      <c r="S180">
        <f>_xlfn.XLOOKUP(Main[[#This Row],[Type of Box]], Cajas[Nombre], Cajas[Largo])</f>
        <v>105</v>
      </c>
      <c r="T180">
        <f>_xlfn.XLOOKUP(Main[[#This Row],[Type of Box]], Cajas[Nombre], Cajas[Ancho])</f>
        <v>35</v>
      </c>
      <c r="U180">
        <f>_xlfn.XLOOKUP(Main[[#This Row],[Type of Box]], Cajas[Nombre], Cajas[Alto])</f>
        <v>33</v>
      </c>
      <c r="V18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20.212499999999999</v>
      </c>
      <c r="W180">
        <f>ROUNDUP(((Main[[#This Row],[Volumen]]*5.25))*1.36,2)</f>
        <v>144.32</v>
      </c>
      <c r="X180" s="219">
        <v>0.15859999999999999</v>
      </c>
      <c r="Y180" s="361">
        <f>Main[[#This Row],[Cantidad_Min]]*Main[[#This Row],[Precio]]*Main[[#This Row],[Qty]]</f>
        <v>333.33333333333331</v>
      </c>
      <c r="Z180">
        <f>_xlfn.XLOOKUP(Main[[#This Row],[Finca]], Fincas[Nombre], Fincas[ID])</f>
        <v>76</v>
      </c>
      <c r="AA180" t="str" cm="1">
        <f t="array" ref="AA18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dvalencia,</v>
      </c>
      <c r="AB180" s="2" t="s">
        <v>33</v>
      </c>
      <c r="AC180" s="5"/>
      <c r="AD180" s="224" t="s">
        <v>161</v>
      </c>
    </row>
    <row r="181" spans="1:30" x14ac:dyDescent="0.25">
      <c r="A181" s="385" t="s">
        <v>236</v>
      </c>
      <c r="B181" s="386">
        <v>1</v>
      </c>
      <c r="C181" s="386" t="s">
        <v>35</v>
      </c>
      <c r="D181" s="385">
        <v>125</v>
      </c>
      <c r="E181" s="387">
        <v>125</v>
      </c>
      <c r="F181" s="387" t="s">
        <v>89</v>
      </c>
      <c r="G181" t="str">
        <f>"50 Freedom/25 Tibet/25 Pink Floyd/25 Jessica " &amp; _xlfn.XLOOKUP(Main[[#This Row],[FechaEntrega]], Guias[Fecha], Guias[Llegada])</f>
        <v>50 Freedom/25 Tibet/25 Pink Floyd/25 Jessica (M/T)</v>
      </c>
      <c r="H181" s="1" t="s">
        <v>1091</v>
      </c>
      <c r="I181" s="235">
        <v>0.38</v>
      </c>
      <c r="J181" s="69">
        <f>_xlfn.LET(
  _xlpm.result, 1-((Main[[#This Row],[Cost]]+Main[[#This Row],[Duties]]+Main[[#This Row],[Transport]])/((Main[[#This Row],[Precio]]*0.96))),
  IF(_xlpm.result&lt;0, "BAJO", IF(_xlpm.result&gt;1, "ALTO", _xlpm.result))
)</f>
        <v>0.31699640287769781</v>
      </c>
      <c r="K181" s="131">
        <v>1.4946236559139785</v>
      </c>
      <c r="L181" s="360" cm="1">
        <f t="array" aca="1" ref="L18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81" s="152">
        <f>Guias!$B$2</f>
        <v>46309</v>
      </c>
      <c r="N181" s="216">
        <f>ROUNDUP((Main[[#This Row],[Cost]]*Main[[#This Row],[Import Duties]]),2)</f>
        <v>6.9999999999999993E-2</v>
      </c>
      <c r="O181">
        <v>0</v>
      </c>
      <c r="P181">
        <v>1</v>
      </c>
      <c r="Q181">
        <v>0</v>
      </c>
      <c r="R181" s="217">
        <f>ROUNDUP(Main[[#This Row],[Transport2]]/Main[[#This Row],[Cantidad_Min]],2)</f>
        <v>0.53</v>
      </c>
      <c r="S181">
        <f>_xlfn.XLOOKUP(Main[[#This Row],[Type of Box]], Cajas[Nombre], Cajas[Largo])</f>
        <v>99</v>
      </c>
      <c r="T181">
        <f>_xlfn.XLOOKUP(Main[[#This Row],[Type of Box]], Cajas[Nombre], Cajas[Ancho])</f>
        <v>35</v>
      </c>
      <c r="U181">
        <f>_xlfn.XLOOKUP(Main[[#This Row],[Type of Box]], Cajas[Nombre], Cajas[Alto])</f>
        <v>16</v>
      </c>
      <c r="V18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1">
        <f>ROUNDUP(((Main[[#This Row],[Volumen]]*5.25))*1.36,2)</f>
        <v>65.98</v>
      </c>
      <c r="X181" s="219">
        <v>0.15859999999999999</v>
      </c>
      <c r="Y181" s="361">
        <f>Main[[#This Row],[Cantidad_Min]]*Main[[#This Row],[Precio]]*Main[[#This Row],[Qty]]</f>
        <v>186.82795698924733</v>
      </c>
      <c r="Z181">
        <f>_xlfn.XLOOKUP(Main[[#This Row],[Finca]], Fincas[Nombre], Fincas[ID])</f>
        <v>76</v>
      </c>
      <c r="AA181" t="str" cm="1">
        <f t="array" ref="AA18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fparamo,</v>
      </c>
      <c r="AB181" s="2" t="s">
        <v>33</v>
      </c>
      <c r="AC181" s="5"/>
      <c r="AD181" s="224" t="s">
        <v>40</v>
      </c>
    </row>
    <row r="182" spans="1:30" x14ac:dyDescent="0.25">
      <c r="A182" s="154" t="s">
        <v>236</v>
      </c>
      <c r="B182" s="155">
        <v>1</v>
      </c>
      <c r="C182" s="155" t="s">
        <v>35</v>
      </c>
      <c r="D182" s="154">
        <v>125</v>
      </c>
      <c r="E182" s="236">
        <v>125</v>
      </c>
      <c r="F182" s="236" t="s">
        <v>55</v>
      </c>
      <c r="G182" t="str">
        <f>"Fortune " &amp; _xlfn.XLOOKUP(Main[[#This Row],[FechaEntrega]], Guias[Fecha], Guias[Llegada])</f>
        <v>Fortune (T/W)</v>
      </c>
      <c r="H182" s="1" t="s">
        <v>1092</v>
      </c>
      <c r="I182" s="235">
        <v>0.37</v>
      </c>
      <c r="J182" s="69">
        <f>_xlfn.LET(
  _xlpm.result, 1-((Main[[#This Row],[Cost]]+Main[[#This Row],[Duties]]+Main[[#This Row],[Transport]])/((Main[[#This Row],[Precio]]*0.96))),
  IF(_xlpm.result&lt;0, "BAJO", IF(_xlpm.result&gt;1, "ALTO", _xlpm.result))
)</f>
        <v>0.13043478260869557</v>
      </c>
      <c r="K182" s="131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1.1499999999999999</v>
      </c>
      <c r="L182" s="360" cm="1">
        <f t="array" aca="1" ref="L18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82" s="152">
        <f>Guias!$B$3</f>
        <v>46310</v>
      </c>
      <c r="N182" s="216">
        <f>ROUNDUP((Main[[#This Row],[Cost]]*Main[[#This Row],[Import Duties]]),2)</f>
        <v>6.0000000000000005E-2</v>
      </c>
      <c r="O182">
        <v>0</v>
      </c>
      <c r="P182">
        <v>1</v>
      </c>
      <c r="Q182">
        <v>0</v>
      </c>
      <c r="R182" s="217">
        <f>ROUNDUP(Main[[#This Row],[Transport2]]/Main[[#This Row],[Cantidad_Min]],2)</f>
        <v>0.53</v>
      </c>
      <c r="S182">
        <f>_xlfn.XLOOKUP(Main[[#This Row],[Type of Box]], Cajas[Nombre], Cajas[Largo])</f>
        <v>99</v>
      </c>
      <c r="T182">
        <f>_xlfn.XLOOKUP(Main[[#This Row],[Type of Box]], Cajas[Nombre], Cajas[Ancho])</f>
        <v>35</v>
      </c>
      <c r="U182">
        <f>_xlfn.XLOOKUP(Main[[#This Row],[Type of Box]], Cajas[Nombre], Cajas[Alto])</f>
        <v>16</v>
      </c>
      <c r="V18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2">
        <f>ROUNDUP(((Main[[#This Row],[Volumen]]*5.25))*1.36,2)</f>
        <v>65.98</v>
      </c>
      <c r="X182" s="219">
        <v>0.15859999999999999</v>
      </c>
      <c r="Y182" s="361">
        <f>Main[[#This Row],[Cantidad_Min]]*Main[[#This Row],[Precio]]*Main[[#This Row],[Qty]]</f>
        <v>143.75</v>
      </c>
      <c r="Z182">
        <f>_xlfn.XLOOKUP(Main[[#This Row],[Finca]], Fincas[Nombre], Fincas[ID])</f>
        <v>76</v>
      </c>
      <c r="AA182" t="str" cm="1">
        <f t="array" ref="AA18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82" s="2" t="s">
        <v>33</v>
      </c>
      <c r="AC182" s="31"/>
      <c r="AD182" s="224" t="s">
        <v>238</v>
      </c>
    </row>
    <row r="183" spans="1:30" x14ac:dyDescent="0.25">
      <c r="A183" s="154" t="s">
        <v>236</v>
      </c>
      <c r="B183" s="155">
        <v>1</v>
      </c>
      <c r="C183" s="155" t="s">
        <v>35</v>
      </c>
      <c r="D183" s="154">
        <v>125</v>
      </c>
      <c r="E183" s="236">
        <v>125</v>
      </c>
      <c r="F183" s="236" t="s">
        <v>55</v>
      </c>
      <c r="G183" t="str">
        <f>"75 Rhoslyn/50 Mondial " &amp; _xlfn.XLOOKUP(Main[[#This Row],[FechaEntrega]], Guias[Fecha], Guias[Llegada])</f>
        <v>75 Rhoslyn/50 Mondial (T/W)</v>
      </c>
      <c r="H183" s="1" t="s">
        <v>1093</v>
      </c>
      <c r="I183" s="235">
        <v>0.37</v>
      </c>
      <c r="J183" s="69">
        <f>_xlfn.LET(
  _xlpm.result, 1-((Main[[#This Row],[Cost]]+Main[[#This Row],[Duties]]+Main[[#This Row],[Transport]])/((Main[[#This Row],[Precio]]*0.96))),
  IF(_xlpm.result&lt;0, "BAJO", IF(_xlpm.result&gt;1, "ALTO", _xlpm.result))
)</f>
        <v>0.13043478260869557</v>
      </c>
      <c r="K183" s="131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1.1499999999999999</v>
      </c>
      <c r="L183" s="360" cm="1">
        <f t="array" aca="1" ref="L18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83" s="152">
        <f>Guias!$B$3</f>
        <v>46310</v>
      </c>
      <c r="N183" s="216">
        <f>ROUNDUP((Main[[#This Row],[Cost]]*Main[[#This Row],[Import Duties]]),2)</f>
        <v>6.0000000000000005E-2</v>
      </c>
      <c r="O183">
        <v>0</v>
      </c>
      <c r="P183">
        <v>1</v>
      </c>
      <c r="Q183">
        <v>0</v>
      </c>
      <c r="R183" s="217">
        <f>ROUNDUP(Main[[#This Row],[Transport2]]/Main[[#This Row],[Cantidad_Min]],2)</f>
        <v>0.53</v>
      </c>
      <c r="S183">
        <f>_xlfn.XLOOKUP(Main[[#This Row],[Type of Box]], Cajas[Nombre], Cajas[Largo])</f>
        <v>99</v>
      </c>
      <c r="T183">
        <f>_xlfn.XLOOKUP(Main[[#This Row],[Type of Box]], Cajas[Nombre], Cajas[Ancho])</f>
        <v>35</v>
      </c>
      <c r="U183">
        <f>_xlfn.XLOOKUP(Main[[#This Row],[Type of Box]], Cajas[Nombre], Cajas[Alto])</f>
        <v>16</v>
      </c>
      <c r="V18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3">
        <f>ROUNDUP(((Main[[#This Row],[Volumen]]*5.25))*1.36,2)</f>
        <v>65.98</v>
      </c>
      <c r="X183" s="219">
        <v>0.15859999999999999</v>
      </c>
      <c r="Y183" s="361">
        <f>Main[[#This Row],[Cantidad_Min]]*Main[[#This Row],[Precio]]*Main[[#This Row],[Qty]]</f>
        <v>143.75</v>
      </c>
      <c r="Z183">
        <f>_xlfn.XLOOKUP(Main[[#This Row],[Finca]], Fincas[Nombre], Fincas[ID])</f>
        <v>76</v>
      </c>
      <c r="AA183" t="str" cm="1">
        <f t="array" ref="AA18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cmera,</v>
      </c>
      <c r="AB183" s="2" t="s">
        <v>33</v>
      </c>
      <c r="AC183" s="31"/>
      <c r="AD183" s="224" t="s">
        <v>238</v>
      </c>
    </row>
    <row r="184" spans="1:30" x14ac:dyDescent="0.25">
      <c r="A184" s="156" t="s">
        <v>236</v>
      </c>
      <c r="B184" s="157">
        <v>1</v>
      </c>
      <c r="C184" s="157" t="s">
        <v>35</v>
      </c>
      <c r="D184" s="156">
        <v>100</v>
      </c>
      <c r="E184" s="237">
        <v>100</v>
      </c>
      <c r="F184" s="237" t="s">
        <v>55</v>
      </c>
      <c r="G184" t="s">
        <v>107</v>
      </c>
      <c r="H184" s="1" t="s">
        <v>1094</v>
      </c>
      <c r="I184" s="235">
        <v>0.37</v>
      </c>
      <c r="J184" s="69">
        <f>_xlfn.LET(
  _xlpm.result, 1-((Main[[#This Row],[Cost]]+Main[[#This Row],[Duties]]+Main[[#This Row],[Transport]])/((Main[[#This Row],[Precio]]*0.96))),
  IF(_xlpm.result&lt;0, "BAJO", IF(_xlpm.result&gt;1, "ALTO", _xlpm.result))
)</f>
        <v>0.11983204134366909</v>
      </c>
      <c r="K184" s="131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1.29</v>
      </c>
      <c r="L184" s="360" cm="1">
        <f t="array" aca="1" ref="L18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84" s="152">
        <f>Guias!$B$5</f>
        <v>46312</v>
      </c>
      <c r="N184" s="216">
        <f>ROUNDUP((Main[[#This Row],[Cost]]*Main[[#This Row],[Import Duties]]),2)</f>
        <v>6.0000000000000005E-2</v>
      </c>
      <c r="O184">
        <v>0</v>
      </c>
      <c r="P184">
        <v>1</v>
      </c>
      <c r="Q184">
        <v>0</v>
      </c>
      <c r="R184" s="217">
        <f>ROUNDUP(Main[[#This Row],[Transport2]]/Main[[#This Row],[Cantidad_Min]],2)</f>
        <v>0.66</v>
      </c>
      <c r="S184">
        <f>_xlfn.XLOOKUP(Main[[#This Row],[Type of Box]], Cajas[Nombre], Cajas[Largo])</f>
        <v>99</v>
      </c>
      <c r="T184">
        <f>_xlfn.XLOOKUP(Main[[#This Row],[Type of Box]], Cajas[Nombre], Cajas[Ancho])</f>
        <v>35</v>
      </c>
      <c r="U184">
        <f>_xlfn.XLOOKUP(Main[[#This Row],[Type of Box]], Cajas[Nombre], Cajas[Alto])</f>
        <v>16</v>
      </c>
      <c r="V18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4">
        <f>ROUNDUP(((Main[[#This Row],[Volumen]]*5.25))*1.36,2)</f>
        <v>65.98</v>
      </c>
      <c r="X184" s="219">
        <v>0.15859999999999999</v>
      </c>
      <c r="Y184" s="361">
        <f>Main[[#This Row],[Cantidad_Min]]*Main[[#This Row],[Precio]]*Main[[#This Row],[Qty]]</f>
        <v>129</v>
      </c>
      <c r="Z184">
        <f>_xlfn.XLOOKUP(Main[[#This Row],[Finca]], Fincas[Nombre], Fincas[ID])</f>
        <v>76</v>
      </c>
      <c r="AA184" t="str" cm="1">
        <f t="array" ref="AA18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4" s="2" t="s">
        <v>33</v>
      </c>
      <c r="AC184" s="31"/>
      <c r="AD184" s="224" t="s">
        <v>239</v>
      </c>
    </row>
    <row r="185" spans="1:30" x14ac:dyDescent="0.25">
      <c r="A185" s="156" t="s">
        <v>236</v>
      </c>
      <c r="B185" s="157">
        <v>1</v>
      </c>
      <c r="C185" s="157" t="s">
        <v>35</v>
      </c>
      <c r="D185" s="156">
        <v>100</v>
      </c>
      <c r="E185" s="237">
        <v>100</v>
      </c>
      <c r="F185" s="237" t="s">
        <v>55</v>
      </c>
      <c r="G185" t="s">
        <v>240</v>
      </c>
      <c r="H185" s="1" t="s">
        <v>1095</v>
      </c>
      <c r="I185" s="235">
        <v>0.37</v>
      </c>
      <c r="J185" s="69">
        <f>_xlfn.LET(
  _xlpm.result, 1-((Main[[#This Row],[Cost]]+Main[[#This Row],[Duties]]+Main[[#This Row],[Transport]])/((Main[[#This Row],[Precio]]*0.96))),
  IF(_xlpm.result&lt;0, "BAJO", IF(_xlpm.result&gt;1, "ALTO", _xlpm.result))
)</f>
        <v>0.11983204134366909</v>
      </c>
      <c r="K185" s="131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1.29</v>
      </c>
      <c r="L185" s="360" cm="1">
        <f t="array" aca="1" ref="L18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85" s="152">
        <f>Guias!$B$5</f>
        <v>46312</v>
      </c>
      <c r="N185" s="216">
        <f>ROUNDUP((Main[[#This Row],[Cost]]*Main[[#This Row],[Import Duties]]),2)</f>
        <v>6.0000000000000005E-2</v>
      </c>
      <c r="O185">
        <v>0</v>
      </c>
      <c r="P185">
        <v>1</v>
      </c>
      <c r="Q185">
        <v>0</v>
      </c>
      <c r="R185" s="217">
        <f>ROUNDUP(Main[[#This Row],[Transport2]]/Main[[#This Row],[Cantidad_Min]],2)</f>
        <v>0.66</v>
      </c>
      <c r="S185">
        <f>_xlfn.XLOOKUP(Main[[#This Row],[Type of Box]], Cajas[Nombre], Cajas[Largo])</f>
        <v>99</v>
      </c>
      <c r="T185">
        <f>_xlfn.XLOOKUP(Main[[#This Row],[Type of Box]], Cajas[Nombre], Cajas[Ancho])</f>
        <v>35</v>
      </c>
      <c r="U185">
        <f>_xlfn.XLOOKUP(Main[[#This Row],[Type of Box]], Cajas[Nombre], Cajas[Alto])</f>
        <v>16</v>
      </c>
      <c r="V18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5">
        <f>ROUNDUP(((Main[[#This Row],[Volumen]]*5.25))*1.36,2)</f>
        <v>65.98</v>
      </c>
      <c r="X185" s="219">
        <v>0.15859999999999999</v>
      </c>
      <c r="Y185" s="361">
        <f>Main[[#This Row],[Cantidad_Min]]*Main[[#This Row],[Precio]]*Main[[#This Row],[Qty]]</f>
        <v>129</v>
      </c>
      <c r="Z185">
        <f>_xlfn.XLOOKUP(Main[[#This Row],[Finca]], Fincas[Nombre], Fincas[ID])</f>
        <v>76</v>
      </c>
      <c r="AA185" t="str" cm="1">
        <f t="array" ref="AA18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5" s="2" t="s">
        <v>33</v>
      </c>
      <c r="AC185" s="31"/>
      <c r="AD185" s="224" t="s">
        <v>239</v>
      </c>
    </row>
    <row r="186" spans="1:30" x14ac:dyDescent="0.25">
      <c r="A186" s="156" t="s">
        <v>236</v>
      </c>
      <c r="B186" s="157">
        <v>1</v>
      </c>
      <c r="C186" s="157" t="s">
        <v>35</v>
      </c>
      <c r="D186" s="156">
        <v>100</v>
      </c>
      <c r="E186" s="237">
        <v>100</v>
      </c>
      <c r="F186" s="237" t="s">
        <v>55</v>
      </c>
      <c r="G186" t="s">
        <v>241</v>
      </c>
      <c r="H186" s="1" t="s">
        <v>1096</v>
      </c>
      <c r="I186" s="235">
        <v>0.37</v>
      </c>
      <c r="J186" s="69">
        <f>_xlfn.LET(
  _xlpm.result, 1-((Main[[#This Row],[Cost]]+Main[[#This Row],[Duties]]+Main[[#This Row],[Transport]])/((Main[[#This Row],[Precio]]*0.96))),
  IF(_xlpm.result&lt;0, "BAJO", IF(_xlpm.result&gt;1, "ALTO", _xlpm.result))
)</f>
        <v>0.11983204134366909</v>
      </c>
      <c r="K186" s="131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1.29</v>
      </c>
      <c r="L186" s="360" cm="1">
        <f t="array" aca="1" ref="L18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86" s="152">
        <f>Guias!$B$5</f>
        <v>46312</v>
      </c>
      <c r="N186" s="216">
        <f>ROUNDUP((Main[[#This Row],[Cost]]*Main[[#This Row],[Import Duties]]),2)</f>
        <v>6.0000000000000005E-2</v>
      </c>
      <c r="O186">
        <v>0</v>
      </c>
      <c r="P186">
        <v>1</v>
      </c>
      <c r="Q186">
        <v>0</v>
      </c>
      <c r="R186" s="217">
        <f>ROUNDUP(Main[[#This Row],[Transport2]]/Main[[#This Row],[Cantidad_Min]],2)</f>
        <v>0.66</v>
      </c>
      <c r="S186">
        <f>_xlfn.XLOOKUP(Main[[#This Row],[Type of Box]], Cajas[Nombre], Cajas[Largo])</f>
        <v>99</v>
      </c>
      <c r="T186">
        <f>_xlfn.XLOOKUP(Main[[#This Row],[Type of Box]], Cajas[Nombre], Cajas[Ancho])</f>
        <v>35</v>
      </c>
      <c r="U186">
        <f>_xlfn.XLOOKUP(Main[[#This Row],[Type of Box]], Cajas[Nombre], Cajas[Alto])</f>
        <v>16</v>
      </c>
      <c r="V18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6">
        <f>ROUNDUP(((Main[[#This Row],[Volumen]]*5.25))*1.36,2)</f>
        <v>65.98</v>
      </c>
      <c r="X186" s="219">
        <v>0.15859999999999999</v>
      </c>
      <c r="Y186" s="361">
        <f>Main[[#This Row],[Cantidad_Min]]*Main[[#This Row],[Precio]]*Main[[#This Row],[Qty]]</f>
        <v>129</v>
      </c>
      <c r="Z186">
        <f>_xlfn.XLOOKUP(Main[[#This Row],[Finca]], Fincas[Nombre], Fincas[ID])</f>
        <v>76</v>
      </c>
      <c r="AA186" t="str" cm="1">
        <f t="array" ref="AA18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6" s="2" t="s">
        <v>33</v>
      </c>
      <c r="AC186" s="31"/>
      <c r="AD186" s="224" t="s">
        <v>239</v>
      </c>
    </row>
    <row r="187" spans="1:30" x14ac:dyDescent="0.25">
      <c r="A187" s="156" t="s">
        <v>236</v>
      </c>
      <c r="B187" s="157">
        <v>1</v>
      </c>
      <c r="C187" s="157" t="s">
        <v>35</v>
      </c>
      <c r="D187" s="156">
        <v>100</v>
      </c>
      <c r="E187" s="237">
        <v>100</v>
      </c>
      <c r="F187" s="237" t="s">
        <v>55</v>
      </c>
      <c r="G187" t="str">
        <f>"Fortune " &amp; _xlfn.XLOOKUP(Main[[#This Row],[FechaEntrega]], Guias[Fecha], Guias[Llegada])</f>
        <v>Fortune (M/T)</v>
      </c>
      <c r="H187" s="1" t="s">
        <v>1097</v>
      </c>
      <c r="I187" s="235">
        <v>0.37</v>
      </c>
      <c r="J187" s="69">
        <f>_xlfn.LET(
  _xlpm.result, 1-((Main[[#This Row],[Cost]]+Main[[#This Row],[Duties]]+Main[[#This Row],[Transport]])/((Main[[#This Row],[Precio]]*0.96))),
  IF(_xlpm.result&lt;0, "BAJO", IF(_xlpm.result&gt;1, "ALTO", _xlpm.result))
)</f>
        <v>0.11983204134366909</v>
      </c>
      <c r="K187" s="131">
        <f>IF(OR(AND(ISNUMBER(FIND("(*PAR)",
UPPER(Main[[#This Row],[Standing Orders]]))),
MOD(IFERROR(VALUE(Guias!$M$2),0),2)=0),
AND(ISNUMBER(FIND("(*IMPAR)",
UPPER(Main[[#This Row],[Standing Orders]]))),
MOD(IFERROR(VALUE(Guias!$M$2),
0),2)=1)), 1.15, 1.29)</f>
        <v>1.29</v>
      </c>
      <c r="L187" s="360" cm="1">
        <f t="array" aca="1" ref="L18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87" s="152">
        <f>Guias!$B$2</f>
        <v>46309</v>
      </c>
      <c r="N187" s="216">
        <f>ROUNDUP((Main[[#This Row],[Cost]]*Main[[#This Row],[Import Duties]]),2)</f>
        <v>6.0000000000000005E-2</v>
      </c>
      <c r="O187">
        <v>0</v>
      </c>
      <c r="P187">
        <v>1</v>
      </c>
      <c r="Q187">
        <v>0</v>
      </c>
      <c r="R187" s="217">
        <f>ROUNDUP(Main[[#This Row],[Transport2]]/Main[[#This Row],[Cantidad_Min]],2)</f>
        <v>0.66</v>
      </c>
      <c r="S187">
        <f>_xlfn.XLOOKUP(Main[[#This Row],[Type of Box]], Cajas[Nombre], Cajas[Largo])</f>
        <v>99</v>
      </c>
      <c r="T187">
        <f>_xlfn.XLOOKUP(Main[[#This Row],[Type of Box]], Cajas[Nombre], Cajas[Ancho])</f>
        <v>35</v>
      </c>
      <c r="U187">
        <f>_xlfn.XLOOKUP(Main[[#This Row],[Type of Box]], Cajas[Nombre], Cajas[Alto])</f>
        <v>16</v>
      </c>
      <c r="V18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7">
        <f>ROUNDUP(((Main[[#This Row],[Volumen]]*5.25))*1.36,2)</f>
        <v>65.98</v>
      </c>
      <c r="X187" s="219">
        <v>0.15859999999999999</v>
      </c>
      <c r="Y187" s="361">
        <f>Main[[#This Row],[Cantidad_Min]]*Main[[#This Row],[Precio]]*Main[[#This Row],[Qty]]</f>
        <v>129</v>
      </c>
      <c r="Z187">
        <f>_xlfn.XLOOKUP(Main[[#This Row],[Finca]], Fincas[Nombre], Fincas[ID])</f>
        <v>76</v>
      </c>
      <c r="AA187" t="str" cm="1">
        <f t="array" ref="AA18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7" s="2" t="s">
        <v>33</v>
      </c>
      <c r="AC187" s="31"/>
      <c r="AD187" s="224" t="s">
        <v>239</v>
      </c>
    </row>
    <row r="188" spans="1:30" x14ac:dyDescent="0.25">
      <c r="A188" s="156" t="s">
        <v>236</v>
      </c>
      <c r="B188" s="157">
        <v>1</v>
      </c>
      <c r="C188" s="157" t="s">
        <v>35</v>
      </c>
      <c r="D188" s="156">
        <v>100</v>
      </c>
      <c r="E188" s="237">
        <v>100</v>
      </c>
      <c r="F188" s="237" t="s">
        <v>55</v>
      </c>
      <c r="G188" t="str">
        <f>"50 Fortune/25 Rhoslyn/25 Luciano 60cm " &amp; _xlfn.XLOOKUP(Main[[#This Row],[FechaEntrega]], Guias[Fecha], Guias[Llegada])</f>
        <v>50 Fortune/25 Rhoslyn/25 Luciano 60cm (M/T)</v>
      </c>
      <c r="H188" s="1" t="s">
        <v>1098</v>
      </c>
      <c r="I188" s="235">
        <f>AVERAGE(0.37,0.37,0.37,0.47)</f>
        <v>0.39499999999999996</v>
      </c>
      <c r="J188" s="69">
        <f>_xlfn.LET(
  _xlpm.result, 1-((Main[[#This Row],[Cost]]+Main[[#This Row],[Duties]]+Main[[#This Row],[Transport]])/((Main[[#This Row],[Precio]]*0.96))),
  IF(_xlpm.result&lt;0, "BAJO", IF(_xlpm.result&gt;1, "ALTO", _xlpm.result))
)</f>
        <v>9.1569767441860406E-2</v>
      </c>
      <c r="K188" s="131">
        <f>IF(OR(AND(ISNUMBER(FIND("(*PAR)",
UPPER(Main[[#This Row],[Standing Orders]]))),
MOD(IFERROR(VALUE(Guias!$M$2),0),2)=0),
AND(ISNUMBER(FIND("(*IMPAR)",
UPPER(Main[[#This Row],[Standing Orders]]))),
MOD(IFERROR(VALUE(Guias!$M$2),
0),2)=1)), 1.18, 1.29)</f>
        <v>1.29</v>
      </c>
      <c r="L188" s="360" cm="1">
        <f t="array" aca="1" ref="L18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88" s="152">
        <f>Guias!$B$2</f>
        <v>46309</v>
      </c>
      <c r="N188" s="216">
        <f>ROUNDUP((Main[[#This Row],[Cost]]*Main[[#This Row],[Import Duties]]),2)</f>
        <v>6.9999999999999993E-2</v>
      </c>
      <c r="O188">
        <v>0</v>
      </c>
      <c r="P188">
        <v>1</v>
      </c>
      <c r="Q188">
        <v>0</v>
      </c>
      <c r="R188" s="217">
        <f>ROUNDUP(Main[[#This Row],[Transport2]]/Main[[#This Row],[Cantidad_Min]],2)</f>
        <v>0.66</v>
      </c>
      <c r="S188">
        <f>_xlfn.XLOOKUP(Main[[#This Row],[Type of Box]], Cajas[Nombre], Cajas[Largo])</f>
        <v>99</v>
      </c>
      <c r="T188">
        <f>_xlfn.XLOOKUP(Main[[#This Row],[Type of Box]], Cajas[Nombre], Cajas[Ancho])</f>
        <v>35</v>
      </c>
      <c r="U188">
        <f>_xlfn.XLOOKUP(Main[[#This Row],[Type of Box]], Cajas[Nombre], Cajas[Alto])</f>
        <v>16</v>
      </c>
      <c r="V18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8">
        <f>ROUNDUP(((Main[[#This Row],[Volumen]]*5.25))*1.36,2)</f>
        <v>65.98</v>
      </c>
      <c r="X188" s="219">
        <v>0.15859999999999999</v>
      </c>
      <c r="Y188" s="361">
        <f>Main[[#This Row],[Cantidad_Min]]*Main[[#This Row],[Precio]]*Main[[#This Row],[Qty]]</f>
        <v>129</v>
      </c>
      <c r="Z188">
        <f>_xlfn.XLOOKUP(Main[[#This Row],[Finca]], Fincas[Nombre], Fincas[ID])</f>
        <v>76</v>
      </c>
      <c r="AA188" t="str" cm="1">
        <f t="array" ref="AA18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8" s="2" t="s">
        <v>33</v>
      </c>
      <c r="AC188" s="31"/>
      <c r="AD188" s="224" t="s">
        <v>239</v>
      </c>
    </row>
    <row r="189" spans="1:30" x14ac:dyDescent="0.25">
      <c r="A189" s="33" t="s">
        <v>236</v>
      </c>
      <c r="B189" s="153">
        <v>1</v>
      </c>
      <c r="C189" s="153" t="s">
        <v>35</v>
      </c>
      <c r="D189" s="33">
        <v>125</v>
      </c>
      <c r="E189">
        <v>125</v>
      </c>
      <c r="F189" t="s">
        <v>55</v>
      </c>
      <c r="G189" t="str">
        <f>"25 Tibet/25 Jessika/25 Mohana/25 Phoenix/25 Bromo " &amp; _xlfn.XLOOKUP(Main[[#This Row],[FechaEntrega]], Guias[Fecha], Guias[Llegada])</f>
        <v>25 Tibet/25 Jessika/25 Mohana/25 Phoenix/25 Bromo (W/T)</v>
      </c>
      <c r="H189" s="1" t="s">
        <v>1099</v>
      </c>
      <c r="I189" s="235">
        <v>0.37</v>
      </c>
      <c r="J189" s="69">
        <f>_xlfn.LET(
  _xlpm.result, 1-((Main[[#This Row],[Cost]]+Main[[#This Row],[Duties]]+Main[[#This Row],[Transport]])/((Main[[#This Row],[Precio]]*0.96))),
  IF(_xlpm.result&lt;0, "BAJO", IF(_xlpm.result&gt;1, "ALTO", _xlpm.result))
)</f>
        <v>0.28057553956834524</v>
      </c>
      <c r="K189" s="131">
        <f>IF(OR(AND(ISNUMBER(FIND("(*PAR)",
UPPER(Main[[#This Row],[Standing Orders]]))),
MOD(IFERROR(VALUE(Guias!$M$2),0),2)=0),
AND(ISNUMBER(FIND("(*IMPAR)",
UPPER(Main[[#This Row],[Standing Orders]]))),
MOD(IFERROR(VALUE(Guias!$M$2),
0),2)=1)), 1.45, 1.39)</f>
        <v>1.39</v>
      </c>
      <c r="L189" s="360" cm="1">
        <f t="array" aca="1" ref="L18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16979</v>
      </c>
      <c r="M189" s="152">
        <f>Guias!$B$5</f>
        <v>46312</v>
      </c>
      <c r="N189" s="216">
        <f>ROUNDUP((Main[[#This Row],[Cost]]*Main[[#This Row],[Import Duties]]),2)</f>
        <v>6.0000000000000005E-2</v>
      </c>
      <c r="O189">
        <v>0</v>
      </c>
      <c r="P189">
        <v>1</v>
      </c>
      <c r="Q189">
        <v>0</v>
      </c>
      <c r="R189" s="217">
        <f>ROUNDUP(Main[[#This Row],[Transport2]]/Main[[#This Row],[Cantidad_Min]],2)</f>
        <v>0.53</v>
      </c>
      <c r="S189">
        <f>_xlfn.XLOOKUP(Main[[#This Row],[Type of Box]], Cajas[Nombre], Cajas[Largo])</f>
        <v>99</v>
      </c>
      <c r="T189">
        <f>_xlfn.XLOOKUP(Main[[#This Row],[Type of Box]], Cajas[Nombre], Cajas[Ancho])</f>
        <v>35</v>
      </c>
      <c r="U189">
        <f>_xlfn.XLOOKUP(Main[[#This Row],[Type of Box]], Cajas[Nombre], Cajas[Alto])</f>
        <v>16</v>
      </c>
      <c r="V18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89">
        <f>ROUNDUP(((Main[[#This Row],[Volumen]]*5.25))*1.36,2)</f>
        <v>65.98</v>
      </c>
      <c r="X189" s="219">
        <v>0.15859999999999999</v>
      </c>
      <c r="Y189" s="361">
        <f>Main[[#This Row],[Cantidad_Min]]*Main[[#This Row],[Precio]]*Main[[#This Row],[Qty]]</f>
        <v>173.75</v>
      </c>
      <c r="Z189">
        <f>_xlfn.XLOOKUP(Main[[#This Row],[Finca]], Fincas[Nombre], Fincas[ID])</f>
        <v>76</v>
      </c>
      <c r="AA189" t="str" cm="1">
        <f t="array" ref="AA18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89" s="2" t="s">
        <v>33</v>
      </c>
      <c r="AC189" s="31"/>
      <c r="AD189" s="224" t="s">
        <v>242</v>
      </c>
    </row>
    <row r="190" spans="1:30" x14ac:dyDescent="0.25">
      <c r="A190" s="33" t="s">
        <v>236</v>
      </c>
      <c r="B190" s="153">
        <v>1</v>
      </c>
      <c r="C190" s="153" t="s">
        <v>35</v>
      </c>
      <c r="D190" s="33">
        <v>125</v>
      </c>
      <c r="E190">
        <v>125</v>
      </c>
      <c r="F190" t="s">
        <v>55</v>
      </c>
      <c r="G190" t="s">
        <v>107</v>
      </c>
      <c r="H190" s="1" t="s">
        <v>1100</v>
      </c>
      <c r="I190" s="235">
        <v>0.38</v>
      </c>
      <c r="J190" s="69">
        <f>_xlfn.LET(
  _xlpm.result, 1-((Main[[#This Row],[Cost]]+Main[[#This Row],[Duties]]+Main[[#This Row],[Transport]])/((Main[[#This Row],[Precio]]*0.96))),
  IF(_xlpm.result&lt;0, "BAJO", IF(_xlpm.result&gt;1, "ALTO", _xlpm.result))
)</f>
        <v>0.23818407960199006</v>
      </c>
      <c r="K190" s="131">
        <v>1.34</v>
      </c>
      <c r="L190" s="360" cm="1">
        <f t="array" aca="1" ref="L19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90" s="152">
        <f>Guias!$B$5</f>
        <v>46312</v>
      </c>
      <c r="N190" s="216">
        <f>ROUNDUP((Main[[#This Row],[Cost]]*Main[[#This Row],[Import Duties]]),2)</f>
        <v>6.9999999999999993E-2</v>
      </c>
      <c r="O190">
        <v>0</v>
      </c>
      <c r="P190">
        <v>1</v>
      </c>
      <c r="Q190">
        <v>0</v>
      </c>
      <c r="R190" s="217">
        <f>ROUNDUP(Main[[#This Row],[Transport2]]/Main[[#This Row],[Cantidad_Min]],2)</f>
        <v>0.53</v>
      </c>
      <c r="S190">
        <f>_xlfn.XLOOKUP(Main[[#This Row],[Type of Box]], Cajas[Nombre], Cajas[Largo])</f>
        <v>99</v>
      </c>
      <c r="T190">
        <f>_xlfn.XLOOKUP(Main[[#This Row],[Type of Box]], Cajas[Nombre], Cajas[Ancho])</f>
        <v>35</v>
      </c>
      <c r="U190">
        <f>_xlfn.XLOOKUP(Main[[#This Row],[Type of Box]], Cajas[Nombre], Cajas[Alto])</f>
        <v>16</v>
      </c>
      <c r="V19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0">
        <f>ROUNDUP(((Main[[#This Row],[Volumen]]*5.25))*1.36,2)</f>
        <v>65.98</v>
      </c>
      <c r="X190" s="219">
        <v>0.15859999999999999</v>
      </c>
      <c r="Y190" s="361">
        <f>Main[[#This Row],[Cantidad_Min]]*Main[[#This Row],[Precio]]*Main[[#This Row],[Qty]]</f>
        <v>167.5</v>
      </c>
      <c r="Z190">
        <f>_xlfn.XLOOKUP(Main[[#This Row],[Finca]], Fincas[Nombre], Fincas[ID])</f>
        <v>76</v>
      </c>
      <c r="AA190" t="str" cm="1">
        <f t="array" ref="AA19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0" s="2" t="s">
        <v>33</v>
      </c>
      <c r="AC190" s="5"/>
      <c r="AD190" s="224"/>
    </row>
    <row r="191" spans="1:30" x14ac:dyDescent="0.25">
      <c r="A191" s="33" t="s">
        <v>236</v>
      </c>
      <c r="B191" s="153">
        <v>1</v>
      </c>
      <c r="C191" s="153" t="s">
        <v>35</v>
      </c>
      <c r="D191" s="33">
        <v>125</v>
      </c>
      <c r="E191">
        <v>125</v>
      </c>
      <c r="F191" t="s">
        <v>106</v>
      </c>
      <c r="G191" t="s">
        <v>107</v>
      </c>
      <c r="H191" s="1" t="s">
        <v>1101</v>
      </c>
      <c r="I191" s="235">
        <v>0.38</v>
      </c>
      <c r="J191" s="69">
        <f>_xlfn.LET(
  _xlpm.result, 1-((Main[[#This Row],[Cost]]+Main[[#This Row],[Duties]]+Main[[#This Row],[Transport]])/((Main[[#This Row],[Precio]]*0.96))),
  IF(_xlpm.result&lt;0, "BAJO", IF(_xlpm.result&gt;1, "ALTO", _xlpm.result))
)</f>
        <v>0.23818407960199006</v>
      </c>
      <c r="K191" s="131">
        <v>1.34</v>
      </c>
      <c r="L191" s="360" cm="1">
        <f t="array" aca="1" ref="L19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91" s="152">
        <f>Guias!$B$5</f>
        <v>46312</v>
      </c>
      <c r="N191" s="216">
        <f>ROUNDUP((Main[[#This Row],[Cost]]*Main[[#This Row],[Import Duties]]),2)</f>
        <v>6.9999999999999993E-2</v>
      </c>
      <c r="O191">
        <v>0</v>
      </c>
      <c r="P191">
        <v>1</v>
      </c>
      <c r="Q191">
        <v>0</v>
      </c>
      <c r="R191" s="217">
        <f>ROUNDUP(Main[[#This Row],[Transport2]]/Main[[#This Row],[Cantidad_Min]],2)</f>
        <v>0.53</v>
      </c>
      <c r="S191">
        <f>_xlfn.XLOOKUP(Main[[#This Row],[Type of Box]], Cajas[Nombre], Cajas[Largo])</f>
        <v>99</v>
      </c>
      <c r="T191">
        <f>_xlfn.XLOOKUP(Main[[#This Row],[Type of Box]], Cajas[Nombre], Cajas[Ancho])</f>
        <v>35</v>
      </c>
      <c r="U191">
        <f>_xlfn.XLOOKUP(Main[[#This Row],[Type of Box]], Cajas[Nombre], Cajas[Alto])</f>
        <v>16</v>
      </c>
      <c r="V19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1">
        <f>ROUNDUP(((Main[[#This Row],[Volumen]]*5.25))*1.36,2)</f>
        <v>65.98</v>
      </c>
      <c r="X191" s="219">
        <v>0.15859999999999999</v>
      </c>
      <c r="Y191" s="361">
        <f>Main[[#This Row],[Cantidad_Min]]*Main[[#This Row],[Precio]]*Main[[#This Row],[Qty]]</f>
        <v>167.5</v>
      </c>
      <c r="Z191">
        <f>_xlfn.XLOOKUP(Main[[#This Row],[Finca]], Fincas[Nombre], Fincas[ID])</f>
        <v>76</v>
      </c>
      <c r="AA191" t="str" cm="1">
        <f t="array" ref="AA19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1" s="2" t="s">
        <v>33</v>
      </c>
      <c r="AC191" s="5"/>
      <c r="AD191" s="224"/>
    </row>
    <row r="192" spans="1:30" x14ac:dyDescent="0.25">
      <c r="A192" s="33" t="s">
        <v>236</v>
      </c>
      <c r="B192" s="153">
        <v>1</v>
      </c>
      <c r="C192" s="153" t="s">
        <v>35</v>
      </c>
      <c r="D192" s="33">
        <v>125</v>
      </c>
      <c r="E192">
        <v>125</v>
      </c>
      <c r="F192" t="s">
        <v>55</v>
      </c>
      <c r="G192" t="s">
        <v>243</v>
      </c>
      <c r="H192" s="1" t="s">
        <v>1102</v>
      </c>
      <c r="I192" s="235">
        <v>0.37</v>
      </c>
      <c r="J192" s="69">
        <f>_xlfn.LET(
  _xlpm.result, 1-((Main[[#This Row],[Cost]]+Main[[#This Row],[Duties]]+Main[[#This Row],[Transport]])/((Main[[#This Row],[Precio]]*0.96))),
  IF(_xlpm.result&lt;0, "BAJO", IF(_xlpm.result&gt;1, "ALTO", _xlpm.result))
)</f>
        <v>0.22480620155038755</v>
      </c>
      <c r="K192" s="131">
        <v>1.29</v>
      </c>
      <c r="L192" s="360" cm="1">
        <f t="array" aca="1" ref="L19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92" s="152">
        <f>Guias!$B$5</f>
        <v>46312</v>
      </c>
      <c r="N192" s="216">
        <f>ROUNDUP((Main[[#This Row],[Cost]]*Main[[#This Row],[Import Duties]]),2)</f>
        <v>6.0000000000000005E-2</v>
      </c>
      <c r="O192">
        <v>0</v>
      </c>
      <c r="P192">
        <v>1</v>
      </c>
      <c r="Q192">
        <v>0</v>
      </c>
      <c r="R192" s="217">
        <f>ROUNDUP(Main[[#This Row],[Transport2]]/Main[[#This Row],[Cantidad_Min]],2)</f>
        <v>0.53</v>
      </c>
      <c r="S192">
        <f>_xlfn.XLOOKUP(Main[[#This Row],[Type of Box]], Cajas[Nombre], Cajas[Largo])</f>
        <v>99</v>
      </c>
      <c r="T192">
        <f>_xlfn.XLOOKUP(Main[[#This Row],[Type of Box]], Cajas[Nombre], Cajas[Ancho])</f>
        <v>35</v>
      </c>
      <c r="U192">
        <f>_xlfn.XLOOKUP(Main[[#This Row],[Type of Box]], Cajas[Nombre], Cajas[Alto])</f>
        <v>16</v>
      </c>
      <c r="V19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2">
        <f>ROUNDUP(((Main[[#This Row],[Volumen]]*5.25))*1.36,2)</f>
        <v>65.98</v>
      </c>
      <c r="X192" s="219">
        <v>0.15859999999999999</v>
      </c>
      <c r="Y192" s="361">
        <f>Main[[#This Row],[Cantidad_Min]]*Main[[#This Row],[Precio]]*Main[[#This Row],[Qty]]</f>
        <v>161.25</v>
      </c>
      <c r="Z192">
        <f>_xlfn.XLOOKUP(Main[[#This Row],[Finca]], Fincas[Nombre], Fincas[ID])</f>
        <v>76</v>
      </c>
      <c r="AA192" t="str" cm="1">
        <f t="array" ref="AA19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2" s="2" t="s">
        <v>33</v>
      </c>
      <c r="AC192" s="31"/>
      <c r="AD192" s="224"/>
    </row>
    <row r="193" spans="1:30" x14ac:dyDescent="0.25">
      <c r="A193" s="33" t="s">
        <v>236</v>
      </c>
      <c r="B193" s="153">
        <v>1</v>
      </c>
      <c r="C193" s="153" t="s">
        <v>35</v>
      </c>
      <c r="D193" s="33">
        <v>125</v>
      </c>
      <c r="E193">
        <v>125</v>
      </c>
      <c r="F193" t="s">
        <v>55</v>
      </c>
      <c r="G193" t="s">
        <v>244</v>
      </c>
      <c r="H193" s="1" t="s">
        <v>1103</v>
      </c>
      <c r="I193" s="235">
        <v>0.37</v>
      </c>
      <c r="J193" s="69">
        <f>_xlfn.LET(
  _xlpm.result, 1-((Main[[#This Row],[Cost]]+Main[[#This Row],[Duties]]+Main[[#This Row],[Transport]])/((Main[[#This Row],[Precio]]*0.96))),
  IF(_xlpm.result&lt;0, "BAJO", IF(_xlpm.result&gt;1, "ALTO", _xlpm.result))
)</f>
        <v>0.28057553956834524</v>
      </c>
      <c r="K193" s="131">
        <v>1.39</v>
      </c>
      <c r="L193" s="360" cm="1">
        <f t="array" aca="1" ref="L19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93" s="152">
        <f>Guias!$B$5</f>
        <v>46312</v>
      </c>
      <c r="N193" s="216">
        <f>ROUNDUP((Main[[#This Row],[Cost]]*Main[[#This Row],[Import Duties]]),2)</f>
        <v>6.0000000000000005E-2</v>
      </c>
      <c r="O193">
        <v>0</v>
      </c>
      <c r="P193">
        <v>1</v>
      </c>
      <c r="Q193">
        <v>0</v>
      </c>
      <c r="R193" s="217">
        <f>ROUNDUP(Main[[#This Row],[Transport2]]/Main[[#This Row],[Cantidad_Min]],2)</f>
        <v>0.53</v>
      </c>
      <c r="S193">
        <f>_xlfn.XLOOKUP(Main[[#This Row],[Type of Box]], Cajas[Nombre], Cajas[Largo])</f>
        <v>99</v>
      </c>
      <c r="T193">
        <f>_xlfn.XLOOKUP(Main[[#This Row],[Type of Box]], Cajas[Nombre], Cajas[Ancho])</f>
        <v>35</v>
      </c>
      <c r="U193">
        <f>_xlfn.XLOOKUP(Main[[#This Row],[Type of Box]], Cajas[Nombre], Cajas[Alto])</f>
        <v>16</v>
      </c>
      <c r="V19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3">
        <f>ROUNDUP(((Main[[#This Row],[Volumen]]*5.25))*1.36,2)</f>
        <v>65.98</v>
      </c>
      <c r="X193" s="219">
        <v>0.15859999999999999</v>
      </c>
      <c r="Y193" s="361">
        <f>Main[[#This Row],[Cantidad_Min]]*Main[[#This Row],[Precio]]*Main[[#This Row],[Qty]]</f>
        <v>173.75</v>
      </c>
      <c r="Z193">
        <f>_xlfn.XLOOKUP(Main[[#This Row],[Finca]], Fincas[Nombre], Fincas[ID])</f>
        <v>76</v>
      </c>
      <c r="AA193" t="str" cm="1">
        <f t="array" ref="AA19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3" s="2" t="s">
        <v>33</v>
      </c>
      <c r="AC193" s="5"/>
      <c r="AD193" s="224"/>
    </row>
    <row r="194" spans="1:30" x14ac:dyDescent="0.25">
      <c r="A194" s="33" t="s">
        <v>236</v>
      </c>
      <c r="B194" s="153">
        <v>1</v>
      </c>
      <c r="C194" s="153" t="s">
        <v>35</v>
      </c>
      <c r="D194" s="33">
        <v>125</v>
      </c>
      <c r="E194">
        <v>125</v>
      </c>
      <c r="F194" t="s">
        <v>89</v>
      </c>
      <c r="G194" t="str">
        <f>"Tibet " &amp; _xlfn.XLOOKUP(Main[[#This Row],[FechaEntrega]], Guias[Fecha], Guias[Llegada])</f>
        <v>Tibet (M/T)</v>
      </c>
      <c r="H194" s="1" t="s">
        <v>1104</v>
      </c>
      <c r="I194" s="235">
        <v>0.37</v>
      </c>
      <c r="J194" s="69">
        <f>_xlfn.LET(
  _xlpm.result, 1-((Main[[#This Row],[Cost]]+Main[[#This Row],[Duties]]+Main[[#This Row],[Transport]])/((Main[[#This Row],[Precio]]*0.96))),
  IF(_xlpm.result&lt;0, "BAJO", IF(_xlpm.result&gt;1, "ALTO", _xlpm.result))
)</f>
        <v>0.2592592592592593</v>
      </c>
      <c r="K194" s="131">
        <v>1.35</v>
      </c>
      <c r="L194" s="360" cm="1">
        <f t="array" aca="1" ref="L19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94" s="152">
        <f>Guias!$B$2</f>
        <v>46309</v>
      </c>
      <c r="N194" s="216">
        <f>ROUNDUP((Main[[#This Row],[Cost]]*Main[[#This Row],[Import Duties]]),2)</f>
        <v>6.0000000000000005E-2</v>
      </c>
      <c r="O194">
        <v>0</v>
      </c>
      <c r="P194">
        <v>1</v>
      </c>
      <c r="Q194">
        <v>0</v>
      </c>
      <c r="R194" s="217">
        <f>ROUNDUP(Main[[#This Row],[Transport2]]/Main[[#This Row],[Cantidad_Min]],2)</f>
        <v>0.53</v>
      </c>
      <c r="S194">
        <f>_xlfn.XLOOKUP(Main[[#This Row],[Type of Box]], Cajas[Nombre], Cajas[Largo])</f>
        <v>99</v>
      </c>
      <c r="T194">
        <f>_xlfn.XLOOKUP(Main[[#This Row],[Type of Box]], Cajas[Nombre], Cajas[Ancho])</f>
        <v>35</v>
      </c>
      <c r="U194">
        <f>_xlfn.XLOOKUP(Main[[#This Row],[Type of Box]], Cajas[Nombre], Cajas[Alto])</f>
        <v>16</v>
      </c>
      <c r="V19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4">
        <f>ROUNDUP(((Main[[#This Row],[Volumen]]*5.25))*1.36,2)</f>
        <v>65.98</v>
      </c>
      <c r="X194" s="219">
        <v>0.15859999999999999</v>
      </c>
      <c r="Y194" s="361">
        <f>Main[[#This Row],[Cantidad_Min]]*Main[[#This Row],[Precio]]*Main[[#This Row],[Qty]]</f>
        <v>168.75</v>
      </c>
      <c r="Z194">
        <f>_xlfn.XLOOKUP(Main[[#This Row],[Finca]], Fincas[Nombre], Fincas[ID])</f>
        <v>76</v>
      </c>
      <c r="AA194" t="str" cm="1">
        <f t="array" ref="AA19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4" s="2" t="s">
        <v>33</v>
      </c>
      <c r="AC194" s="5"/>
      <c r="AD194" s="224"/>
    </row>
    <row r="195" spans="1:30" ht="15.75" thickBot="1" x14ac:dyDescent="0.3">
      <c r="A195" s="431" t="s">
        <v>236</v>
      </c>
      <c r="B195" s="432">
        <v>1</v>
      </c>
      <c r="C195" s="432" t="s">
        <v>35</v>
      </c>
      <c r="D195" s="431">
        <v>125</v>
      </c>
      <c r="E195" s="433">
        <v>125</v>
      </c>
      <c r="F195" s="433" t="s">
        <v>89</v>
      </c>
      <c r="G195" s="433" t="str">
        <f>"Freedom " &amp; _xlfn.XLOOKUP(Main[[#This Row],[FechaEntrega]], Guias[Fecha], Guias[Llegada])</f>
        <v>Freedom (M/T)</v>
      </c>
      <c r="H195" s="1" t="s">
        <v>1105</v>
      </c>
      <c r="I195" s="434">
        <v>0.37</v>
      </c>
      <c r="J195" s="435">
        <f>_xlfn.LET(
  _xlpm.result, 1-((Main[[#This Row],[Cost]]+Main[[#This Row],[Duties]]+Main[[#This Row],[Transport]])/((Main[[#This Row],[Precio]]*0.96))),
  IF(_xlpm.result&lt;0, "BAJO", IF(_xlpm.result&gt;1, "ALTO", _xlpm.result))
)</f>
        <v>0.28057553956834524</v>
      </c>
      <c r="K195" s="436">
        <v>1.39</v>
      </c>
      <c r="L195" s="437" cm="1">
        <f t="array" aca="1" ref="L19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95" s="438">
        <f>Guias!$B$2</f>
        <v>46309</v>
      </c>
      <c r="N195" s="439">
        <f>ROUNDUP((Main[[#This Row],[Cost]]*Main[[#This Row],[Import Duties]]),2)</f>
        <v>6.0000000000000005E-2</v>
      </c>
      <c r="O195" s="433">
        <v>0</v>
      </c>
      <c r="P195" s="433">
        <v>1</v>
      </c>
      <c r="Q195" s="433">
        <v>0</v>
      </c>
      <c r="R195" s="440">
        <f>ROUNDUP(Main[[#This Row],[Transport2]]/Main[[#This Row],[Cantidad_Min]],2)</f>
        <v>0.53</v>
      </c>
      <c r="S195" s="433">
        <f>_xlfn.XLOOKUP(Main[[#This Row],[Type of Box]], Cajas[Nombre], Cajas[Largo])</f>
        <v>99</v>
      </c>
      <c r="T195" s="433">
        <f>_xlfn.XLOOKUP(Main[[#This Row],[Type of Box]], Cajas[Nombre], Cajas[Ancho])</f>
        <v>35</v>
      </c>
      <c r="U195" s="433">
        <f>_xlfn.XLOOKUP(Main[[#This Row],[Type of Box]], Cajas[Nombre], Cajas[Alto])</f>
        <v>16</v>
      </c>
      <c r="V195" s="43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195" s="433">
        <f>ROUNDUP(((Main[[#This Row],[Volumen]]*5.25))*1.36,2)</f>
        <v>65.98</v>
      </c>
      <c r="X195" s="441">
        <v>0.15859999999999999</v>
      </c>
      <c r="Y195" s="442">
        <f>Main[[#This Row],[Cantidad_Min]]*Main[[#This Row],[Precio]]*Main[[#This Row],[Qty]]</f>
        <v>173.75</v>
      </c>
      <c r="Z195" s="433">
        <f>_xlfn.XLOOKUP(Main[[#This Row],[Finca]], Fincas[Nombre], Fincas[ID])</f>
        <v>76</v>
      </c>
      <c r="AA195" s="433" t="str" cm="1">
        <f t="array" ref="AA19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195" s="443" t="s">
        <v>33</v>
      </c>
      <c r="AC195" s="444"/>
      <c r="AD195" s="464"/>
    </row>
    <row r="196" spans="1:30" x14ac:dyDescent="0.25">
      <c r="A196" s="385" t="s">
        <v>245</v>
      </c>
      <c r="B196" s="386">
        <v>1</v>
      </c>
      <c r="C196" s="386" t="s">
        <v>31</v>
      </c>
      <c r="D196" s="385">
        <v>60</v>
      </c>
      <c r="E196" s="387">
        <v>60</v>
      </c>
      <c r="F196" s="387" t="s">
        <v>246</v>
      </c>
      <c r="G196" t="s">
        <v>247</v>
      </c>
      <c r="H196" s="1" t="s">
        <v>1106</v>
      </c>
      <c r="I196" s="235">
        <v>0.47</v>
      </c>
      <c r="J196" s="69">
        <f>_xlfn.LET(
  _xlpm.result, 1-((Main[[#This Row],[Cost]]+Main[[#This Row],[Duties]]+Main[[#This Row],[Transport]])/((Main[[#This Row],[Precio]]*0.96))),
  IF(_xlpm.result&lt;0, "BAJO", IF(_xlpm.result&gt;1, "ALTO", _xlpm.result))
)</f>
        <v>0.18903803131991048</v>
      </c>
      <c r="K196" s="131">
        <v>1.49</v>
      </c>
      <c r="L196" s="360" cm="1">
        <f t="array" aca="1" ref="L19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16952</v>
      </c>
      <c r="M196" s="152">
        <f>Guias!$B$7</f>
        <v>46314</v>
      </c>
      <c r="N196" s="216">
        <f>ROUNDUP((Main[[#This Row],[Cost]]*Main[[#This Row],[Import Duties]]),2)</f>
        <v>0.08</v>
      </c>
      <c r="O196">
        <v>0</v>
      </c>
      <c r="P196">
        <v>1</v>
      </c>
      <c r="Q196">
        <v>0</v>
      </c>
      <c r="R196" s="217">
        <f>ROUNDUP(Main[[#This Row],[Transport2]]/Main[[#This Row],[Cantidad_Min]],2)</f>
        <v>0.61</v>
      </c>
      <c r="S196">
        <f>_xlfn.XLOOKUP(Main[[#This Row],[Type of Box]], Cajas[Nombre], Cajas[Largo])</f>
        <v>105</v>
      </c>
      <c r="T196">
        <f>_xlfn.XLOOKUP(Main[[#This Row],[Type of Box]], Cajas[Nombre], Cajas[Ancho])</f>
        <v>17</v>
      </c>
      <c r="U196">
        <f>_xlfn.XLOOKUP(Main[[#This Row],[Type of Box]], Cajas[Nombre], Cajas[Alto])</f>
        <v>17</v>
      </c>
      <c r="V19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6">
        <f>ROUNDUP(((Main[[#This Row],[Volumen]]*5.25))*1.36,2)</f>
        <v>36.119999999999997</v>
      </c>
      <c r="X196" s="219">
        <v>0.15859999999999999</v>
      </c>
      <c r="Y196" s="361">
        <f>Main[[#This Row],[Cantidad_Min]]*Main[[#This Row],[Precio]]*Main[[#This Row],[Qty]]</f>
        <v>89.4</v>
      </c>
      <c r="Z196">
        <f>_xlfn.XLOOKUP(Main[[#This Row],[Finca]], Fincas[Nombre], Fincas[ID])</f>
        <v>61</v>
      </c>
      <c r="AA196" t="str" cm="1">
        <f t="array" ref="AA19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jochoa,</v>
      </c>
      <c r="AB196" s="2" t="s">
        <v>33</v>
      </c>
      <c r="AC196" s="31"/>
      <c r="AD196" t="s">
        <v>81</v>
      </c>
    </row>
    <row r="197" spans="1:30" x14ac:dyDescent="0.25">
      <c r="A197" s="385" t="s">
        <v>245</v>
      </c>
      <c r="B197" s="386">
        <v>1</v>
      </c>
      <c r="C197" s="386" t="s">
        <v>31</v>
      </c>
      <c r="D197" s="385">
        <v>60</v>
      </c>
      <c r="E197" s="387">
        <v>60</v>
      </c>
      <c r="F197" s="387" t="s">
        <v>246</v>
      </c>
      <c r="G197" t="str">
        <f>"Assorted Colors " &amp; _xlfn.XLOOKUP(Main[[#This Row],[FechaEntrega]], Guias[Fecha], Guias[Llegada])</f>
        <v>Assorted Colors (T/W)</v>
      </c>
      <c r="H197" s="1" t="s">
        <v>1107</v>
      </c>
      <c r="I197" s="235">
        <v>0.47</v>
      </c>
      <c r="J197" s="69">
        <f>_xlfn.LET(
  _xlpm.result, 1-((Main[[#This Row],[Cost]]+Main[[#This Row],[Duties]]+Main[[#This Row],[Transport]])/((Main[[#This Row],[Precio]]*0.96))),
  IF(_xlpm.result&lt;0, "BAJO", IF(_xlpm.result&gt;1, "ALTO", _xlpm.result))
)</f>
        <v>0.22499999999999998</v>
      </c>
      <c r="K197" s="131">
        <v>1.5591397849462365</v>
      </c>
      <c r="L197" s="360" cm="1">
        <f t="array" aca="1" ref="L19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97" s="152">
        <f>Guias!$B$3</f>
        <v>46310</v>
      </c>
      <c r="N197" s="216">
        <f>ROUNDUP((Main[[#This Row],[Cost]]*Main[[#This Row],[Import Duties]]),2)</f>
        <v>0.08</v>
      </c>
      <c r="O197">
        <v>0</v>
      </c>
      <c r="P197">
        <v>1</v>
      </c>
      <c r="Q197">
        <v>0</v>
      </c>
      <c r="R197" s="217">
        <f>ROUNDUP(Main[[#This Row],[Transport2]]/Main[[#This Row],[Cantidad_Min]],2)</f>
        <v>0.61</v>
      </c>
      <c r="S197">
        <f>_xlfn.XLOOKUP(Main[[#This Row],[Type of Box]], Cajas[Nombre], Cajas[Largo])</f>
        <v>105</v>
      </c>
      <c r="T197">
        <f>_xlfn.XLOOKUP(Main[[#This Row],[Type of Box]], Cajas[Nombre], Cajas[Ancho])</f>
        <v>17</v>
      </c>
      <c r="U197">
        <f>_xlfn.XLOOKUP(Main[[#This Row],[Type of Box]], Cajas[Nombre], Cajas[Alto])</f>
        <v>17</v>
      </c>
      <c r="V19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7">
        <f>ROUNDUP(((Main[[#This Row],[Volumen]]*5.25))*1.36,2)</f>
        <v>36.119999999999997</v>
      </c>
      <c r="X197" s="219">
        <v>0.15859999999999999</v>
      </c>
      <c r="Y197" s="361">
        <f>Main[[#This Row],[Cantidad_Min]]*Main[[#This Row],[Precio]]*Main[[#This Row],[Qty]]</f>
        <v>93.548387096774192</v>
      </c>
      <c r="Z197">
        <f>_xlfn.XLOOKUP(Main[[#This Row],[Finca]], Fincas[Nombre], Fincas[ID])</f>
        <v>61</v>
      </c>
      <c r="AA197" t="str" cm="1">
        <f t="array" ref="AA19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97" s="2" t="s">
        <v>33</v>
      </c>
      <c r="AC197" s="31"/>
      <c r="AD197" s="224" t="s">
        <v>87</v>
      </c>
    </row>
    <row r="198" spans="1:30" x14ac:dyDescent="0.25">
      <c r="A198" s="385" t="s">
        <v>245</v>
      </c>
      <c r="B198" s="386">
        <v>1</v>
      </c>
      <c r="C198" s="386" t="s">
        <v>31</v>
      </c>
      <c r="D198" s="385">
        <v>60</v>
      </c>
      <c r="E198" s="387">
        <v>60</v>
      </c>
      <c r="F198" s="387" t="s">
        <v>246</v>
      </c>
      <c r="G198" t="str">
        <f>"50 Light Pink/10 Peach " &amp; _xlfn.XLOOKUP(Main[[#This Row],[FechaEntrega]], Guias[Fecha], Guias[Llegada])</f>
        <v>50 Light Pink/10 Peach (T/W)</v>
      </c>
      <c r="H198" s="1" t="s">
        <v>1108</v>
      </c>
      <c r="I198" s="235">
        <v>0.47</v>
      </c>
      <c r="J198" s="69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198" s="131">
        <v>1.59</v>
      </c>
      <c r="L198" s="360" cm="1">
        <f t="array" aca="1" ref="L19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198" s="152">
        <f>Guias!$B$3</f>
        <v>46310</v>
      </c>
      <c r="N198" s="216">
        <f>ROUNDUP((Main[[#This Row],[Cost]]*Main[[#This Row],[Import Duties]]),2)</f>
        <v>0.08</v>
      </c>
      <c r="O198">
        <v>0</v>
      </c>
      <c r="P198">
        <v>1</v>
      </c>
      <c r="Q198">
        <v>0</v>
      </c>
      <c r="R198" s="217">
        <f>ROUNDUP(Main[[#This Row],[Transport2]]/Main[[#This Row],[Cantidad_Min]],2)</f>
        <v>0.61</v>
      </c>
      <c r="S198">
        <f>_xlfn.XLOOKUP(Main[[#This Row],[Type of Box]], Cajas[Nombre], Cajas[Largo])</f>
        <v>105</v>
      </c>
      <c r="T198">
        <f>_xlfn.XLOOKUP(Main[[#This Row],[Type of Box]], Cajas[Nombre], Cajas[Ancho])</f>
        <v>17</v>
      </c>
      <c r="U198">
        <f>_xlfn.XLOOKUP(Main[[#This Row],[Type of Box]], Cajas[Nombre], Cajas[Alto])</f>
        <v>17</v>
      </c>
      <c r="V19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8">
        <f>ROUNDUP(((Main[[#This Row],[Volumen]]*5.25))*1.36,2)</f>
        <v>36.119999999999997</v>
      </c>
      <c r="X198" s="219">
        <v>0.15859999999999999</v>
      </c>
      <c r="Y198" s="361">
        <f>Main[[#This Row],[Cantidad_Min]]*Main[[#This Row],[Precio]]*Main[[#This Row],[Qty]]</f>
        <v>95.4</v>
      </c>
      <c r="Z198">
        <f>_xlfn.XLOOKUP(Main[[#This Row],[Finca]], Fincas[Nombre], Fincas[ID])</f>
        <v>61</v>
      </c>
      <c r="AA198" t="str" cm="1">
        <f t="array" ref="AA19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198" s="2" t="s">
        <v>33</v>
      </c>
      <c r="AC198" s="31"/>
      <c r="AD198" s="224" t="s">
        <v>248</v>
      </c>
    </row>
    <row r="199" spans="1:30" x14ac:dyDescent="0.25">
      <c r="A199" s="385" t="s">
        <v>245</v>
      </c>
      <c r="B199" s="386">
        <v>1</v>
      </c>
      <c r="C199" s="386" t="s">
        <v>31</v>
      </c>
      <c r="D199" s="385">
        <v>60</v>
      </c>
      <c r="E199" s="387">
        <v>60</v>
      </c>
      <c r="F199" s="387" t="s">
        <v>246</v>
      </c>
      <c r="G199" t="str">
        <f>"20 White/20 Purple/20 Pink " &amp; _xlfn.XLOOKUP(Main[[#This Row],[FechaEntrega]], Guias[Fecha], Guias[Llegada])</f>
        <v>20 White/20 Purple/20 Pink (M/T)</v>
      </c>
      <c r="H199" s="1" t="s">
        <v>1109</v>
      </c>
      <c r="I199" s="235">
        <v>0.47</v>
      </c>
      <c r="J199" s="69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199" s="131">
        <v>1.59</v>
      </c>
      <c r="L199" s="360" cm="1">
        <f t="array" aca="1" ref="L19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199" s="152">
        <f>Guias!$B$2</f>
        <v>46309</v>
      </c>
      <c r="N199" s="216">
        <f>ROUNDUP((Main[[#This Row],[Cost]]*Main[[#This Row],[Import Duties]]),2)</f>
        <v>0.08</v>
      </c>
      <c r="O199">
        <v>0</v>
      </c>
      <c r="P199">
        <v>1</v>
      </c>
      <c r="Q199">
        <v>0</v>
      </c>
      <c r="R199" s="217">
        <f>ROUNDUP(Main[[#This Row],[Transport2]]/Main[[#This Row],[Cantidad_Min]],2)</f>
        <v>0.61</v>
      </c>
      <c r="S199">
        <f>_xlfn.XLOOKUP(Main[[#This Row],[Type of Box]], Cajas[Nombre], Cajas[Largo])</f>
        <v>105</v>
      </c>
      <c r="T199">
        <f>_xlfn.XLOOKUP(Main[[#This Row],[Type of Box]], Cajas[Nombre], Cajas[Ancho])</f>
        <v>17</v>
      </c>
      <c r="U199">
        <f>_xlfn.XLOOKUP(Main[[#This Row],[Type of Box]], Cajas[Nombre], Cajas[Alto])</f>
        <v>17</v>
      </c>
      <c r="V19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199">
        <f>ROUNDUP(((Main[[#This Row],[Volumen]]*5.25))*1.36,2)</f>
        <v>36.119999999999997</v>
      </c>
      <c r="X199" s="219">
        <v>0.15859999999999999</v>
      </c>
      <c r="Y199" s="361">
        <f>Main[[#This Row],[Cantidad_Min]]*Main[[#This Row],[Precio]]*Main[[#This Row],[Qty]]</f>
        <v>95.4</v>
      </c>
      <c r="Z199">
        <f>_xlfn.XLOOKUP(Main[[#This Row],[Finca]], Fincas[Nombre], Fincas[ID])</f>
        <v>61</v>
      </c>
      <c r="AA199" t="str" cm="1">
        <f t="array" ref="AA19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199" s="2" t="s">
        <v>33</v>
      </c>
      <c r="AC199" s="400"/>
      <c r="AD199" s="225" t="s">
        <v>46</v>
      </c>
    </row>
    <row r="200" spans="1:30" x14ac:dyDescent="0.25">
      <c r="A200" s="385" t="s">
        <v>245</v>
      </c>
      <c r="B200" s="386">
        <v>1</v>
      </c>
      <c r="C200" s="386" t="s">
        <v>31</v>
      </c>
      <c r="D200" s="385">
        <v>60</v>
      </c>
      <c r="E200" s="387">
        <v>60</v>
      </c>
      <c r="F200" s="387" t="s">
        <v>246</v>
      </c>
      <c r="G200" t="str">
        <f>"Assorted Colors " &amp; _xlfn.XLOOKUP(Main[[#This Row],[FechaEntrega]], Guias[Fecha], Guias[Llegada])</f>
        <v>Assorted Colors (M/T)</v>
      </c>
      <c r="H200" s="1" t="s">
        <v>1110</v>
      </c>
      <c r="I200" s="235">
        <v>0.47</v>
      </c>
      <c r="J200" s="69">
        <f>_xlfn.LET(
  _xlpm.result, 1-((Main[[#This Row],[Cost]]+Main[[#This Row],[Duties]]+Main[[#This Row],[Transport]])/((Main[[#This Row],[Precio]]*0.96))),
  IF(_xlpm.result&lt;0, "BAJO", IF(_xlpm.result&gt;1, "ALTO", _xlpm.result))
)</f>
        <v>0.22499999999999998</v>
      </c>
      <c r="K200" s="131">
        <v>1.5591397849462365</v>
      </c>
      <c r="L200" s="360" cm="1">
        <f t="array" aca="1" ref="L20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200" s="152">
        <f>Guias!$B$2</f>
        <v>46309</v>
      </c>
      <c r="N200" s="216">
        <f>ROUNDUP((Main[[#This Row],[Cost]]*Main[[#This Row],[Import Duties]]),2)</f>
        <v>0.08</v>
      </c>
      <c r="O200">
        <v>0</v>
      </c>
      <c r="P200">
        <v>1</v>
      </c>
      <c r="Q200">
        <v>0</v>
      </c>
      <c r="R200" s="217">
        <f>ROUNDUP(Main[[#This Row],[Transport2]]/Main[[#This Row],[Cantidad_Min]],2)</f>
        <v>0.61</v>
      </c>
      <c r="S200">
        <f>_xlfn.XLOOKUP(Main[[#This Row],[Type of Box]], Cajas[Nombre], Cajas[Largo])</f>
        <v>105</v>
      </c>
      <c r="T200">
        <f>_xlfn.XLOOKUP(Main[[#This Row],[Type of Box]], Cajas[Nombre], Cajas[Ancho])</f>
        <v>17</v>
      </c>
      <c r="U200">
        <f>_xlfn.XLOOKUP(Main[[#This Row],[Type of Box]], Cajas[Nombre], Cajas[Alto])</f>
        <v>17</v>
      </c>
      <c r="V20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0">
        <f>ROUNDUP(((Main[[#This Row],[Volumen]]*5.25))*1.36,2)</f>
        <v>36.119999999999997</v>
      </c>
      <c r="X200" s="219">
        <v>0.15859999999999999</v>
      </c>
      <c r="Y200" s="361">
        <f>Main[[#This Row],[Cantidad_Min]]*Main[[#This Row],[Precio]]*Main[[#This Row],[Qty]]</f>
        <v>93.548387096774192</v>
      </c>
      <c r="Z200">
        <f>_xlfn.XLOOKUP(Main[[#This Row],[Finca]], Fincas[Nombre], Fincas[ID])</f>
        <v>61</v>
      </c>
      <c r="AA200" t="str" cm="1">
        <f t="array" ref="AA20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200" s="2" t="s">
        <v>33</v>
      </c>
      <c r="AC200" s="31"/>
      <c r="AD200" s="224" t="s">
        <v>249</v>
      </c>
    </row>
    <row r="201" spans="1:30" x14ac:dyDescent="0.25">
      <c r="A201" s="154" t="s">
        <v>245</v>
      </c>
      <c r="B201" s="155">
        <f>IF(Main[[#This Row],[SendEmail]]="Y", 1, 0)</f>
        <v>1</v>
      </c>
      <c r="C201" s="155" t="s">
        <v>31</v>
      </c>
      <c r="D201" s="154">
        <v>60</v>
      </c>
      <c r="E201" s="236">
        <v>60</v>
      </c>
      <c r="F201" s="236" t="s">
        <v>246</v>
      </c>
      <c r="G201" t="s">
        <v>250</v>
      </c>
      <c r="H201" s="1" t="s">
        <v>1111</v>
      </c>
      <c r="I201" s="235">
        <v>0.47</v>
      </c>
      <c r="J201" s="69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201" s="335">
        <v>1.59</v>
      </c>
      <c r="L201" s="360" cm="1">
        <f t="array" aca="1" ref="L201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201" s="152">
        <f>Guias!$B$2</f>
        <v>46309</v>
      </c>
      <c r="N201" s="398">
        <f>ROUNDUP((Main[[#This Row],[Cost]]*Main[[#This Row],[Import Duties]]),2)</f>
        <v>0.08</v>
      </c>
      <c r="O201">
        <v>0</v>
      </c>
      <c r="P201">
        <v>1</v>
      </c>
      <c r="Q201">
        <v>0</v>
      </c>
      <c r="R201" s="399">
        <f>ROUNDUP(Main[[#This Row],[Transport2]]/Main[[#This Row],[Cantidad_Min]],2)</f>
        <v>0.61</v>
      </c>
      <c r="S201">
        <f>_xlfn.XLOOKUP(Main[[#This Row],[Type of Box]], Cajas[Nombre], Cajas[Largo])</f>
        <v>105</v>
      </c>
      <c r="T201">
        <f>_xlfn.XLOOKUP(Main[[#This Row],[Type of Box]], Cajas[Nombre], Cajas[Ancho])</f>
        <v>17</v>
      </c>
      <c r="U201">
        <f>_xlfn.XLOOKUP(Main[[#This Row],[Type of Box]], Cajas[Nombre], Cajas[Alto])</f>
        <v>17</v>
      </c>
      <c r="V201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1">
        <f>ROUNDUP(((Main[[#This Row],[Volumen]]*5.25))*1.36,2)</f>
        <v>36.119999999999997</v>
      </c>
      <c r="X201" s="219">
        <v>0.15859999999999999</v>
      </c>
      <c r="Y201" s="361">
        <f>Main[[#This Row],[Cantidad_Min]]*Main[[#This Row],[Precio]]*Main[[#This Row],[Qty]]</f>
        <v>95.4</v>
      </c>
      <c r="Z201">
        <f>_xlfn.XLOOKUP(Main[[#This Row],[Finca]], Fincas[Nombre], Fincas[ID])</f>
        <v>61</v>
      </c>
      <c r="AA201" t="str" cm="1">
        <f t="array" ref="AA201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201" s="2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AC201" s="5"/>
      <c r="AD201" s="224" t="s">
        <v>251</v>
      </c>
    </row>
    <row r="202" spans="1:30" x14ac:dyDescent="0.25">
      <c r="A202" s="156" t="s">
        <v>245</v>
      </c>
      <c r="B202" s="157">
        <v>1</v>
      </c>
      <c r="C202" s="157" t="s">
        <v>31</v>
      </c>
      <c r="D202" s="156">
        <v>60</v>
      </c>
      <c r="E202" s="237">
        <v>60</v>
      </c>
      <c r="F202" s="237" t="s">
        <v>246</v>
      </c>
      <c r="G202" t="str">
        <f>"20 Purple/20 Apricot/20 White " &amp; _xlfn.XLOOKUP(Main[[#This Row],[FechaEntrega]], Guias[Fecha], Guias[Llegada])</f>
        <v>20 Purple/20 Apricot/20 White (T/W)</v>
      </c>
      <c r="H202" s="1" t="s">
        <v>1112</v>
      </c>
      <c r="I202" s="235">
        <v>0.45</v>
      </c>
      <c r="J202" s="69">
        <f>_xlfn.LET(
  _xlpm.result, 1-((Main[[#This Row],[Cost]]+Main[[#This Row],[Duties]]+Main[[#This Row],[Transport]])/((Main[[#This Row],[Precio]]*0.96))),
  IF(_xlpm.result&lt;0, "BAJO", IF(_xlpm.result&gt;1, "ALTO", _xlpm.result))
)</f>
        <v>0.23836206896551704</v>
      </c>
      <c r="K202" s="131">
        <v>1.5591397849462365</v>
      </c>
      <c r="L202" s="360" cm="1">
        <f t="array" aca="1" ref="L202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02" s="152">
        <f>Guias!$B$3</f>
        <v>46310</v>
      </c>
      <c r="N202" s="216">
        <f>ROUNDUP((Main[[#This Row],[Cost]]*Main[[#This Row],[Import Duties]]),2)</f>
        <v>0.08</v>
      </c>
      <c r="O202">
        <v>0</v>
      </c>
      <c r="P202">
        <v>1</v>
      </c>
      <c r="Q202">
        <v>0</v>
      </c>
      <c r="R202" s="217">
        <f>ROUNDUP(Main[[#This Row],[Transport2]]/Main[[#This Row],[Cantidad_Min]],2)</f>
        <v>0.61</v>
      </c>
      <c r="S202">
        <f>_xlfn.XLOOKUP(Main[[#This Row],[Type of Box]], Cajas[Nombre], Cajas[Largo])</f>
        <v>105</v>
      </c>
      <c r="T202">
        <f>_xlfn.XLOOKUP(Main[[#This Row],[Type of Box]], Cajas[Nombre], Cajas[Ancho])</f>
        <v>17</v>
      </c>
      <c r="U202">
        <f>_xlfn.XLOOKUP(Main[[#This Row],[Type of Box]], Cajas[Nombre], Cajas[Alto])</f>
        <v>17</v>
      </c>
      <c r="V202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2">
        <f>ROUNDUP(((Main[[#This Row],[Volumen]]*5.25))*1.36,2)</f>
        <v>36.119999999999997</v>
      </c>
      <c r="X202" s="219">
        <v>0.15859999999999999</v>
      </c>
      <c r="Y202" s="361">
        <f>Main[[#This Row],[Cantidad_Min]]*Main[[#This Row],[Precio]]*Main[[#This Row],[Qty]]</f>
        <v>93.548387096774192</v>
      </c>
      <c r="Z202">
        <f>_xlfn.XLOOKUP(Main[[#This Row],[Finca]], Fincas[Nombre], Fincas[ID])</f>
        <v>61</v>
      </c>
      <c r="AA202" t="str" cm="1">
        <f t="array" ref="AA202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2" s="2" t="s">
        <v>33</v>
      </c>
      <c r="AC202" s="31"/>
      <c r="AD202" s="224" t="s">
        <v>252</v>
      </c>
    </row>
    <row r="203" spans="1:30" x14ac:dyDescent="0.25">
      <c r="A203" s="156" t="s">
        <v>245</v>
      </c>
      <c r="B203" s="157">
        <v>1</v>
      </c>
      <c r="C203" s="157" t="s">
        <v>31</v>
      </c>
      <c r="D203" s="156">
        <v>60</v>
      </c>
      <c r="E203" s="237">
        <v>60</v>
      </c>
      <c r="F203" s="237" t="s">
        <v>246</v>
      </c>
      <c r="G203" t="str">
        <f>"Assorted Colors " &amp; _xlfn.XLOOKUP(Main[[#This Row],[FechaEntrega]], Guias[Fecha], Guias[Llegada])</f>
        <v>Assorted Colors (M/T)</v>
      </c>
      <c r="H203" s="1" t="s">
        <v>1113</v>
      </c>
      <c r="I203" s="235">
        <v>0.47</v>
      </c>
      <c r="J203" s="69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203" s="131">
        <v>1.59</v>
      </c>
      <c r="L203" s="360" cm="1">
        <f t="array" aca="1" ref="L203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203" s="152">
        <f>Guias!$B$2</f>
        <v>46309</v>
      </c>
      <c r="N203" s="216">
        <f>ROUNDUP((Main[[#This Row],[Cost]]*Main[[#This Row],[Import Duties]]),2)</f>
        <v>0.08</v>
      </c>
      <c r="O203">
        <v>0</v>
      </c>
      <c r="P203">
        <v>1</v>
      </c>
      <c r="Q203">
        <v>0</v>
      </c>
      <c r="R203" s="217">
        <f>ROUNDUP(Main[[#This Row],[Transport2]]/Main[[#This Row],[Cantidad_Min]],2)</f>
        <v>0.61</v>
      </c>
      <c r="S203">
        <f>_xlfn.XLOOKUP(Main[[#This Row],[Type of Box]], Cajas[Nombre], Cajas[Largo])</f>
        <v>105</v>
      </c>
      <c r="T203">
        <f>_xlfn.XLOOKUP(Main[[#This Row],[Type of Box]], Cajas[Nombre], Cajas[Ancho])</f>
        <v>17</v>
      </c>
      <c r="U203">
        <f>_xlfn.XLOOKUP(Main[[#This Row],[Type of Box]], Cajas[Nombre], Cajas[Alto])</f>
        <v>17</v>
      </c>
      <c r="V203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3">
        <f>ROUNDUP(((Main[[#This Row],[Volumen]]*5.25))*1.36,2)</f>
        <v>36.119999999999997</v>
      </c>
      <c r="X203" s="219">
        <v>0.15859999999999999</v>
      </c>
      <c r="Y203" s="361">
        <f>Main[[#This Row],[Cantidad_Min]]*Main[[#This Row],[Precio]]*Main[[#This Row],[Qty]]</f>
        <v>95.4</v>
      </c>
      <c r="Z203">
        <f>_xlfn.XLOOKUP(Main[[#This Row],[Finca]], Fincas[Nombre], Fincas[ID])</f>
        <v>61</v>
      </c>
      <c r="AA203" t="str" cm="1">
        <f t="array" ref="AA203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3" s="2" t="s">
        <v>33</v>
      </c>
      <c r="AC203" s="31"/>
      <c r="AD203" s="224" t="s">
        <v>253</v>
      </c>
    </row>
    <row r="204" spans="1:30" x14ac:dyDescent="0.25">
      <c r="A204" s="33" t="s">
        <v>245</v>
      </c>
      <c r="B204" s="153">
        <v>5</v>
      </c>
      <c r="C204" s="153" t="s">
        <v>31</v>
      </c>
      <c r="D204" s="33">
        <v>60</v>
      </c>
      <c r="E204">
        <v>60</v>
      </c>
      <c r="F204" t="s">
        <v>246</v>
      </c>
      <c r="G204" t="str">
        <f>"Assorted Colors " &amp; _xlfn.XLOOKUP(Main[[#This Row],[FechaEntrega]], Guias[Fecha], Guias[Llegada])</f>
        <v>Assorted Colors (T/W)</v>
      </c>
      <c r="H204" s="1" t="s">
        <v>1114</v>
      </c>
      <c r="I204" s="235">
        <v>0.47</v>
      </c>
      <c r="J204" s="69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204" s="131">
        <v>1.59</v>
      </c>
      <c r="L204" s="360" cm="1">
        <f t="array" aca="1" ref="L204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04" s="152">
        <f>Guias!$B$3</f>
        <v>46310</v>
      </c>
      <c r="N204" s="216">
        <f>ROUNDUP((Main[[#This Row],[Cost]]*Main[[#This Row],[Import Duties]]),2)</f>
        <v>0.08</v>
      </c>
      <c r="O204">
        <v>0</v>
      </c>
      <c r="P204">
        <v>1</v>
      </c>
      <c r="Q204">
        <v>0</v>
      </c>
      <c r="R204" s="217">
        <f>ROUNDUP(Main[[#This Row],[Transport2]]/Main[[#This Row],[Cantidad_Min]],2)</f>
        <v>0.61</v>
      </c>
      <c r="S204">
        <f>_xlfn.XLOOKUP(Main[[#This Row],[Type of Box]], Cajas[Nombre], Cajas[Largo])</f>
        <v>105</v>
      </c>
      <c r="T204">
        <f>_xlfn.XLOOKUP(Main[[#This Row],[Type of Box]], Cajas[Nombre], Cajas[Ancho])</f>
        <v>17</v>
      </c>
      <c r="U204">
        <f>_xlfn.XLOOKUP(Main[[#This Row],[Type of Box]], Cajas[Nombre], Cajas[Alto])</f>
        <v>17</v>
      </c>
      <c r="V204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4">
        <f>ROUNDUP(((Main[[#This Row],[Volumen]]*5.25))*1.36,2)</f>
        <v>36.119999999999997</v>
      </c>
      <c r="X204" s="219">
        <v>0.15859999999999999</v>
      </c>
      <c r="Y204" s="361">
        <f>Main[[#This Row],[Cantidad_Min]]*Main[[#This Row],[Precio]]*Main[[#This Row],[Qty]]</f>
        <v>477</v>
      </c>
      <c r="Z204">
        <f>_xlfn.XLOOKUP(Main[[#This Row],[Finca]], Fincas[Nombre], Fincas[ID])</f>
        <v>61</v>
      </c>
      <c r="AA204" t="str" cm="1">
        <f t="array" ref="AA204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4" s="2" t="s">
        <v>33</v>
      </c>
      <c r="AC204" s="31"/>
      <c r="AD204" s="406"/>
    </row>
    <row r="205" spans="1:30" x14ac:dyDescent="0.25">
      <c r="A205" s="33" t="s">
        <v>245</v>
      </c>
      <c r="B205" s="153">
        <v>2</v>
      </c>
      <c r="C205" s="153" t="s">
        <v>31</v>
      </c>
      <c r="D205" s="33">
        <v>60</v>
      </c>
      <c r="E205">
        <v>60</v>
      </c>
      <c r="F205" t="s">
        <v>246</v>
      </c>
      <c r="G205" t="str">
        <f>"Assorted Colors " &amp; _xlfn.XLOOKUP(Main[[#This Row],[FechaEntrega]], Guias[Fecha], Guias[Llegada])</f>
        <v>Assorted Colors (M/T)</v>
      </c>
      <c r="H205" s="1" t="s">
        <v>1115</v>
      </c>
      <c r="I205" s="235">
        <v>0.47</v>
      </c>
      <c r="J205" s="69">
        <f>_xlfn.LET(
  _xlpm.result, 1-((Main[[#This Row],[Cost]]+Main[[#This Row],[Duties]]+Main[[#This Row],[Transport]])/((Main[[#This Row],[Precio]]*0.96))),
  IF(_xlpm.result&lt;0, "BAJO", IF(_xlpm.result&gt;1, "ALTO", _xlpm.result))
)</f>
        <v>0.24004192872117402</v>
      </c>
      <c r="K205" s="131">
        <v>1.59</v>
      </c>
      <c r="L205" s="360" cm="1">
        <f t="array" aca="1" ref="L205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16965</v>
      </c>
      <c r="M205" s="152">
        <f>Guias!$B$2</f>
        <v>46309</v>
      </c>
      <c r="N205" s="216">
        <f>ROUNDUP((Main[[#This Row],[Cost]]*Main[[#This Row],[Import Duties]]),2)</f>
        <v>0.08</v>
      </c>
      <c r="O205">
        <v>0</v>
      </c>
      <c r="P205">
        <v>1</v>
      </c>
      <c r="Q205">
        <v>0</v>
      </c>
      <c r="R205" s="217">
        <f>ROUNDUP(Main[[#This Row],[Transport2]]/Main[[#This Row],[Cantidad_Min]],2)</f>
        <v>0.61</v>
      </c>
      <c r="S205">
        <f>_xlfn.XLOOKUP(Main[[#This Row],[Type of Box]], Cajas[Nombre], Cajas[Largo])</f>
        <v>105</v>
      </c>
      <c r="T205">
        <f>_xlfn.XLOOKUP(Main[[#This Row],[Type of Box]], Cajas[Nombre], Cajas[Ancho])</f>
        <v>17</v>
      </c>
      <c r="U205">
        <f>_xlfn.XLOOKUP(Main[[#This Row],[Type of Box]], Cajas[Nombre], Cajas[Alto])</f>
        <v>17</v>
      </c>
      <c r="V205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5">
        <f>ROUNDUP(((Main[[#This Row],[Volumen]]*5.25))*1.36,2)</f>
        <v>36.119999999999997</v>
      </c>
      <c r="X205" s="219">
        <v>0.15859999999999999</v>
      </c>
      <c r="Y205" s="361">
        <f>Main[[#This Row],[Cantidad_Min]]*Main[[#This Row],[Precio]]*Main[[#This Row],[Qty]]</f>
        <v>190.8</v>
      </c>
      <c r="Z205">
        <f>_xlfn.XLOOKUP(Main[[#This Row],[Finca]], Fincas[Nombre], Fincas[ID])</f>
        <v>61</v>
      </c>
      <c r="AA205" t="str" cm="1">
        <f t="array" ref="AA205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mcabrera,</v>
      </c>
      <c r="AB205" s="2" t="s">
        <v>33</v>
      </c>
      <c r="AC205" s="5"/>
      <c r="AD205" s="224" t="s">
        <v>254</v>
      </c>
    </row>
    <row r="206" spans="1:30" x14ac:dyDescent="0.25">
      <c r="A206" s="33" t="s">
        <v>255</v>
      </c>
      <c r="B206" s="153">
        <v>5</v>
      </c>
      <c r="C206" s="153" t="s">
        <v>31</v>
      </c>
      <c r="D206" s="33">
        <v>60</v>
      </c>
      <c r="E206">
        <v>60</v>
      </c>
      <c r="F206" t="s">
        <v>256</v>
      </c>
      <c r="G206" t="s">
        <v>210</v>
      </c>
      <c r="H206" s="1" t="s">
        <v>1116</v>
      </c>
      <c r="I206" s="235">
        <v>0.28000000000000003</v>
      </c>
      <c r="J206" s="69">
        <f>_xlfn.LET(
  _xlpm.result, 1-((Main[[#This Row],[Cost]]+Main[[#This Row],[Duties]]+Main[[#This Row],[Transport]])/((Main[[#This Row],[Precio]]*0.96))),
  IF(_xlpm.result&lt;0, "BAJO", IF(_xlpm.result&gt;1, "ALTO", _xlpm.result))
)</f>
        <v>0.24095607235142125</v>
      </c>
      <c r="K206" s="131">
        <v>1.29</v>
      </c>
      <c r="L206" s="360" cm="1">
        <f t="array" aca="1" ref="L206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06" s="152">
        <f>Guias!$B$3</f>
        <v>46310</v>
      </c>
      <c r="N206" s="216">
        <f>ROUNDUP((Main[[#This Row],[Cost]]*Main[[#This Row],[Import Duties]]),2)</f>
        <v>0.05</v>
      </c>
      <c r="O206">
        <v>0</v>
      </c>
      <c r="P206">
        <v>1</v>
      </c>
      <c r="Q206">
        <v>0</v>
      </c>
      <c r="R206" s="217">
        <f>ROUNDUP(Main[[#This Row],[Transport2]]/Main[[#This Row],[Cantidad_Min]],2)</f>
        <v>0.61</v>
      </c>
      <c r="S206">
        <f>_xlfn.XLOOKUP(Main[[#This Row],[Type of Box]], Cajas[Nombre], Cajas[Largo])</f>
        <v>105</v>
      </c>
      <c r="T206">
        <f>_xlfn.XLOOKUP(Main[[#This Row],[Type of Box]], Cajas[Nombre], Cajas[Ancho])</f>
        <v>17</v>
      </c>
      <c r="U206">
        <f>_xlfn.XLOOKUP(Main[[#This Row],[Type of Box]], Cajas[Nombre], Cajas[Alto])</f>
        <v>17</v>
      </c>
      <c r="V206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6">
        <f>ROUNDUP(((Main[[#This Row],[Volumen]]*5.25))*1.36,2)</f>
        <v>36.119999999999997</v>
      </c>
      <c r="X206" s="219">
        <v>0.15859999999999999</v>
      </c>
      <c r="Y206" s="361">
        <f>Main[[#This Row],[Cantidad_Min]]*Main[[#This Row],[Precio]]*Main[[#This Row],[Qty]]</f>
        <v>387</v>
      </c>
      <c r="Z206">
        <f>_xlfn.XLOOKUP(Main[[#This Row],[Finca]], Fincas[Nombre], Fincas[ID])</f>
        <v>24</v>
      </c>
      <c r="AA206" t="str" cm="1">
        <f t="array" ref="AA206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6" s="2" t="s">
        <v>33</v>
      </c>
      <c r="AC206" s="5" t="s">
        <v>257</v>
      </c>
      <c r="AD206" s="226"/>
    </row>
    <row r="207" spans="1:30" x14ac:dyDescent="0.25">
      <c r="A207" s="33" t="s">
        <v>255</v>
      </c>
      <c r="B207" s="153">
        <v>1</v>
      </c>
      <c r="C207" s="153" t="s">
        <v>31</v>
      </c>
      <c r="D207" s="33">
        <v>1</v>
      </c>
      <c r="E207">
        <v>1</v>
      </c>
      <c r="F207" t="s">
        <v>258</v>
      </c>
      <c r="G207" t="s">
        <v>259</v>
      </c>
      <c r="H207" s="1" t="s">
        <v>1117</v>
      </c>
      <c r="I207" s="235">
        <v>28</v>
      </c>
      <c r="J207" s="69">
        <f>_xlfn.LET(
  _xlpm.result, 1-((Main[[#This Row],[Cost]]+Main[[#This Row],[Duties]]+Main[[#This Row],[Transport]])/((Main[[#This Row],[Precio]]*0.96))),
  IF(_xlpm.result&lt;0, "BAJO", IF(_xlpm.result&gt;1, "ALTO", _xlpm.result))
)</f>
        <v>0.28565773243991066</v>
      </c>
      <c r="K207" s="131">
        <v>99.99</v>
      </c>
      <c r="L207" s="360" cm="1">
        <f t="array" aca="1" ref="L207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07" s="152">
        <f>Guias!$B$3</f>
        <v>46310</v>
      </c>
      <c r="N207" s="216">
        <f>ROUNDUP((Main[[#This Row],[Cost]]*Main[[#This Row],[Import Duties]]),2)</f>
        <v>4.45</v>
      </c>
      <c r="O207">
        <v>0</v>
      </c>
      <c r="P207">
        <v>1</v>
      </c>
      <c r="Q207">
        <v>0</v>
      </c>
      <c r="R207" s="217">
        <f>ROUNDUP(Main[[#This Row],[Transport2]]/Main[[#This Row],[Cantidad_Min]],2)</f>
        <v>36.119999999999997</v>
      </c>
      <c r="S207">
        <f>_xlfn.XLOOKUP(Main[[#This Row],[Type of Box]], Cajas[Nombre], Cajas[Largo])</f>
        <v>105</v>
      </c>
      <c r="T207">
        <f>_xlfn.XLOOKUP(Main[[#This Row],[Type of Box]], Cajas[Nombre], Cajas[Ancho])</f>
        <v>17</v>
      </c>
      <c r="U207">
        <f>_xlfn.XLOOKUP(Main[[#This Row],[Type of Box]], Cajas[Nombre], Cajas[Alto])</f>
        <v>17</v>
      </c>
      <c r="V207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7">
        <f>ROUNDUP(((Main[[#This Row],[Volumen]]*5.25))*1.36,2)</f>
        <v>36.119999999999997</v>
      </c>
      <c r="X207" s="219">
        <v>0.15859999999999999</v>
      </c>
      <c r="Y207" s="361">
        <f>Main[[#This Row],[Cantidad_Min]]*Main[[#This Row],[Precio]]*Main[[#This Row],[Qty]]</f>
        <v>99.99</v>
      </c>
      <c r="Z207">
        <f>_xlfn.XLOOKUP(Main[[#This Row],[Finca]], Fincas[Nombre], Fincas[ID])</f>
        <v>24</v>
      </c>
      <c r="AA207" t="str" cm="1">
        <f t="array" ref="AA207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7" s="2" t="s">
        <v>33</v>
      </c>
      <c r="AC207" s="5" t="s">
        <v>260</v>
      </c>
      <c r="AD207" s="226"/>
    </row>
    <row r="208" spans="1:30" x14ac:dyDescent="0.25">
      <c r="A208" s="33" t="s">
        <v>255</v>
      </c>
      <c r="B208" s="153">
        <v>1</v>
      </c>
      <c r="C208" s="153" t="s">
        <v>31</v>
      </c>
      <c r="D208" s="33">
        <v>100</v>
      </c>
      <c r="E208">
        <v>100</v>
      </c>
      <c r="F208" t="s">
        <v>261</v>
      </c>
      <c r="G208" t="s">
        <v>262</v>
      </c>
      <c r="H208" s="1" t="s">
        <v>1118</v>
      </c>
      <c r="I208" s="235">
        <v>0.28000000000000003</v>
      </c>
      <c r="J208" s="69">
        <f>_xlfn.LET(
  _xlpm.result, 1-((Main[[#This Row],[Cost]]+Main[[#This Row],[Duties]]+Main[[#This Row],[Transport]])/((Main[[#This Row],[Precio]]*0.96))),
  IF(_xlpm.result&lt;0, "BAJO", IF(_xlpm.result&gt;1, "ALTO", _xlpm.result))
)</f>
        <v>0.43475452196382425</v>
      </c>
      <c r="K208" s="131">
        <v>1.29</v>
      </c>
      <c r="L208" s="360" cm="1">
        <f t="array" aca="1" ref="L208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08" s="152">
        <f>Guias!$B$3</f>
        <v>46310</v>
      </c>
      <c r="N208" s="216">
        <f>ROUNDUP((Main[[#This Row],[Cost]]*Main[[#This Row],[Import Duties]]),2)</f>
        <v>0.05</v>
      </c>
      <c r="O208">
        <v>0</v>
      </c>
      <c r="P208">
        <v>1</v>
      </c>
      <c r="Q208">
        <v>0</v>
      </c>
      <c r="R208" s="217">
        <f>ROUNDUP(Main[[#This Row],[Transport2]]/Main[[#This Row],[Cantidad_Min]],2)</f>
        <v>0.37</v>
      </c>
      <c r="S208">
        <f>_xlfn.XLOOKUP(Main[[#This Row],[Type of Box]], Cajas[Nombre], Cajas[Largo])</f>
        <v>105</v>
      </c>
      <c r="T208">
        <f>_xlfn.XLOOKUP(Main[[#This Row],[Type of Box]], Cajas[Nombre], Cajas[Ancho])</f>
        <v>17</v>
      </c>
      <c r="U208">
        <f>_xlfn.XLOOKUP(Main[[#This Row],[Type of Box]], Cajas[Nombre], Cajas[Alto])</f>
        <v>17</v>
      </c>
      <c r="V208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08">
        <f>ROUNDUP(((Main[[#This Row],[Volumen]]*5.25))*1.36,2)</f>
        <v>36.119999999999997</v>
      </c>
      <c r="X208" s="219">
        <v>0.15859999999999999</v>
      </c>
      <c r="Y208" s="361">
        <f>Main[[#This Row],[Cantidad_Min]]*Main[[#This Row],[Precio]]*Main[[#This Row],[Qty]]</f>
        <v>129</v>
      </c>
      <c r="Z208">
        <f>_xlfn.XLOOKUP(Main[[#This Row],[Finca]], Fincas[Nombre], Fincas[ID])</f>
        <v>24</v>
      </c>
      <c r="AA208" t="str" cm="1">
        <f t="array" ref="AA208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8" s="2" t="s">
        <v>33</v>
      </c>
      <c r="AC208" s="5" t="s">
        <v>260</v>
      </c>
      <c r="AD208" s="226"/>
    </row>
    <row r="209" spans="1:30" x14ac:dyDescent="0.25">
      <c r="A209" s="33" t="s">
        <v>255</v>
      </c>
      <c r="B209" s="153">
        <v>1</v>
      </c>
      <c r="C209" s="153" t="s">
        <v>35</v>
      </c>
      <c r="D209" s="33">
        <f>12*5</f>
        <v>60</v>
      </c>
      <c r="E209">
        <v>60</v>
      </c>
      <c r="F209" t="s">
        <v>263</v>
      </c>
      <c r="G209" t="s">
        <v>210</v>
      </c>
      <c r="H209" s="1" t="s">
        <v>1119</v>
      </c>
      <c r="I209" s="235">
        <v>1.4</v>
      </c>
      <c r="J209" s="69">
        <f>_xlfn.LET(
  _xlpm.result, 1-((Main[[#This Row],[Cost]]+Main[[#This Row],[Duties]]+Main[[#This Row],[Transport]])/((Main[[#This Row],[Precio]]*0.96))),
  IF(_xlpm.result&lt;0, "BAJO", IF(_xlpm.result&gt;1, "ALTO", _xlpm.result))
)</f>
        <v>0.24967018469656987</v>
      </c>
      <c r="K209" s="131">
        <v>3.79</v>
      </c>
      <c r="L209" s="360" cm="1">
        <f t="array" aca="1" ref="L209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09" s="152">
        <f>Guias!$B$3</f>
        <v>46310</v>
      </c>
      <c r="N209" s="216">
        <f>ROUNDUP((Main[[#This Row],[Cost]]*Main[[#This Row],[Import Duties]]),2)</f>
        <v>0.23</v>
      </c>
      <c r="O209">
        <v>0</v>
      </c>
      <c r="P209">
        <v>1</v>
      </c>
      <c r="Q209">
        <v>0</v>
      </c>
      <c r="R209" s="217">
        <f>ROUNDUP(Main[[#This Row],[Transport2]]/Main[[#This Row],[Cantidad_Min]],2)</f>
        <v>1.1000000000000001</v>
      </c>
      <c r="S209">
        <f>_xlfn.XLOOKUP(Main[[#This Row],[Type of Box]], Cajas[Nombre], Cajas[Largo])</f>
        <v>99</v>
      </c>
      <c r="T209">
        <f>_xlfn.XLOOKUP(Main[[#This Row],[Type of Box]], Cajas[Nombre], Cajas[Ancho])</f>
        <v>35</v>
      </c>
      <c r="U209">
        <f>_xlfn.XLOOKUP(Main[[#This Row],[Type of Box]], Cajas[Nombre], Cajas[Alto])</f>
        <v>16</v>
      </c>
      <c r="V209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9.24</v>
      </c>
      <c r="W209">
        <f>ROUNDUP(((Main[[#This Row],[Volumen]]*5.25))*1.36,2)</f>
        <v>65.98</v>
      </c>
      <c r="X209" s="219">
        <v>0.15859999999999999</v>
      </c>
      <c r="Y209" s="361">
        <f>Main[[#This Row],[Cantidad_Min]]*Main[[#This Row],[Precio]]*Main[[#This Row],[Qty]]</f>
        <v>227.4</v>
      </c>
      <c r="Z209">
        <f>_xlfn.XLOOKUP(Main[[#This Row],[Finca]], Fincas[Nombre], Fincas[ID])</f>
        <v>24</v>
      </c>
      <c r="AA209" t="str" cm="1">
        <f t="array" ref="AA209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/>
      </c>
      <c r="AB209" s="2" t="s">
        <v>33</v>
      </c>
      <c r="AC209" s="5" t="s">
        <v>257</v>
      </c>
      <c r="AD209" s="226"/>
    </row>
    <row r="210" spans="1:30" x14ac:dyDescent="0.25">
      <c r="A210" s="33" t="s">
        <v>255</v>
      </c>
      <c r="B210" s="404">
        <v>5</v>
      </c>
      <c r="C210" s="153" t="s">
        <v>31</v>
      </c>
      <c r="D210" s="33">
        <v>1</v>
      </c>
      <c r="E210">
        <v>1</v>
      </c>
      <c r="F210" t="s">
        <v>264</v>
      </c>
      <c r="G210" t="str">
        <f>"Aster/Limonium/Solidago/Statice/Aster Petit x 57 " &amp; _xlfn.XLOOKUP(Main[[#This Row],[FechaEntrega]], Guias[Fecha], Guias[Llegada])</f>
        <v>Aster/Limonium/Solidago/Statice/Aster Petit x 57 (T/W)</v>
      </c>
      <c r="H210" s="1" t="s">
        <v>911</v>
      </c>
      <c r="I210" s="235">
        <v>23.9</v>
      </c>
      <c r="J210" s="69">
        <f>_xlfn.LET(
  _xlpm.result, 1-((Main[[#This Row],[Cost]]+Main[[#This Row],[Duties]]+Main[[#This Row],[Transport]])/((Main[[#This Row],[Precio]]*0.96))),
  IF(_xlpm.result&lt;0, "BAJO", IF(_xlpm.result&gt;1, "ALTO", _xlpm.result))
)</f>
        <v>0.25304307116104874</v>
      </c>
      <c r="K210" s="131">
        <v>89</v>
      </c>
      <c r="L210" s="360" cm="1">
        <f t="array" aca="1" ref="L210" ca="1">_xlfn.LET(
    _xlpm.DiaSemana, WEEKDAY(Main[[#This Row],[FechaEntrega]], 2),
    _xlpm.CajaEcuador, OR(Main[[#This Row],[Type of Box]]="QB", Main[[#This Row],[Type of Box]]="EB", Main[[#This Row],[Type of Box]]="HB", Main[[#This Row],[Type of Box]]="SB"),
    _xlpm.CajaColombia, OR(Main[[#This Row],[Type of Box]]="QB2", Main[[#This Row],[Type of Box]]="EB2"),
    _xlpm.EsTF, ISNUMBER(SEARCH("T/F", Main[[#This Row],[Nombre]])),
    _xlpm.FincaCol, OR(Main[[#This Row],[Finca]]="Plazoleta", Main[[#This Row],[Finca]]="Flowers Party", Main[[#This Row],[Finca]]="HydranFlowers", Main[[#This Row],[Finca]]="Alexandra Farms", Main[[#This Row],[Finca]]="Circasia S.A.S.", Main[[#This Row],[Finca]]="Vuelven S.A.S.", Main[[#This Row],[Finca]]="Cultivos del Norte", Main[[#This Row],[Finca]]="La Conchita"),
    _xlpm.DiaGuia, _xlfn.IFS(
                AND(_xlpm.DiaSemana=1, _xlpm.CajaEcuador), "Lunes",
                AND(_xlpm.DiaSemana=1, _xlpm.CajaColombia), "Lunes",
                AND(_xlpm.DiaSemana=2, _xlpm.CajaEcuador), "Martes",
                AND(_xlpm.DiaSemana=2, _xlpm.CajaColombia), "Lunes",
                _xlpm.DiaSemana=3, "Miercoles",
                AND(_xlpm.DiaSemana=4, _xlpm.CajaEcuador), "Jueves",
                AND(_xlpm.DiaSemana=4, _xlpm.CajaColombia), "Miercoles",
                AND(_xlpm.DiaSemana=5, _xlpm.CajaEcuador), "Viernes",
                AND(_xlpm.DiaSemana=5, _xlpm.CajaColombia), "Jueves",
                AND(_xlpm.DiaSemana=6, _xlpm.CajaEcuador, _xlpm.EsTF), "Sabado B",
                AND(_xlpm.DiaSemana=6, _xlpm.CajaEcuador), "Viernes",
                AND(_xlpm.DiaSemana=6, _xlpm.CajaColombia), "Viernes",
                TRUE, ""
              ),
    _xlpm.ColGuia, _xlfn.IFS(
                _xlpm.DiaSemana=3, Guias[Ecuador],
                _xlpm.CajaColombia, Guias[Colombia],
                TRUE, Guias[Ecuador]
              ),
    _xlpm.VuelosError, IFERROR(_xlfn.XLOOKUP(_xlpm.DiaGuia, Guias[Día], Guias[Vuelos])="***Error de Fecha***", FALSE),
    _xlpm.SemanaIncorrecta, _xlfn.ISOWEEKNUM(Main[[#This Row],[FechaEntrega]]-2) &lt;&gt; Guias!$M$2,
    IF(_xlpm.SemanaIncorrecta, "ERROR S",
        IF(ISNA(MATCH(Main[[#This Row],[FechaEntrega]], Guias[Fecha], 0)), "ERROR F",
            IF(_xlfn.XOR(_xlpm.FincaCol, _xlpm.CajaColombia), "ERROR P",
                IF(_xlpm.DiaGuia="", "",
                    IF(_xlpm.VuelosError, "ERROR V",
                        _xlfn.XLOOKUP(_xlpm.DiaGuia, Guias[Día], _xlpm.ColGuia)
                    )
                )
            )
        )
    )
)</f>
        <v>16977</v>
      </c>
      <c r="M210" s="152">
        <f>Guias!$B$3</f>
        <v>46310</v>
      </c>
      <c r="N210" s="216">
        <f>ROUNDUP((Main[[#This Row],[Cost]]*Main[[#This Row],[Import Duties]]),2)</f>
        <v>3.8</v>
      </c>
      <c r="O210">
        <v>0</v>
      </c>
      <c r="P210">
        <v>1</v>
      </c>
      <c r="Q210">
        <v>0</v>
      </c>
      <c r="R210" s="217">
        <f>ROUNDUP(Main[[#This Row],[Transport2]]/Main[[#This Row],[Cantidad_Min]],2)</f>
        <v>36.119999999999997</v>
      </c>
      <c r="S210">
        <f>_xlfn.XLOOKUP(Main[[#This Row],[Type of Box]], Cajas[Nombre], Cajas[Largo])</f>
        <v>105</v>
      </c>
      <c r="T210">
        <f>_xlfn.XLOOKUP(Main[[#This Row],[Type of Box]], Cajas[Nombre], Cajas[Ancho])</f>
        <v>17</v>
      </c>
      <c r="U210">
        <f>_xlfn.XLOOKUP(Main[[#This Row],[Type of Box]], Cajas[Nombre], Cajas[Alto])</f>
        <v>17</v>
      </c>
      <c r="V210">
        <f>IF(Main[[#This Row],[Type of Box]]="", "", IF(OR(Main[[#This Row],[Type of Box]]="QB", Main[[#This Row],[Type of Box]]="EB", Main[[#This Row],[Type of Box]]="HB", Main[[#This Row],[Type of Box]]="QB2", Main[[#This Row],[Type of Box]]="EB2", Main[[#This Row],[Type of Box]]="SB"), (Main[[#This Row],[Largo2]]*Main[[#This Row],[Ancho]]*Main[[#This Row],[Alto]])/6000, ((Main[[#This Row],[Largo2]]+Sheet1!$U$2)*(Main[[#This Row],[Ancho]]+Sheet1!$U$2)*(Main[[#This Row],[Alto]]+Sheet1!$U$2))/6000))</f>
        <v>5.0575000000000001</v>
      </c>
      <c r="W210">
        <f>ROUNDUP(((Main[[#This Row],[Volumen]]*5.25))*1.36,2)</f>
        <v>36.119999999999997</v>
      </c>
      <c r="X210" s="219">
        <v>0.15859999999999999</v>
      </c>
      <c r="Y210" s="361">
        <f>Main[[#This Row],[Cantidad_Min]]*Main[[#This Row],[Precio]]*Main[[#This Row],[Qty]]</f>
        <v>445</v>
      </c>
      <c r="Z210">
        <f>_xlfn.XLOOKUP(Main[[#This Row],[Finca]], Fincas[Nombre], Fincas[ID])</f>
        <v>24</v>
      </c>
      <c r="AA210" t="str" cm="1">
        <f t="array" ref="AA210"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_xlpm.parts, IF(TRIM(_xlpm.txt)="", "", _xlfn.TOCOL(_xlfn.TEXTSPLIT(SUBSTITUTE(_xlpm.txt, CHAR(160), " "), ";"), 1)),
_xlpm.build, IF(_xlfn.VALUETOTEXT(_xlpm.parts)="", "", _xlfn.MAP(_xlpm.parts, _xlfn.LAMBDA(_xlpm.r,
    _xlfn.LET(
        _xlpm.s, TRIM(_xlpm.r),
        _xlpm.s_upper, UPPER(_xlpm.s),
        _xlpm.p_marker, IF(ISNUMBER(FIND("(*IMPAR)", _xlpm.s_upper)), "impar", IF(ISNUMBER(FIND("(*PAR)", _xlpm.s_upper)), "par", "")),
        _xlpm.allow, IF(_xlpm.p_marker="", TRUE, IF(_xlpm.p_marker="impar", _xlpm.weekIsOdd, NOT(_xlpm.weekIsOdd))),
        IF(NOT(_xlpm.allow), "",
            _xlfn.LET(
                _xlpm.num, IFERROR(VALUE(LEFT(_xlpm.s, FIND(" ", _xlpm.s &amp; " ")-1)), 0),
                _xlpm.rawname, TRIM(IFERROR(_xlfn.TEXTAFTER(_xlpm.s, " "), "")),
                _xlpm.name_pre, IFERROR(_xlfn.TEXTBEFORE(_xlpm.rawname, "["), _xlpm.rawname),
                _xlpm.name, TRIM(IFERROR(_xlfn.TEXTBEFORE(_xlpm.name_pre, "("), _xlpm.name_pre)),
                _xlpm.id, _xlfn.XLOOKUP(_xlpm.name, Vendedores[Fragmento], Vendedores[ID], ""),
                IF(OR(_xlpm.id="", _xlpm.num&lt;=0), "", LEFT(REPT(_xlpm.id &amp; ",", _xlpm.num), LEN(REPT(_xlpm.id &amp; ",", _xlpm.num)) - 1))
            )
        )
    )
))),
_xlpm.resultado, _xlfn.TEXTJOIN(",", TRUE, _xlpm.build),
IF(_xlpm.resultado="", "", _xlpm.resultado &amp; ",")
)</f>
        <v>rbaquero,</v>
      </c>
      <c r="AB210" s="2" t="s">
        <v>33</v>
      </c>
      <c r="AC210" s="5" t="s">
        <v>265</v>
      </c>
      <c r="AD210" s="224" t="s">
        <v>266</v>
      </c>
    </row>
  </sheetData>
  <phoneticPr fontId="20" type="noConversion"/>
  <conditionalFormatting sqref="B1:B1048576">
    <cfRule type="expression" dxfId="23" priority="2">
      <formula>AND(B1=0, B1&lt;&gt;"")</formula>
    </cfRule>
  </conditionalFormatting>
  <conditionalFormatting sqref="J1:J1048576">
    <cfRule type="expression" dxfId="22" priority="1">
      <formula>AND(ISNUMBER(J1), J1&lt;20%)</formula>
    </cfRule>
  </conditionalFormatting>
  <conditionalFormatting sqref="L1:L210">
    <cfRule type="cellIs" dxfId="21" priority="6" operator="equal">
      <formula>"ERROR P"</formula>
    </cfRule>
    <cfRule type="cellIs" dxfId="20" priority="9" operator="equal">
      <formula>"ERROR F"</formula>
    </cfRule>
  </conditionalFormatting>
  <conditionalFormatting sqref="L1:L1048576">
    <cfRule type="cellIs" dxfId="19" priority="3" operator="equal">
      <formula>"ERROR S"</formula>
    </cfRule>
    <cfRule type="cellIs" dxfId="18" priority="5" operator="equal">
      <formula>"ERROR V"</formula>
    </cfRule>
  </conditionalFormatting>
  <conditionalFormatting sqref="AB1:AB1048576">
    <cfRule type="cellIs" dxfId="17" priority="4" operator="equal">
      <formula>"N"</formula>
    </cfRule>
  </conditionalFormatting>
  <dataValidations count="2">
    <dataValidation type="list" allowBlank="1" showInputMessage="1" showErrorMessage="1" sqref="C2:C11 C14:C210" xr:uid="{4F3C206C-3B87-4155-9201-C7B4F0A4EC13}">
      <formula1>INDIRECT("Cajas[Nombre]")</formula1>
    </dataValidation>
    <dataValidation type="list" allowBlank="1" showInputMessage="1" showErrorMessage="1" sqref="A2:A7 A14:A210" xr:uid="{446AF015-CD9F-40B6-A7B4-BA2FAF9BA4E0}">
      <formula1>INDIRECT("Fincas[Nombre]")</formula1>
    </dataValidation>
  </dataValidations>
  <pageMargins left="0.7" right="0.7" top="0.75" bottom="0.75" header="0.3" footer="0.3"/>
  <pageSetup paperSize="9" scale="28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0014ACB-EE60-49E1-B739-5AC3C87528A0}">
          <x14:formula1>
            <xm:f>Fincas!$B$1:$B$109</xm:f>
          </x14:formula1>
          <xm:sqref>C12:C13</xm:sqref>
        </x14:dataValidation>
        <x14:dataValidation type="list" allowBlank="1" showInputMessage="1" showErrorMessage="1" xr:uid="{8DE3886D-2D4D-4BF5-9195-C4BCF3D72D53}">
          <x14:formula1>
            <xm:f>Sheet1!$B$2:$B$176</xm:f>
          </x14:formula1>
          <xm:sqref>C12:C13</xm:sqref>
        </x14:dataValidation>
        <x14:dataValidation type="list" allowBlank="1" showInputMessage="1" showErrorMessage="1" xr:uid="{68E53115-63AC-44B1-BBE9-5146838140AC}">
          <x14:formula1>
            <xm:f>Fincas!$B$1:$B$105</xm:f>
          </x14:formula1>
          <xm:sqref>A8:A13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1:U177"/>
  <sheetViews>
    <sheetView workbookViewId="0">
      <pane ySplit="7" topLeftCell="A8" activePane="bottomLeft" state="frozen"/>
      <selection pane="bottomLeft" activeCell="U35" sqref="U35"/>
    </sheetView>
  </sheetViews>
  <sheetFormatPr defaultColWidth="9.140625" defaultRowHeight="15" x14ac:dyDescent="0.25"/>
  <cols>
    <col min="1" max="1" width="3.85546875" customWidth="1"/>
    <col min="2" max="2" width="26.140625" bestFit="1" customWidth="1"/>
    <col min="3" max="3" width="10.28515625" bestFit="1" customWidth="1"/>
    <col min="4" max="4" width="11.140625" bestFit="1" customWidth="1"/>
    <col min="5" max="5" width="9.28515625" bestFit="1" customWidth="1"/>
    <col min="6" max="6" width="10.140625" customWidth="1"/>
    <col min="7" max="7" width="3.28515625" customWidth="1"/>
    <col min="8" max="8" width="12.85546875" customWidth="1"/>
    <col min="9" max="9" width="13.85546875" customWidth="1"/>
    <col min="10" max="10" width="13.140625" customWidth="1"/>
    <col min="11" max="11" width="7.7109375" customWidth="1"/>
    <col min="12" max="12" width="7.42578125" customWidth="1"/>
    <col min="20" max="20" width="3.28515625" customWidth="1"/>
  </cols>
  <sheetData>
    <row r="1" spans="2:21" ht="15.75" thickBot="1" x14ac:dyDescent="0.3">
      <c r="B1" s="1" t="s">
        <v>6</v>
      </c>
      <c r="C1" s="150" t="s">
        <v>267</v>
      </c>
      <c r="D1" s="150" t="s">
        <v>19</v>
      </c>
      <c r="E1" s="150" t="s">
        <v>20</v>
      </c>
      <c r="F1" s="151" t="s">
        <v>268</v>
      </c>
      <c r="G1" s="247" t="s">
        <v>269</v>
      </c>
      <c r="H1" s="148" t="s">
        <v>18</v>
      </c>
      <c r="I1" s="149" t="s">
        <v>270</v>
      </c>
      <c r="J1" s="149" t="s">
        <v>271</v>
      </c>
      <c r="K1" s="248" t="s">
        <v>272</v>
      </c>
      <c r="L1" s="166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/>
      <c r="U1" s="8" t="s">
        <v>280</v>
      </c>
    </row>
    <row r="2" spans="2:21" x14ac:dyDescent="0.25">
      <c r="B2" s="266" t="s">
        <v>281</v>
      </c>
      <c r="C2" s="2">
        <v>90</v>
      </c>
      <c r="D2" s="2">
        <v>15</v>
      </c>
      <c r="E2" s="2">
        <v>10</v>
      </c>
      <c r="F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2.25</v>
      </c>
      <c r="G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" s="139">
        <f>ROUNDUP(Cajas[[#This Row],[Largo]]/2.54,2)</f>
        <v>35.44</v>
      </c>
      <c r="I2" s="2">
        <f>ROUNDUP(Cajas[[#This Row],[Ancho]]/2.54,2)</f>
        <v>5.91</v>
      </c>
      <c r="J2" s="142">
        <f>ROUNDUP(Cajas[[#This Row],[Alto]]/2.54,2)</f>
        <v>3.94</v>
      </c>
      <c r="K2" s="142"/>
      <c r="L2" s="2"/>
      <c r="M2" s="2"/>
      <c r="N2" s="2"/>
      <c r="O2" s="2"/>
      <c r="P2" s="2"/>
      <c r="Q2" s="2"/>
      <c r="R2" s="2"/>
      <c r="S2" s="2"/>
      <c r="U2" s="470">
        <v>2</v>
      </c>
    </row>
    <row r="3" spans="2:21" ht="15.75" thickBot="1" x14ac:dyDescent="0.3">
      <c r="B3" s="266" t="s">
        <v>31</v>
      </c>
      <c r="C3" s="2">
        <v>105</v>
      </c>
      <c r="D3" s="2">
        <v>17</v>
      </c>
      <c r="E3" s="2">
        <v>17</v>
      </c>
      <c r="F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5.0575000000000001</v>
      </c>
      <c r="G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" s="139">
        <f>ROUNDUP(Cajas[[#This Row],[Largo]]/2.54,2)</f>
        <v>41.339999999999996</v>
      </c>
      <c r="I3" s="2">
        <f>ROUNDUP(Cajas[[#This Row],[Ancho]]/2.54,2)</f>
        <v>6.7</v>
      </c>
      <c r="J3" s="142">
        <f>ROUNDUP(Cajas[[#This Row],[Alto]]/2.54,2)</f>
        <v>6.7</v>
      </c>
      <c r="K3" s="142"/>
      <c r="L3" s="2"/>
      <c r="M3" s="2"/>
      <c r="N3" s="2"/>
      <c r="O3" s="2"/>
      <c r="P3" s="2"/>
      <c r="Q3" s="2"/>
      <c r="R3" s="2"/>
      <c r="S3" s="2"/>
      <c r="U3" s="471"/>
    </row>
    <row r="4" spans="2:21" x14ac:dyDescent="0.25">
      <c r="B4" s="266" t="s">
        <v>35</v>
      </c>
      <c r="C4" s="2">
        <v>99</v>
      </c>
      <c r="D4" s="2">
        <v>35</v>
      </c>
      <c r="E4" s="2">
        <v>16</v>
      </c>
      <c r="F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9.24</v>
      </c>
      <c r="G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" s="139">
        <f>ROUNDUP(Cajas[[#This Row],[Largo]]/2.54,2)</f>
        <v>38.979999999999997</v>
      </c>
      <c r="I4" s="2">
        <f>ROUNDUP(Cajas[[#This Row],[Ancho]]/2.54,2)</f>
        <v>13.78</v>
      </c>
      <c r="J4" s="142">
        <f>ROUNDUP(Cajas[[#This Row],[Alto]]/2.54,2)</f>
        <v>6.3</v>
      </c>
      <c r="K4" s="142"/>
      <c r="L4" s="2"/>
      <c r="M4" s="2"/>
      <c r="N4" s="2"/>
      <c r="O4" s="2"/>
      <c r="P4" s="2"/>
      <c r="Q4" s="2"/>
      <c r="R4" s="2"/>
      <c r="S4" s="2"/>
    </row>
    <row r="5" spans="2:21" x14ac:dyDescent="0.25">
      <c r="B5" s="266" t="s">
        <v>93</v>
      </c>
      <c r="C5" s="2">
        <v>105</v>
      </c>
      <c r="D5" s="2">
        <v>35</v>
      </c>
      <c r="E5" s="2">
        <v>33</v>
      </c>
      <c r="F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20.212499999999999</v>
      </c>
      <c r="G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" s="139">
        <f>ROUNDUP(Cajas[[#This Row],[Largo]]/2.54,2)</f>
        <v>41.339999999999996</v>
      </c>
      <c r="I5" s="2">
        <f>ROUNDUP(Cajas[[#This Row],[Ancho]]/2.54,2)</f>
        <v>13.78</v>
      </c>
      <c r="J5" s="142">
        <f>ROUNDUP(Cajas[[#This Row],[Alto]]/2.54,2)</f>
        <v>13</v>
      </c>
      <c r="K5" s="142"/>
      <c r="L5" s="2"/>
      <c r="M5" s="2"/>
      <c r="N5" s="2"/>
      <c r="O5" s="2"/>
      <c r="P5" s="2"/>
      <c r="Q5" s="2"/>
      <c r="R5" s="2"/>
      <c r="S5" s="2"/>
    </row>
    <row r="6" spans="2:21" x14ac:dyDescent="0.25">
      <c r="B6" s="266" t="s">
        <v>227</v>
      </c>
      <c r="C6" s="2">
        <v>39</v>
      </c>
      <c r="D6" s="2">
        <v>30</v>
      </c>
      <c r="E6" s="2">
        <v>30</v>
      </c>
      <c r="F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5.85</v>
      </c>
      <c r="G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" s="139">
        <f>ROUNDUP(Cajas[[#This Row],[Largo]]/2.54,2)</f>
        <v>15.36</v>
      </c>
      <c r="I6" s="2">
        <f>ROUNDUP(Cajas[[#This Row],[Ancho]]/2.54,2)</f>
        <v>11.82</v>
      </c>
      <c r="J6" s="142">
        <f>ROUNDUP(Cajas[[#This Row],[Alto]]/2.54,2)</f>
        <v>11.82</v>
      </c>
      <c r="K6" s="142"/>
      <c r="L6" s="2"/>
      <c r="M6" s="2"/>
      <c r="N6" s="2"/>
      <c r="O6" s="2"/>
      <c r="P6" s="2"/>
      <c r="Q6" s="2"/>
      <c r="R6" s="2"/>
      <c r="S6" s="2"/>
    </row>
    <row r="7" spans="2:21" x14ac:dyDescent="0.25">
      <c r="B7" s="266" t="s">
        <v>69</v>
      </c>
      <c r="C7" s="2">
        <v>85</v>
      </c>
      <c r="D7" s="2">
        <v>30</v>
      </c>
      <c r="E7" s="2">
        <v>28</v>
      </c>
      <c r="F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11.9</v>
      </c>
      <c r="G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" s="139">
        <f>ROUNDUP(Cajas[[#This Row],[Largo]]/2.54,2)</f>
        <v>33.47</v>
      </c>
      <c r="I7" s="2">
        <f>ROUNDUP(Cajas[[#This Row],[Ancho]]/2.54,2)</f>
        <v>11.82</v>
      </c>
      <c r="J7" s="142">
        <f>ROUNDUP(Cajas[[#This Row],[Alto]]/2.54,2)</f>
        <v>11.03</v>
      </c>
      <c r="K7" s="142"/>
      <c r="L7" s="2"/>
      <c r="M7" s="2"/>
      <c r="N7" s="2"/>
      <c r="O7" s="2"/>
      <c r="P7" s="2"/>
      <c r="Q7" s="2"/>
      <c r="R7" s="2"/>
      <c r="S7" s="2"/>
    </row>
    <row r="8" spans="2:21" x14ac:dyDescent="0.25">
      <c r="B8" s="275" t="s">
        <v>282</v>
      </c>
      <c r="C8" s="2">
        <v>90</v>
      </c>
      <c r="D8" s="2">
        <v>15</v>
      </c>
      <c r="E8" s="2">
        <v>10</v>
      </c>
      <c r="F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3.1280000000000001</v>
      </c>
      <c r="G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" s="139">
        <f>ROUNDUP(Cajas[[#This Row],[Largo]]/2.54,2)</f>
        <v>35.44</v>
      </c>
      <c r="I8" s="2">
        <f>ROUNDUP(Cajas[[#This Row],[Ancho]]/2.54,2)</f>
        <v>5.91</v>
      </c>
      <c r="J8" s="142">
        <f>ROUNDUP(Cajas[[#This Row],[Alto]]/2.54,2)</f>
        <v>3.94</v>
      </c>
      <c r="K8" s="142"/>
      <c r="L8" s="139"/>
      <c r="M8" s="2"/>
      <c r="N8" s="2"/>
      <c r="O8" s="2"/>
      <c r="P8" s="2"/>
      <c r="Q8" s="2"/>
      <c r="R8" s="2"/>
      <c r="S8" s="2"/>
    </row>
    <row r="9" spans="2:21" x14ac:dyDescent="0.25">
      <c r="B9" s="275" t="s">
        <v>283</v>
      </c>
      <c r="C9" s="2">
        <v>105</v>
      </c>
      <c r="D9" s="2">
        <v>17</v>
      </c>
      <c r="E9" s="2">
        <v>16</v>
      </c>
      <c r="F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6.0990000000000002</v>
      </c>
      <c r="G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9" s="139">
        <f>ROUNDUP(Cajas[[#This Row],[Largo]]/2.54,2)</f>
        <v>41.339999999999996</v>
      </c>
      <c r="I9" s="2">
        <f>ROUNDUP(Cajas[[#This Row],[Ancho]]/2.54,2)</f>
        <v>6.7</v>
      </c>
      <c r="J9" s="142">
        <f>ROUNDUP(Cajas[[#This Row],[Alto]]/2.54,2)</f>
        <v>6.3</v>
      </c>
      <c r="K9" s="142"/>
      <c r="L9" s="139"/>
      <c r="M9" s="2"/>
      <c r="N9" s="2"/>
      <c r="O9" s="2"/>
      <c r="P9" s="2"/>
      <c r="Q9" s="2"/>
      <c r="R9" s="2"/>
      <c r="S9" s="2"/>
    </row>
    <row r="10" spans="2:21" x14ac:dyDescent="0.25">
      <c r="B10" s="275" t="s">
        <v>284</v>
      </c>
      <c r="C10" s="2">
        <v>105</v>
      </c>
      <c r="D10" s="2">
        <v>32</v>
      </c>
      <c r="E10" s="2">
        <v>18</v>
      </c>
      <c r="F1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12.126666666666667</v>
      </c>
      <c r="G1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" s="139">
        <f>ROUNDUP(Cajas[[#This Row],[Largo]]/2.54,2)</f>
        <v>41.339999999999996</v>
      </c>
      <c r="I10" s="2">
        <f>ROUNDUP(Cajas[[#This Row],[Ancho]]/2.54,2)</f>
        <v>12.6</v>
      </c>
      <c r="J10" s="142">
        <f>ROUNDUP(Cajas[[#This Row],[Alto]]/2.54,2)</f>
        <v>7.09</v>
      </c>
      <c r="K10" s="142"/>
      <c r="L10" s="139"/>
      <c r="M10" s="2"/>
      <c r="N10" s="2"/>
      <c r="O10" s="2"/>
      <c r="P10" s="2"/>
      <c r="Q10" s="2"/>
      <c r="R10" s="2"/>
      <c r="S10" s="2"/>
    </row>
    <row r="11" spans="2:21" x14ac:dyDescent="0.25">
      <c r="B11" s="275" t="s">
        <v>285</v>
      </c>
      <c r="C11" s="2">
        <v>105</v>
      </c>
      <c r="D11" s="2">
        <v>35</v>
      </c>
      <c r="E11" s="2">
        <v>33</v>
      </c>
      <c r="F1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23.094166666666666</v>
      </c>
      <c r="G1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" s="139">
        <f>ROUNDUP(Cajas[[#This Row],[Largo]]/2.54,2)</f>
        <v>41.339999999999996</v>
      </c>
      <c r="I11" s="2">
        <f>ROUNDUP(Cajas[[#This Row],[Ancho]]/2.54,2)</f>
        <v>13.78</v>
      </c>
      <c r="J11" s="142">
        <f>ROUNDUP(Cajas[[#This Row],[Alto]]/2.54,2)</f>
        <v>13</v>
      </c>
      <c r="K11" s="142"/>
      <c r="L11" s="139"/>
      <c r="M11" s="2"/>
      <c r="N11" s="2"/>
      <c r="O11" s="2"/>
      <c r="P11" s="2"/>
      <c r="Q11" s="2"/>
      <c r="R11" s="2"/>
      <c r="S11" s="2"/>
    </row>
    <row r="12" spans="2:21" x14ac:dyDescent="0.25">
      <c r="B12" s="275" t="s">
        <v>286</v>
      </c>
      <c r="C12" s="2">
        <v>55</v>
      </c>
      <c r="D12" s="2">
        <v>30</v>
      </c>
      <c r="E12" s="2">
        <v>30</v>
      </c>
      <c r="F1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9.7279999999999998</v>
      </c>
      <c r="G1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" s="139">
        <f>ROUNDUP(Cajas[[#This Row],[Largo]]/2.54,2)</f>
        <v>21.66</v>
      </c>
      <c r="I12" s="2">
        <f>ROUNDUP(Cajas[[#This Row],[Ancho]]/2.54,2)</f>
        <v>11.82</v>
      </c>
      <c r="J12" s="142">
        <f>ROUNDUP(Cajas[[#This Row],[Alto]]/2.54,2)</f>
        <v>11.82</v>
      </c>
      <c r="K12" s="142"/>
      <c r="L12" s="139"/>
      <c r="M12" s="2"/>
      <c r="N12" s="2"/>
      <c r="O12" s="2"/>
      <c r="P12" s="2"/>
      <c r="Q12" s="2"/>
      <c r="R12" s="2"/>
      <c r="S12" s="2"/>
    </row>
    <row r="13" spans="2:21" ht="15.75" thickBot="1" x14ac:dyDescent="0.3">
      <c r="B13" s="275" t="s">
        <v>287</v>
      </c>
      <c r="C13" s="2">
        <v>110</v>
      </c>
      <c r="D13" s="2">
        <v>30</v>
      </c>
      <c r="E13" s="2">
        <v>28</v>
      </c>
      <c r="F1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17.920000000000002</v>
      </c>
      <c r="G1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" s="139">
        <f>ROUNDUP(Cajas[[#This Row],[Largo]]/2.54,2)</f>
        <v>43.309999999999995</v>
      </c>
      <c r="I13" s="2">
        <f>ROUNDUP(Cajas[[#This Row],[Ancho]]/2.54,2)</f>
        <v>11.82</v>
      </c>
      <c r="J13" s="142">
        <f>ROUNDUP(Cajas[[#This Row],[Alto]]/2.54,2)</f>
        <v>11.03</v>
      </c>
      <c r="K13" s="142"/>
      <c r="L13" s="139"/>
      <c r="M13" s="2"/>
      <c r="N13" s="2"/>
      <c r="O13" s="2"/>
      <c r="P13" s="2"/>
      <c r="Q13" s="2"/>
      <c r="R13" s="2"/>
      <c r="S13" s="2"/>
    </row>
    <row r="14" spans="2:21" x14ac:dyDescent="0.25">
      <c r="B14" s="17" t="s">
        <v>288</v>
      </c>
      <c r="C14" s="18">
        <v>71</v>
      </c>
      <c r="D14" s="18">
        <v>35</v>
      </c>
      <c r="E14" s="18">
        <v>17</v>
      </c>
      <c r="F14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8.5531666666666659</v>
      </c>
      <c r="G14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4" s="140">
        <f>ROUNDUP(Cajas[[#This Row],[Largo]]/2.54,2)</f>
        <v>27.96</v>
      </c>
      <c r="I14" s="18">
        <f>ROUNDUP(Cajas[[#This Row],[Ancho]]/2.54,2)</f>
        <v>13.78</v>
      </c>
      <c r="J14" s="143">
        <f>ROUNDUP(Cajas[[#This Row],[Alto]]/2.54,2)</f>
        <v>6.7</v>
      </c>
      <c r="K14" s="143"/>
      <c r="L14" s="2">
        <v>5</v>
      </c>
      <c r="M14" s="2">
        <v>4</v>
      </c>
      <c r="N14" s="2"/>
      <c r="O14" s="2"/>
      <c r="P14" s="2"/>
      <c r="Q14" s="2"/>
      <c r="R14" s="2"/>
      <c r="S14" s="2"/>
    </row>
    <row r="15" spans="2:21" ht="15.75" thickBot="1" x14ac:dyDescent="0.3">
      <c r="B15" s="5" t="s">
        <v>289</v>
      </c>
      <c r="C15" s="2">
        <v>80</v>
      </c>
      <c r="D15" s="2">
        <v>35</v>
      </c>
      <c r="E15" s="2">
        <v>15</v>
      </c>
      <c r="F1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8.5963333333333338</v>
      </c>
      <c r="G1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" s="139">
        <f>ROUNDUP(Cajas[[#This Row],[Largo]]/2.54,2)</f>
        <v>31.5</v>
      </c>
      <c r="I15" s="2">
        <f>ROUNDUP(Cajas[[#This Row],[Ancho]]/2.54,2)</f>
        <v>13.78</v>
      </c>
      <c r="J15" s="142">
        <f>ROUNDUP(Cajas[[#This Row],[Alto]]/2.54,2)</f>
        <v>5.91</v>
      </c>
      <c r="K15" s="142"/>
      <c r="L15" s="2"/>
      <c r="M15" s="2"/>
      <c r="N15" s="2"/>
      <c r="O15" s="2"/>
      <c r="P15" s="2"/>
      <c r="Q15" s="2"/>
      <c r="R15" s="2"/>
      <c r="S15" s="2"/>
    </row>
    <row r="16" spans="2:21" x14ac:dyDescent="0.25">
      <c r="B16" s="17" t="s">
        <v>290</v>
      </c>
      <c r="C16" s="18">
        <v>90</v>
      </c>
      <c r="D16" s="18">
        <v>26</v>
      </c>
      <c r="E16" s="18">
        <v>12.5</v>
      </c>
      <c r="F16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6.2253333333333334</v>
      </c>
      <c r="G16" s="14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" s="140">
        <f>ROUNDUP(Cajas[[#This Row],[Largo]]/2.54,2)</f>
        <v>35.44</v>
      </c>
      <c r="I16" s="18">
        <f>ROUNDUP(Cajas[[#This Row],[Ancho]]/2.54,2)</f>
        <v>10.24</v>
      </c>
      <c r="J16" s="143">
        <f>ROUNDUP(Cajas[[#This Row],[Alto]]/2.54,2)</f>
        <v>4.93</v>
      </c>
      <c r="K16" s="211"/>
      <c r="L16" s="139"/>
      <c r="M16" s="2"/>
      <c r="N16" s="2"/>
      <c r="O16" s="2"/>
      <c r="P16" s="2"/>
      <c r="Q16" s="2"/>
      <c r="R16" s="2"/>
      <c r="S16" s="2"/>
    </row>
    <row r="17" spans="2:19" x14ac:dyDescent="0.25">
      <c r="B17" s="5" t="s">
        <v>291</v>
      </c>
      <c r="C17" s="2">
        <v>90</v>
      </c>
      <c r="D17" s="2">
        <v>26</v>
      </c>
      <c r="E17" s="2">
        <v>15</v>
      </c>
      <c r="F1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7.2986666666666666</v>
      </c>
      <c r="G1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7" s="139">
        <f>ROUNDUP(Cajas[[#This Row],[Largo]]/2.54,2)</f>
        <v>35.44</v>
      </c>
      <c r="I17" s="2">
        <f>ROUNDUP(Cajas[[#This Row],[Ancho]]/2.54,2)</f>
        <v>10.24</v>
      </c>
      <c r="J17" s="142">
        <f>ROUNDUP(Cajas[[#This Row],[Alto]]/2.54,2)</f>
        <v>5.91</v>
      </c>
      <c r="K17" s="212"/>
      <c r="L17" s="139"/>
      <c r="M17" s="2"/>
      <c r="N17" s="2"/>
      <c r="O17" s="2"/>
      <c r="P17" s="2"/>
      <c r="Q17" s="2"/>
      <c r="R17" s="2"/>
      <c r="S17" s="2"/>
    </row>
    <row r="18" spans="2:19" x14ac:dyDescent="0.25">
      <c r="B18" s="5" t="s">
        <v>292</v>
      </c>
      <c r="C18" s="2">
        <v>104.4</v>
      </c>
      <c r="D18" s="2">
        <v>25</v>
      </c>
      <c r="E18" s="2">
        <v>15</v>
      </c>
      <c r="F1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8.1396000000000015</v>
      </c>
      <c r="G1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8" s="139">
        <f>ROUNDUP(Cajas[[#This Row],[Largo]]/2.54,2)</f>
        <v>41.11</v>
      </c>
      <c r="I18" s="2">
        <f>ROUNDUP(Cajas[[#This Row],[Ancho]]/2.54,2)</f>
        <v>9.85</v>
      </c>
      <c r="J18" s="142">
        <f>ROUNDUP(Cajas[[#This Row],[Alto]]/2.54,2)</f>
        <v>5.91</v>
      </c>
      <c r="K18" s="212"/>
      <c r="L18" s="139"/>
      <c r="M18" s="2"/>
      <c r="N18" s="2"/>
      <c r="O18" s="2"/>
      <c r="P18" s="2"/>
      <c r="Q18" s="2"/>
      <c r="R18" s="2"/>
      <c r="S18" s="2"/>
    </row>
    <row r="19" spans="2:19" x14ac:dyDescent="0.25">
      <c r="B19" s="5" t="s">
        <v>293</v>
      </c>
      <c r="C19" s="2">
        <v>103</v>
      </c>
      <c r="D19" s="2">
        <v>30</v>
      </c>
      <c r="E19" s="2">
        <v>20</v>
      </c>
      <c r="F1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12.32</v>
      </c>
      <c r="G1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9" s="139">
        <f>ROUNDUP(Cajas[[#This Row],[Largo]]/2.54,2)</f>
        <v>40.559999999999995</v>
      </c>
      <c r="I19" s="2">
        <f>ROUNDUP(Cajas[[#This Row],[Ancho]]/2.54,2)</f>
        <v>11.82</v>
      </c>
      <c r="J19" s="142">
        <f>ROUNDUP(Cajas[[#This Row],[Alto]]/2.54,2)</f>
        <v>7.88</v>
      </c>
      <c r="K19" s="212"/>
      <c r="L19" s="139"/>
      <c r="M19" s="2"/>
      <c r="N19" s="2"/>
      <c r="O19" s="2"/>
      <c r="P19" s="2"/>
      <c r="Q19" s="2"/>
      <c r="R19" s="2"/>
      <c r="S19" s="2"/>
    </row>
    <row r="20" spans="2:19" ht="15.75" thickBot="1" x14ac:dyDescent="0.3">
      <c r="B20" s="72" t="s">
        <v>294</v>
      </c>
      <c r="C20" s="73">
        <v>103.6</v>
      </c>
      <c r="D20" s="73">
        <v>35</v>
      </c>
      <c r="E20" s="73">
        <v>25</v>
      </c>
      <c r="F2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17.5824</v>
      </c>
      <c r="G2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0" s="141">
        <f>ROUNDUP(Cajas[[#This Row],[Largo]]/2.54,2)</f>
        <v>40.79</v>
      </c>
      <c r="I20" s="73">
        <f>ROUNDUP(Cajas[[#This Row],[Ancho]]/2.54,2)</f>
        <v>13.78</v>
      </c>
      <c r="J20" s="144">
        <f>ROUNDUP(Cajas[[#This Row],[Alto]]/2.54,2)</f>
        <v>9.85</v>
      </c>
      <c r="K20" s="213"/>
      <c r="L20" s="139"/>
      <c r="M20" s="2"/>
      <c r="N20" s="2"/>
      <c r="O20" s="2"/>
      <c r="P20" s="2"/>
      <c r="Q20" s="2"/>
      <c r="R20" s="2"/>
      <c r="S20" s="2"/>
    </row>
    <row r="21" spans="2:19" x14ac:dyDescent="0.25">
      <c r="B21" s="5" t="s">
        <v>295</v>
      </c>
      <c r="C21" s="2">
        <v>120</v>
      </c>
      <c r="D21" s="2">
        <v>35</v>
      </c>
      <c r="E21" s="2">
        <v>35</v>
      </c>
      <c r="F21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21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1" s="139">
        <f>ROUNDUP(Cajas[[#This Row],[Largo]]/2.54,2)</f>
        <v>47.25</v>
      </c>
      <c r="I21" s="2">
        <f>ROUNDUP(Cajas[[#This Row],[Ancho]]/2.54,2)</f>
        <v>13.78</v>
      </c>
      <c r="J21" s="142">
        <f>ROUNDUP(Cajas[[#This Row],[Alto]]/2.54,2)</f>
        <v>13.78</v>
      </c>
      <c r="K21" s="142"/>
      <c r="L21" s="2" t="s">
        <v>296</v>
      </c>
      <c r="M21" s="2" t="s">
        <v>297</v>
      </c>
      <c r="N21" s="2" t="s">
        <v>298</v>
      </c>
      <c r="O21" s="2" t="s">
        <v>299</v>
      </c>
      <c r="P21" s="2" t="s">
        <v>300</v>
      </c>
      <c r="Q21" s="2"/>
      <c r="R21" s="2"/>
      <c r="S21" s="2"/>
    </row>
    <row r="22" spans="2:19" x14ac:dyDescent="0.25">
      <c r="B22" s="5" t="s">
        <v>301</v>
      </c>
      <c r="C22" s="2">
        <v>105</v>
      </c>
      <c r="D22" s="2">
        <v>35</v>
      </c>
      <c r="E22" s="2">
        <v>35</v>
      </c>
      <c r="F2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24.413833333333333</v>
      </c>
      <c r="G22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2" s="139">
        <f>ROUNDUP(Cajas[[#This Row],[Largo]]/2.54,2)</f>
        <v>41.339999999999996</v>
      </c>
      <c r="I22" s="2">
        <f>ROUNDUP(Cajas[[#This Row],[Ancho]]/2.54,2)</f>
        <v>13.78</v>
      </c>
      <c r="J22" s="142">
        <f>ROUNDUP(Cajas[[#This Row],[Alto]]/2.54,2)</f>
        <v>13.78</v>
      </c>
      <c r="K22" s="142"/>
      <c r="L22" s="2" t="s">
        <v>298</v>
      </c>
      <c r="M22" s="2" t="s">
        <v>299</v>
      </c>
      <c r="N22" s="2" t="s">
        <v>299</v>
      </c>
      <c r="O22" s="2" t="s">
        <v>302</v>
      </c>
      <c r="P22" s="2" t="s">
        <v>303</v>
      </c>
      <c r="Q22" s="2"/>
      <c r="R22" s="2"/>
      <c r="S22" s="2"/>
    </row>
    <row r="23" spans="2:19" x14ac:dyDescent="0.25">
      <c r="B23" s="5" t="s">
        <v>304</v>
      </c>
      <c r="C23" s="2">
        <v>105</v>
      </c>
      <c r="D23" s="2">
        <v>30</v>
      </c>
      <c r="E23" s="2">
        <v>30</v>
      </c>
      <c r="F2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23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3" s="139">
        <f>ROUNDUP(Cajas[[#This Row],[Largo]]/2.54,2)</f>
        <v>41.339999999999996</v>
      </c>
      <c r="I23" s="2">
        <f>ROUNDUP(Cajas[[#This Row],[Ancho]]/2.54,2)</f>
        <v>11.82</v>
      </c>
      <c r="J23" s="142">
        <f>ROUNDUP(Cajas[[#This Row],[Alto]]/2.54,2)</f>
        <v>11.82</v>
      </c>
      <c r="K23" s="142"/>
      <c r="L23" s="2" t="s">
        <v>305</v>
      </c>
      <c r="M23" s="2" t="s">
        <v>302</v>
      </c>
      <c r="N23" s="2" t="s">
        <v>306</v>
      </c>
      <c r="O23" s="2" t="s">
        <v>307</v>
      </c>
      <c r="P23" s="2" t="s">
        <v>308</v>
      </c>
      <c r="Q23" s="2"/>
      <c r="R23" s="2"/>
      <c r="S23" s="2"/>
    </row>
    <row r="24" spans="2:19" x14ac:dyDescent="0.25">
      <c r="B24" s="5" t="s">
        <v>309</v>
      </c>
      <c r="C24" s="2">
        <v>106</v>
      </c>
      <c r="D24" s="2">
        <v>31</v>
      </c>
      <c r="E24" s="2">
        <v>15</v>
      </c>
      <c r="F2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10.098000000000001</v>
      </c>
      <c r="G24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4" s="139">
        <f>ROUNDUP(Cajas[[#This Row],[Largo]]/2.54,2)</f>
        <v>41.739999999999995</v>
      </c>
      <c r="I24" s="2">
        <f>ROUNDUP(Cajas[[#This Row],[Ancho]]/2.54,2)</f>
        <v>12.209999999999999</v>
      </c>
      <c r="J24" s="142">
        <f>ROUNDUP(Cajas[[#This Row],[Alto]]/2.54,2)</f>
        <v>5.91</v>
      </c>
      <c r="K24" s="142"/>
      <c r="L24" s="2" t="s">
        <v>310</v>
      </c>
      <c r="M24" s="2" t="s">
        <v>310</v>
      </c>
      <c r="N24" s="2" t="s">
        <v>311</v>
      </c>
      <c r="O24" s="2" t="s">
        <v>312</v>
      </c>
      <c r="P24" s="2"/>
      <c r="Q24" s="2"/>
      <c r="R24" s="2"/>
      <c r="S24" s="2"/>
    </row>
    <row r="25" spans="2:19" x14ac:dyDescent="0.25">
      <c r="B25" s="5" t="s">
        <v>313</v>
      </c>
      <c r="C25" s="2">
        <v>70</v>
      </c>
      <c r="D25" s="2">
        <v>31</v>
      </c>
      <c r="E25" s="2">
        <v>16</v>
      </c>
      <c r="F2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7.1280000000000001</v>
      </c>
      <c r="G2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25" s="139">
        <f>ROUNDUP(Cajas[[#This Row],[Largo]]/2.54,2)</f>
        <v>27.560000000000002</v>
      </c>
      <c r="I25" s="2">
        <f>ROUNDUP(Cajas[[#This Row],[Ancho]]/2.54,2)</f>
        <v>12.209999999999999</v>
      </c>
      <c r="J25" s="142">
        <f>ROUNDUP(Cajas[[#This Row],[Alto]]/2.54,2)</f>
        <v>6.3</v>
      </c>
      <c r="K25" s="142"/>
      <c r="L25" s="2" t="s">
        <v>314</v>
      </c>
      <c r="M25" s="2" t="s">
        <v>314</v>
      </c>
      <c r="N25" s="2"/>
      <c r="O25" s="2"/>
      <c r="P25" s="2"/>
      <c r="Q25" s="2"/>
      <c r="R25" s="2"/>
      <c r="S25" s="2"/>
    </row>
    <row r="26" spans="2:19" x14ac:dyDescent="0.25">
      <c r="B26" s="5" t="s">
        <v>315</v>
      </c>
      <c r="C26" s="2">
        <v>105</v>
      </c>
      <c r="D26" s="2">
        <v>34</v>
      </c>
      <c r="E26" s="2">
        <v>16</v>
      </c>
      <c r="F2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11.555999999999999</v>
      </c>
      <c r="G26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6" s="139">
        <f>ROUNDUP(Cajas[[#This Row],[Largo]]/2.54,2)</f>
        <v>41.339999999999996</v>
      </c>
      <c r="I26" s="2">
        <f>ROUNDUP(Cajas[[#This Row],[Ancho]]/2.54,2)</f>
        <v>13.39</v>
      </c>
      <c r="J26" s="142">
        <f>ROUNDUP(Cajas[[#This Row],[Alto]]/2.54,2)</f>
        <v>6.3</v>
      </c>
      <c r="K26" s="142"/>
      <c r="L26" s="2" t="s">
        <v>308</v>
      </c>
      <c r="M26" s="2" t="s">
        <v>308</v>
      </c>
      <c r="N26" s="2" t="s">
        <v>311</v>
      </c>
      <c r="O26" s="2" t="s">
        <v>314</v>
      </c>
      <c r="P26" s="2" t="s">
        <v>312</v>
      </c>
      <c r="Q26" s="2"/>
      <c r="R26" s="2"/>
      <c r="S26" s="2"/>
    </row>
    <row r="27" spans="2:19" ht="15.75" thickBot="1" x14ac:dyDescent="0.3">
      <c r="B27" s="5" t="s">
        <v>316</v>
      </c>
      <c r="C27" s="2">
        <v>140</v>
      </c>
      <c r="D27" s="2">
        <v>35</v>
      </c>
      <c r="E27" s="2">
        <v>35</v>
      </c>
      <c r="F27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32.399666666666668</v>
      </c>
      <c r="G27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7" s="139">
        <f>ROUNDUP(Cajas[[#This Row],[Largo]]/2.54,2)</f>
        <v>55.12</v>
      </c>
      <c r="I27" s="2">
        <f>ROUNDUP(Cajas[[#This Row],[Ancho]]/2.54,2)</f>
        <v>13.78</v>
      </c>
      <c r="J27" s="142">
        <f>ROUNDUP(Cajas[[#This Row],[Alto]]/2.54,2)</f>
        <v>13.78</v>
      </c>
      <c r="K27" s="142"/>
      <c r="L27" s="2" t="s">
        <v>317</v>
      </c>
      <c r="M27" s="2" t="s">
        <v>296</v>
      </c>
      <c r="N27" s="2" t="s">
        <v>296</v>
      </c>
      <c r="O27" s="2" t="s">
        <v>298</v>
      </c>
      <c r="P27" s="2" t="s">
        <v>299</v>
      </c>
      <c r="Q27" s="2"/>
      <c r="R27" s="2"/>
      <c r="S27" s="2"/>
    </row>
    <row r="28" spans="2:19" x14ac:dyDescent="0.25">
      <c r="B28" s="17" t="s">
        <v>318</v>
      </c>
      <c r="C28" s="18">
        <v>58</v>
      </c>
      <c r="D28" s="18">
        <v>17.5</v>
      </c>
      <c r="E28" s="18">
        <v>13</v>
      </c>
      <c r="F2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2.9249999999999998</v>
      </c>
      <c r="G2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8" s="140">
        <f>ROUNDUP(Cajas[[#This Row],[Largo]]/2.54,2)</f>
        <v>22.84</v>
      </c>
      <c r="I28" s="18">
        <f>ROUNDUP(Cajas[[#This Row],[Ancho]]/2.54,2)</f>
        <v>6.89</v>
      </c>
      <c r="J28" s="143">
        <f>ROUNDUP(Cajas[[#This Row],[Alto]]/2.54,2)</f>
        <v>5.12</v>
      </c>
      <c r="K28" s="211"/>
      <c r="L28" s="2"/>
      <c r="M28" s="2"/>
      <c r="N28" s="2"/>
      <c r="O28" s="2"/>
      <c r="P28" s="2"/>
      <c r="Q28" s="2"/>
      <c r="R28" s="2"/>
      <c r="S28" s="2"/>
    </row>
    <row r="29" spans="2:19" x14ac:dyDescent="0.25">
      <c r="B29" s="5" t="s">
        <v>319</v>
      </c>
      <c r="C29" s="2">
        <v>64.5</v>
      </c>
      <c r="D29" s="2">
        <v>26.5</v>
      </c>
      <c r="E29" s="2">
        <v>16.5</v>
      </c>
      <c r="F2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5.8436874999999997</v>
      </c>
      <c r="G2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29" s="139">
        <f>ROUNDUP(Cajas[[#This Row],[Largo]]/2.54,2)</f>
        <v>25.400000000000002</v>
      </c>
      <c r="I29" s="2">
        <f>ROUNDUP(Cajas[[#This Row],[Ancho]]/2.54,2)</f>
        <v>10.44</v>
      </c>
      <c r="J29" s="142">
        <f>ROUNDUP(Cajas[[#This Row],[Alto]]/2.54,2)</f>
        <v>6.5</v>
      </c>
      <c r="K29" s="142"/>
      <c r="L29" s="139"/>
      <c r="M29" s="2"/>
      <c r="N29" s="2"/>
      <c r="O29" s="2"/>
      <c r="P29" s="2"/>
      <c r="Q29" s="2"/>
      <c r="R29" s="2"/>
      <c r="S29" s="2"/>
    </row>
    <row r="30" spans="2:19" x14ac:dyDescent="0.25">
      <c r="B30" s="5" t="s">
        <v>320</v>
      </c>
      <c r="C30" s="2">
        <v>73</v>
      </c>
      <c r="D30" s="2">
        <v>13</v>
      </c>
      <c r="E30" s="2">
        <v>23</v>
      </c>
      <c r="F3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4.6875</v>
      </c>
      <c r="G3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0" s="139">
        <f>ROUNDUP(Cajas[[#This Row],[Largo]]/2.54,2)</f>
        <v>28.75</v>
      </c>
      <c r="I30" s="2">
        <f>ROUNDUP(Cajas[[#This Row],[Ancho]]/2.54,2)</f>
        <v>5.12</v>
      </c>
      <c r="J30" s="142">
        <f>ROUNDUP(Cajas[[#This Row],[Alto]]/2.54,2)</f>
        <v>9.06</v>
      </c>
      <c r="K30" s="212"/>
      <c r="L30" s="2"/>
      <c r="M30" s="2"/>
      <c r="N30" s="2"/>
      <c r="O30" s="2"/>
      <c r="P30" s="2"/>
      <c r="Q30" s="2"/>
      <c r="R30" s="2"/>
      <c r="S30" s="2"/>
    </row>
    <row r="31" spans="2:19" x14ac:dyDescent="0.25">
      <c r="B31" s="5" t="s">
        <v>321</v>
      </c>
      <c r="C31" s="2">
        <v>75</v>
      </c>
      <c r="D31" s="2">
        <v>28</v>
      </c>
      <c r="E31" s="2">
        <v>19</v>
      </c>
      <c r="F3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8.0850000000000009</v>
      </c>
      <c r="G3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1" s="139">
        <f>ROUNDUP(Cajas[[#This Row],[Largo]]/2.54,2)</f>
        <v>29.53</v>
      </c>
      <c r="I31" s="2">
        <f>ROUNDUP(Cajas[[#This Row],[Ancho]]/2.54,2)</f>
        <v>11.03</v>
      </c>
      <c r="J31" s="142">
        <f>ROUNDUP(Cajas[[#This Row],[Alto]]/2.54,2)</f>
        <v>7.49</v>
      </c>
      <c r="K31" s="212"/>
      <c r="L31" s="2"/>
      <c r="M31" s="2"/>
      <c r="N31" s="2"/>
      <c r="O31" s="2"/>
      <c r="P31" s="2"/>
      <c r="Q31" s="2"/>
      <c r="R31" s="2"/>
      <c r="S31" s="2"/>
    </row>
    <row r="32" spans="2:19" x14ac:dyDescent="0.25">
      <c r="B32" s="5" t="s">
        <v>322</v>
      </c>
      <c r="C32" s="2">
        <v>75</v>
      </c>
      <c r="D32" s="2">
        <v>34</v>
      </c>
      <c r="E32" s="2">
        <v>16</v>
      </c>
      <c r="F3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8.3160000000000007</v>
      </c>
      <c r="G3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2" s="139">
        <f>ROUNDUP(Cajas[[#This Row],[Largo]]/2.54,2)</f>
        <v>29.53</v>
      </c>
      <c r="I32" s="2">
        <f>ROUNDUP(Cajas[[#This Row],[Ancho]]/2.54,2)</f>
        <v>13.39</v>
      </c>
      <c r="J32" s="142">
        <f>ROUNDUP(Cajas[[#This Row],[Alto]]/2.54,2)</f>
        <v>6.3</v>
      </c>
      <c r="K32" s="142"/>
      <c r="L32" s="139"/>
      <c r="M32" s="2"/>
      <c r="N32" s="2"/>
      <c r="O32" s="2"/>
      <c r="P32" s="2"/>
      <c r="Q32" s="2"/>
      <c r="R32" s="2"/>
      <c r="S32" s="2"/>
    </row>
    <row r="33" spans="2:19" x14ac:dyDescent="0.25">
      <c r="B33" s="5" t="s">
        <v>323</v>
      </c>
      <c r="C33" s="2">
        <v>104</v>
      </c>
      <c r="D33" s="2">
        <v>30</v>
      </c>
      <c r="E33" s="2">
        <v>18</v>
      </c>
      <c r="F3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11.306666666666667</v>
      </c>
      <c r="G3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3" s="139">
        <f>ROUNDUP(Cajas[[#This Row],[Largo]]/2.54,2)</f>
        <v>40.949999999999996</v>
      </c>
      <c r="I33" s="2">
        <f>ROUNDUP(Cajas[[#This Row],[Ancho]]/2.54,2)</f>
        <v>11.82</v>
      </c>
      <c r="J33" s="142">
        <f>ROUNDUP(Cajas[[#This Row],[Alto]]/2.54,2)</f>
        <v>7.09</v>
      </c>
      <c r="K33" s="142"/>
      <c r="L33" s="139"/>
      <c r="M33" s="2"/>
      <c r="N33" s="2"/>
      <c r="O33" s="2"/>
      <c r="P33" s="2"/>
      <c r="Q33" s="2"/>
      <c r="R33" s="2"/>
      <c r="S33" s="2"/>
    </row>
    <row r="34" spans="2:19" x14ac:dyDescent="0.25">
      <c r="B34" s="5" t="s">
        <v>324</v>
      </c>
      <c r="C34" s="2">
        <v>85</v>
      </c>
      <c r="D34" s="2">
        <v>30</v>
      </c>
      <c r="E34" s="2">
        <v>30</v>
      </c>
      <c r="F3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14.848000000000001</v>
      </c>
      <c r="G3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4" s="139">
        <f>ROUNDUP(Cajas[[#This Row],[Largo]]/2.54,2)</f>
        <v>33.47</v>
      </c>
      <c r="I34" s="2">
        <f>ROUNDUP(Cajas[[#This Row],[Ancho]]/2.54,2)</f>
        <v>11.82</v>
      </c>
      <c r="J34" s="142">
        <f>ROUNDUP(Cajas[[#This Row],[Alto]]/2.54,2)</f>
        <v>11.82</v>
      </c>
      <c r="K34" s="142"/>
      <c r="L34" s="139"/>
      <c r="M34" s="2"/>
      <c r="N34" s="2"/>
      <c r="O34" s="2"/>
      <c r="P34" s="2"/>
      <c r="Q34" s="2"/>
      <c r="R34" s="2"/>
      <c r="S34" s="2"/>
    </row>
    <row r="35" spans="2:19" ht="15.75" thickBot="1" x14ac:dyDescent="0.3">
      <c r="B35" s="5" t="s">
        <v>325</v>
      </c>
      <c r="C35" s="2">
        <v>104</v>
      </c>
      <c r="D35" s="2">
        <v>30</v>
      </c>
      <c r="E35" s="2">
        <v>30</v>
      </c>
      <c r="F3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18.090666666666667</v>
      </c>
      <c r="G3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5" s="139">
        <f>ROUNDUP(Cajas[[#This Row],[Largo]]/2.54,2)</f>
        <v>40.949999999999996</v>
      </c>
      <c r="I35" s="2">
        <f>ROUNDUP(Cajas[[#This Row],[Ancho]]/2.54,2)</f>
        <v>11.82</v>
      </c>
      <c r="J35" s="142">
        <f>ROUNDUP(Cajas[[#This Row],[Alto]]/2.54,2)</f>
        <v>11.82</v>
      </c>
      <c r="K35" s="142"/>
      <c r="L35" s="139"/>
      <c r="M35" s="2"/>
      <c r="N35" s="2"/>
      <c r="O35" s="2"/>
      <c r="P35" s="2"/>
      <c r="Q35" s="2"/>
      <c r="R35" s="2"/>
      <c r="S35" s="2"/>
    </row>
    <row r="36" spans="2:19" x14ac:dyDescent="0.25">
      <c r="B36" s="17" t="s">
        <v>326</v>
      </c>
      <c r="C36" s="18">
        <v>103</v>
      </c>
      <c r="D36" s="18">
        <v>18.600000000000001</v>
      </c>
      <c r="E36" s="18">
        <v>14.1</v>
      </c>
      <c r="F36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5.8040500000000002</v>
      </c>
      <c r="G36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6" s="140">
        <f>ROUNDUP(Cajas[[#This Row],[Largo]]/2.54,2)</f>
        <v>40.559999999999995</v>
      </c>
      <c r="I36" s="18">
        <f>ROUNDUP(Cajas[[#This Row],[Ancho]]/2.54,2)</f>
        <v>7.33</v>
      </c>
      <c r="J36" s="143">
        <f>ROUNDUP(Cajas[[#This Row],[Alto]]/2.54,2)</f>
        <v>5.56</v>
      </c>
      <c r="K36" s="143"/>
      <c r="L36" s="139"/>
      <c r="M36" s="2"/>
      <c r="N36" s="2"/>
      <c r="O36" s="2"/>
      <c r="P36" s="2"/>
      <c r="Q36" s="2"/>
      <c r="R36" s="2"/>
      <c r="S36" s="2"/>
    </row>
    <row r="37" spans="2:19" x14ac:dyDescent="0.25">
      <c r="B37" s="5" t="s">
        <v>327</v>
      </c>
      <c r="C37" s="2">
        <v>104.4</v>
      </c>
      <c r="D37" s="2">
        <v>25.2</v>
      </c>
      <c r="E37" s="2">
        <v>12.1</v>
      </c>
      <c r="F3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6.801088</v>
      </c>
      <c r="G3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7" s="139">
        <f>ROUNDUP(Cajas[[#This Row],[Largo]]/2.54,2)</f>
        <v>41.11</v>
      </c>
      <c r="I37" s="2">
        <f>ROUNDUP(Cajas[[#This Row],[Ancho]]/2.54,2)</f>
        <v>9.93</v>
      </c>
      <c r="J37" s="142">
        <f>ROUNDUP(Cajas[[#This Row],[Alto]]/2.54,2)</f>
        <v>4.7699999999999996</v>
      </c>
      <c r="K37" s="142"/>
      <c r="L37" s="139"/>
      <c r="M37" s="2"/>
      <c r="N37" s="2"/>
      <c r="O37" s="2"/>
      <c r="P37" s="2"/>
      <c r="Q37" s="2"/>
      <c r="R37" s="2"/>
      <c r="S37" s="2"/>
    </row>
    <row r="38" spans="2:19" x14ac:dyDescent="0.25">
      <c r="B38" s="5" t="s">
        <v>328</v>
      </c>
      <c r="C38" s="252">
        <v>99.4</v>
      </c>
      <c r="D38" s="252">
        <v>26</v>
      </c>
      <c r="E38" s="252">
        <v>15.7</v>
      </c>
      <c r="F3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8.3756400000000006</v>
      </c>
      <c r="G3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38" s="139">
        <f>ROUNDUP(Cajas[[#This Row],[Largo]]/2.54,2)</f>
        <v>39.14</v>
      </c>
      <c r="I38" s="2">
        <f>ROUNDUP(Cajas[[#This Row],[Ancho]]/2.54,2)</f>
        <v>10.24</v>
      </c>
      <c r="J38" s="142">
        <f>ROUNDUP(Cajas[[#This Row],[Alto]]/2.54,2)</f>
        <v>6.1899999999999995</v>
      </c>
      <c r="K38" s="142"/>
      <c r="L38" s="139"/>
      <c r="M38" s="2"/>
      <c r="N38" s="2"/>
      <c r="O38" s="2"/>
      <c r="P38" s="2"/>
      <c r="Q38" s="2"/>
      <c r="R38" s="2"/>
      <c r="S38" s="2"/>
    </row>
    <row r="39" spans="2:19" x14ac:dyDescent="0.25">
      <c r="B39" s="5" t="s">
        <v>329</v>
      </c>
      <c r="C39" s="253">
        <v>104.4</v>
      </c>
      <c r="D39" s="253">
        <v>25.2</v>
      </c>
      <c r="E39" s="253">
        <v>20.6</v>
      </c>
      <c r="F3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10.901034666666668</v>
      </c>
      <c r="G3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39" s="139">
        <f>ROUNDUP(Cajas[[#This Row],[Largo]]/2.54,2)</f>
        <v>41.11</v>
      </c>
      <c r="I39" s="2">
        <f>ROUNDUP(Cajas[[#This Row],[Ancho]]/2.54,2)</f>
        <v>9.93</v>
      </c>
      <c r="J39" s="142">
        <f>ROUNDUP(Cajas[[#This Row],[Alto]]/2.54,2)</f>
        <v>8.1199999999999992</v>
      </c>
      <c r="K39" s="142"/>
      <c r="L39" s="139"/>
      <c r="M39" s="2"/>
      <c r="N39" s="2"/>
      <c r="O39" s="2"/>
      <c r="P39" s="2"/>
      <c r="Q39" s="2"/>
      <c r="R39" s="2"/>
      <c r="S39" s="2"/>
    </row>
    <row r="40" spans="2:19" ht="15.75" thickBot="1" x14ac:dyDescent="0.3">
      <c r="B40" s="5" t="s">
        <v>330</v>
      </c>
      <c r="C40" s="2">
        <v>120</v>
      </c>
      <c r="D40" s="2">
        <v>30</v>
      </c>
      <c r="E40" s="2">
        <v>30</v>
      </c>
      <c r="F4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4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0" s="139">
        <f>ROUNDUP(Cajas[[#This Row],[Largo]]/2.54,2)</f>
        <v>47.25</v>
      </c>
      <c r="I40" s="2">
        <f>ROUNDUP(Cajas[[#This Row],[Ancho]]/2.54,2)</f>
        <v>11.82</v>
      </c>
      <c r="J40" s="142">
        <f>ROUNDUP(Cajas[[#This Row],[Alto]]/2.54,2)</f>
        <v>11.82</v>
      </c>
      <c r="K40" s="142"/>
      <c r="L40" s="139"/>
      <c r="M40" s="2"/>
      <c r="N40" s="2"/>
      <c r="O40" s="2"/>
      <c r="P40" s="2"/>
      <c r="Q40" s="2"/>
      <c r="R40" s="2"/>
      <c r="S40" s="2"/>
    </row>
    <row r="41" spans="2:19" x14ac:dyDescent="0.25">
      <c r="B41" s="17" t="s">
        <v>331</v>
      </c>
      <c r="C41" s="18">
        <v>39</v>
      </c>
      <c r="D41" s="18">
        <v>59</v>
      </c>
      <c r="E41" s="18">
        <v>31</v>
      </c>
      <c r="F41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13.7555</v>
      </c>
      <c r="G41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1" s="140">
        <f>ROUNDUP(Cajas[[#This Row],[Largo]]/2.54,2)</f>
        <v>15.36</v>
      </c>
      <c r="I41" s="18">
        <f>ROUNDUP(Cajas[[#This Row],[Ancho]]/2.54,2)</f>
        <v>23.23</v>
      </c>
      <c r="J41" s="143">
        <f>ROUNDUP(Cajas[[#This Row],[Alto]]/2.54,2)</f>
        <v>12.209999999999999</v>
      </c>
      <c r="K41" s="143"/>
      <c r="L41" s="139"/>
      <c r="M41" s="2" t="s">
        <v>332</v>
      </c>
      <c r="N41" s="2"/>
      <c r="O41" s="2"/>
      <c r="P41" s="2"/>
      <c r="Q41" s="2"/>
      <c r="R41" s="2"/>
      <c r="S41" s="2"/>
    </row>
    <row r="42" spans="2:19" ht="15.75" thickBot="1" x14ac:dyDescent="0.3">
      <c r="B42" s="5" t="s">
        <v>333</v>
      </c>
      <c r="C42" s="2">
        <v>120</v>
      </c>
      <c r="D42" s="2">
        <v>30</v>
      </c>
      <c r="E42" s="2">
        <v>30</v>
      </c>
      <c r="F4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42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2" s="139">
        <f>ROUNDUP(Cajas[[#This Row],[Largo]]/2.54,2)</f>
        <v>47.25</v>
      </c>
      <c r="I42" s="2">
        <f>ROUNDUP(Cajas[[#This Row],[Ancho]]/2.54,2)</f>
        <v>11.82</v>
      </c>
      <c r="J42" s="142">
        <f>ROUNDUP(Cajas[[#This Row],[Alto]]/2.54,2)</f>
        <v>11.82</v>
      </c>
      <c r="K42" s="142"/>
      <c r="L42" s="139"/>
      <c r="M42" s="2"/>
      <c r="N42" s="2"/>
      <c r="O42" s="2"/>
      <c r="P42" s="2"/>
      <c r="Q42" s="2"/>
      <c r="R42" s="2"/>
      <c r="S42" s="2"/>
    </row>
    <row r="43" spans="2:19" x14ac:dyDescent="0.25">
      <c r="B43" s="17" t="s">
        <v>334</v>
      </c>
      <c r="C43" s="18">
        <v>104</v>
      </c>
      <c r="D43" s="18">
        <v>14</v>
      </c>
      <c r="E43" s="18">
        <v>25</v>
      </c>
      <c r="F43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7.6319999999999997</v>
      </c>
      <c r="G4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3" s="140">
        <f>ROUNDUP(Cajas[[#This Row],[Largo]]/2.54,2)</f>
        <v>40.949999999999996</v>
      </c>
      <c r="I43" s="18">
        <f>ROUNDUP(Cajas[[#This Row],[Ancho]]/2.54,2)</f>
        <v>5.52</v>
      </c>
      <c r="J43" s="143">
        <f>ROUNDUP(Cajas[[#This Row],[Alto]]/2.54,2)</f>
        <v>9.85</v>
      </c>
      <c r="K43" s="143"/>
      <c r="L43" s="139"/>
      <c r="M43" s="2"/>
      <c r="N43" s="2"/>
      <c r="O43" s="2"/>
      <c r="P43" s="2"/>
      <c r="Q43" s="2"/>
      <c r="R43" s="2"/>
      <c r="S43" s="2"/>
    </row>
    <row r="44" spans="2:19" ht="15.75" thickBot="1" x14ac:dyDescent="0.3">
      <c r="B44" s="72" t="s">
        <v>335</v>
      </c>
      <c r="C44" s="73">
        <v>104</v>
      </c>
      <c r="D44" s="73">
        <v>18</v>
      </c>
      <c r="E44" s="73">
        <v>25</v>
      </c>
      <c r="F44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9.5399999999999991</v>
      </c>
      <c r="G4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4" s="141">
        <f>ROUNDUP(Cajas[[#This Row],[Largo]]/2.54,2)</f>
        <v>40.949999999999996</v>
      </c>
      <c r="I44" s="73">
        <f>ROUNDUP(Cajas[[#This Row],[Ancho]]/2.54,2)</f>
        <v>7.09</v>
      </c>
      <c r="J44" s="144">
        <f>ROUNDUP(Cajas[[#This Row],[Alto]]/2.54,2)</f>
        <v>9.85</v>
      </c>
      <c r="K44" s="144"/>
      <c r="L44" s="139"/>
      <c r="M44" s="2"/>
      <c r="N44" s="2"/>
      <c r="O44" s="2"/>
      <c r="P44" s="2"/>
      <c r="Q44" s="2"/>
      <c r="R44" s="2"/>
      <c r="S44" s="2"/>
    </row>
    <row r="45" spans="2:19" x14ac:dyDescent="0.25">
      <c r="B45" s="5" t="s">
        <v>336</v>
      </c>
      <c r="C45" s="2">
        <v>104</v>
      </c>
      <c r="D45" s="2">
        <v>12.5</v>
      </c>
      <c r="E45" s="2">
        <v>12</v>
      </c>
      <c r="F4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3.5863333333333332</v>
      </c>
      <c r="G45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5" s="139">
        <f>ROUNDUP(Cajas[[#This Row],[Largo]]/2.54,2)</f>
        <v>40.949999999999996</v>
      </c>
      <c r="I45" s="2">
        <f>ROUNDUP(Cajas[[#This Row],[Ancho]]/2.54,2)</f>
        <v>4.93</v>
      </c>
      <c r="J45" s="142">
        <f>ROUNDUP(Cajas[[#This Row],[Alto]]/2.54,2)</f>
        <v>4.7299999999999995</v>
      </c>
      <c r="K45" s="142"/>
      <c r="L45" s="2"/>
      <c r="M45" s="2"/>
      <c r="N45" s="2"/>
      <c r="O45" s="2"/>
      <c r="P45" s="2"/>
      <c r="Q45" s="2"/>
      <c r="R45" s="2"/>
      <c r="S45" s="2"/>
    </row>
    <row r="46" spans="2:19" x14ac:dyDescent="0.25">
      <c r="B46" s="5" t="s">
        <v>337</v>
      </c>
      <c r="C46" s="2">
        <v>104</v>
      </c>
      <c r="D46" s="2">
        <v>25</v>
      </c>
      <c r="E46" s="2">
        <v>15</v>
      </c>
      <c r="F4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8.109</v>
      </c>
      <c r="G46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6" s="139">
        <f>ROUNDUP(Cajas[[#This Row],[Largo]]/2.54,2)</f>
        <v>40.949999999999996</v>
      </c>
      <c r="I46" s="2">
        <f>ROUNDUP(Cajas[[#This Row],[Ancho]]/2.54,2)</f>
        <v>9.85</v>
      </c>
      <c r="J46" s="142">
        <f>ROUNDUP(Cajas[[#This Row],[Alto]]/2.54,2)</f>
        <v>5.91</v>
      </c>
      <c r="K46" s="142"/>
      <c r="L46" s="2"/>
      <c r="M46" s="2"/>
      <c r="N46" s="2"/>
      <c r="O46" s="2"/>
      <c r="P46" s="2"/>
      <c r="Q46" s="2"/>
      <c r="R46" s="2"/>
      <c r="S46" s="2"/>
    </row>
    <row r="47" spans="2:19" x14ac:dyDescent="0.25">
      <c r="B47" s="5" t="s">
        <v>338</v>
      </c>
      <c r="C47" s="2">
        <v>104</v>
      </c>
      <c r="D47" s="2">
        <v>35</v>
      </c>
      <c r="E47" s="2">
        <v>35</v>
      </c>
      <c r="F4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24.185666666666666</v>
      </c>
      <c r="G47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7" s="139">
        <f>ROUNDUP(Cajas[[#This Row],[Largo]]/2.54,2)</f>
        <v>40.949999999999996</v>
      </c>
      <c r="I47" s="2">
        <f>ROUNDUP(Cajas[[#This Row],[Ancho]]/2.54,2)</f>
        <v>13.78</v>
      </c>
      <c r="J47" s="142">
        <f>ROUNDUP(Cajas[[#This Row],[Alto]]/2.54,2)</f>
        <v>13.78</v>
      </c>
      <c r="K47" s="142"/>
      <c r="L47" s="2"/>
      <c r="M47" s="2"/>
      <c r="N47" s="2"/>
      <c r="O47" s="2"/>
      <c r="P47" s="2"/>
      <c r="Q47" s="2"/>
      <c r="R47" s="2"/>
      <c r="S47" s="2"/>
    </row>
    <row r="48" spans="2:19" ht="15.75" thickBot="1" x14ac:dyDescent="0.3">
      <c r="B48" s="5" t="s">
        <v>339</v>
      </c>
      <c r="C48" s="2">
        <v>120</v>
      </c>
      <c r="D48" s="2">
        <v>35</v>
      </c>
      <c r="E48" s="2">
        <v>35</v>
      </c>
      <c r="F4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48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48" s="139">
        <f>ROUNDUP(Cajas[[#This Row],[Largo]]/2.54,2)</f>
        <v>47.25</v>
      </c>
      <c r="I48" s="2">
        <f>ROUNDUP(Cajas[[#This Row],[Ancho]]/2.54,2)</f>
        <v>13.78</v>
      </c>
      <c r="J48" s="142">
        <f>ROUNDUP(Cajas[[#This Row],[Alto]]/2.54,2)</f>
        <v>13.78</v>
      </c>
      <c r="K48" s="142"/>
      <c r="L48" s="2"/>
      <c r="M48" s="2"/>
      <c r="N48" s="2"/>
      <c r="O48" s="2"/>
      <c r="P48" s="2"/>
      <c r="Q48" s="2"/>
      <c r="R48" s="2"/>
      <c r="S48" s="2"/>
    </row>
    <row r="49" spans="2:19" x14ac:dyDescent="0.25">
      <c r="B49" s="17" t="s">
        <v>340</v>
      </c>
      <c r="C49" s="18">
        <v>104</v>
      </c>
      <c r="D49" s="18">
        <v>13</v>
      </c>
      <c r="E49" s="18">
        <v>12</v>
      </c>
      <c r="F49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3.71</v>
      </c>
      <c r="G49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49" s="140">
        <f>ROUNDUP(Cajas[[#This Row],[Largo]]/2.54,2)</f>
        <v>40.949999999999996</v>
      </c>
      <c r="I49" s="18">
        <f>ROUNDUP(Cajas[[#This Row],[Ancho]]/2.54,2)</f>
        <v>5.12</v>
      </c>
      <c r="J49" s="143">
        <f>ROUNDUP(Cajas[[#This Row],[Alto]]/2.54,2)</f>
        <v>4.7299999999999995</v>
      </c>
      <c r="K49" s="143"/>
      <c r="L49" s="139"/>
      <c r="M49" s="2"/>
      <c r="N49" s="2"/>
      <c r="O49" s="2"/>
      <c r="P49" s="2"/>
      <c r="Q49" s="2"/>
      <c r="R49" s="2"/>
      <c r="S49" s="2"/>
    </row>
    <row r="50" spans="2:19" ht="15.75" thickBot="1" x14ac:dyDescent="0.3">
      <c r="B50" s="72" t="s">
        <v>341</v>
      </c>
      <c r="C50" s="73">
        <v>104</v>
      </c>
      <c r="D50" s="73">
        <v>25</v>
      </c>
      <c r="E50" s="73">
        <v>12</v>
      </c>
      <c r="F50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6.6779999999999999</v>
      </c>
      <c r="G50" s="7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0" s="141">
        <f>ROUNDUP(Cajas[[#This Row],[Largo]]/2.54,2)</f>
        <v>40.949999999999996</v>
      </c>
      <c r="I50" s="73">
        <f>ROUNDUP(Cajas[[#This Row],[Ancho]]/2.54,2)</f>
        <v>9.85</v>
      </c>
      <c r="J50" s="144">
        <f>ROUNDUP(Cajas[[#This Row],[Alto]]/2.54,2)</f>
        <v>4.7299999999999995</v>
      </c>
      <c r="K50" s="144"/>
      <c r="L50" s="139"/>
      <c r="M50" s="2"/>
      <c r="N50" s="2"/>
      <c r="O50" s="2"/>
      <c r="P50" s="2"/>
      <c r="Q50" s="2"/>
      <c r="R50" s="2"/>
      <c r="S50" s="2"/>
    </row>
    <row r="51" spans="2:19" x14ac:dyDescent="0.25">
      <c r="B51" s="5" t="s">
        <v>342</v>
      </c>
      <c r="C51" s="2">
        <v>102</v>
      </c>
      <c r="D51" s="2">
        <v>16</v>
      </c>
      <c r="E51" s="2">
        <v>30</v>
      </c>
      <c r="F5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9.984</v>
      </c>
      <c r="G5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1" s="139">
        <f>ROUNDUP(Cajas[[#This Row],[Largo]]/2.54,2)</f>
        <v>40.159999999999997</v>
      </c>
      <c r="I51" s="2">
        <f>ROUNDUP(Cajas[[#This Row],[Ancho]]/2.54,2)</f>
        <v>6.3</v>
      </c>
      <c r="J51" s="142">
        <f>ROUNDUP(Cajas[[#This Row],[Alto]]/2.54,2)</f>
        <v>11.82</v>
      </c>
      <c r="K51" s="212"/>
      <c r="L51" s="2"/>
      <c r="M51" s="2"/>
      <c r="N51" s="2"/>
      <c r="O51" s="2"/>
      <c r="P51" s="2"/>
      <c r="Q51" s="2"/>
      <c r="R51" s="2"/>
      <c r="S51" s="2"/>
    </row>
    <row r="52" spans="2:19" x14ac:dyDescent="0.25">
      <c r="B52" s="5" t="s">
        <v>343</v>
      </c>
      <c r="C52" s="2">
        <v>105</v>
      </c>
      <c r="D52" s="2">
        <v>30</v>
      </c>
      <c r="E52" s="2">
        <v>30</v>
      </c>
      <c r="F5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5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2" s="139">
        <f>ROUNDUP(Cajas[[#This Row],[Largo]]/2.54,2)</f>
        <v>41.339999999999996</v>
      </c>
      <c r="I52" s="2">
        <f>ROUNDUP(Cajas[[#This Row],[Ancho]]/2.54,2)</f>
        <v>11.82</v>
      </c>
      <c r="J52" s="142">
        <f>ROUNDUP(Cajas[[#This Row],[Alto]]/2.54,2)</f>
        <v>11.82</v>
      </c>
      <c r="K52" s="212"/>
      <c r="L52" s="2"/>
      <c r="M52" s="2"/>
      <c r="N52" s="2"/>
      <c r="O52" s="2"/>
      <c r="P52" s="2"/>
      <c r="Q52" s="2"/>
      <c r="R52" s="2"/>
      <c r="S52" s="2"/>
    </row>
    <row r="53" spans="2:19" ht="15.75" thickBot="1" x14ac:dyDescent="0.3">
      <c r="B53" s="5" t="s">
        <v>344</v>
      </c>
      <c r="C53" s="2">
        <v>118</v>
      </c>
      <c r="D53" s="2">
        <v>30</v>
      </c>
      <c r="E53" s="2">
        <v>30</v>
      </c>
      <c r="F5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20.48</v>
      </c>
      <c r="G5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3" s="139">
        <f>ROUNDUP(Cajas[[#This Row],[Largo]]/2.54,2)</f>
        <v>46.46</v>
      </c>
      <c r="I53" s="2">
        <f>ROUNDUP(Cajas[[#This Row],[Ancho]]/2.54,2)</f>
        <v>11.82</v>
      </c>
      <c r="J53" s="142">
        <f>ROUNDUP(Cajas[[#This Row],[Alto]]/2.54,2)</f>
        <v>11.82</v>
      </c>
      <c r="K53" s="212"/>
      <c r="L53" s="2"/>
      <c r="M53" s="2"/>
      <c r="N53" s="2"/>
      <c r="O53" s="2"/>
      <c r="P53" s="2"/>
      <c r="Q53" s="2"/>
      <c r="R53" s="2"/>
      <c r="S53" s="2"/>
    </row>
    <row r="54" spans="2:19" x14ac:dyDescent="0.25">
      <c r="B54" s="17" t="s">
        <v>345</v>
      </c>
      <c r="C54" s="18">
        <v>75</v>
      </c>
      <c r="D54" s="18">
        <v>18</v>
      </c>
      <c r="E54" s="18">
        <v>15</v>
      </c>
      <c r="F54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4.3633333333333333</v>
      </c>
      <c r="G54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4" s="140">
        <f>ROUNDUP(Cajas[[#This Row],[Largo]]/2.54,2)</f>
        <v>29.53</v>
      </c>
      <c r="I54" s="18">
        <f>ROUNDUP(Cajas[[#This Row],[Ancho]]/2.54,2)</f>
        <v>7.09</v>
      </c>
      <c r="J54" s="143">
        <f>ROUNDUP(Cajas[[#This Row],[Alto]]/2.54,2)</f>
        <v>5.91</v>
      </c>
      <c r="K54" s="211"/>
      <c r="L54" s="139" t="s">
        <v>346</v>
      </c>
      <c r="M54" s="2" t="s">
        <v>346</v>
      </c>
      <c r="N54" s="2" t="s">
        <v>346</v>
      </c>
      <c r="O54" s="2"/>
      <c r="P54" s="2"/>
      <c r="Q54" s="2"/>
      <c r="R54" s="2"/>
      <c r="S54" s="2"/>
    </row>
    <row r="55" spans="2:19" x14ac:dyDescent="0.25">
      <c r="B55" s="5" t="s">
        <v>347</v>
      </c>
      <c r="C55" s="2">
        <v>82.5</v>
      </c>
      <c r="D55" s="2">
        <v>32.5</v>
      </c>
      <c r="E55" s="2">
        <v>18</v>
      </c>
      <c r="F5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9.7174999999999994</v>
      </c>
      <c r="G5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5" s="139">
        <f>ROUNDUP(Cajas[[#This Row],[Largo]]/2.54,2)</f>
        <v>32.489999999999995</v>
      </c>
      <c r="I55" s="2">
        <f>ROUNDUP(Cajas[[#This Row],[Ancho]]/2.54,2)</f>
        <v>12.799999999999999</v>
      </c>
      <c r="J55" s="142">
        <f>ROUNDUP(Cajas[[#This Row],[Alto]]/2.54,2)</f>
        <v>7.09</v>
      </c>
      <c r="K55" s="212"/>
      <c r="L55" s="139" t="s">
        <v>311</v>
      </c>
      <c r="M55" s="2" t="s">
        <v>311</v>
      </c>
      <c r="N55" s="2" t="s">
        <v>312</v>
      </c>
      <c r="O55" s="2"/>
      <c r="P55" s="2"/>
      <c r="Q55" s="2"/>
      <c r="R55" s="2"/>
      <c r="S55" s="2"/>
    </row>
    <row r="56" spans="2:19" x14ac:dyDescent="0.25">
      <c r="B56" s="5" t="s">
        <v>348</v>
      </c>
      <c r="C56" s="2">
        <v>92.5</v>
      </c>
      <c r="D56" s="2">
        <v>32.5</v>
      </c>
      <c r="E56" s="2">
        <v>20</v>
      </c>
      <c r="F5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11.95425</v>
      </c>
      <c r="G56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6" s="139">
        <f>ROUNDUP(Cajas[[#This Row],[Largo]]/2.54,2)</f>
        <v>36.419999999999995</v>
      </c>
      <c r="I56" s="2">
        <f>ROUNDUP(Cajas[[#This Row],[Ancho]]/2.54,2)</f>
        <v>12.799999999999999</v>
      </c>
      <c r="J56" s="142">
        <f>ROUNDUP(Cajas[[#This Row],[Alto]]/2.54,2)</f>
        <v>7.88</v>
      </c>
      <c r="K56" s="212"/>
      <c r="L56" s="139"/>
      <c r="M56" s="2" t="s">
        <v>308</v>
      </c>
      <c r="N56" s="2" t="s">
        <v>311</v>
      </c>
      <c r="O56" s="2" t="s">
        <v>312</v>
      </c>
      <c r="P56" s="2" t="s">
        <v>312</v>
      </c>
      <c r="Q56" s="2"/>
      <c r="R56" s="2"/>
      <c r="S56" s="2"/>
    </row>
    <row r="57" spans="2:19" x14ac:dyDescent="0.25">
      <c r="B57" s="5" t="s">
        <v>349</v>
      </c>
      <c r="C57" s="2">
        <v>113.5</v>
      </c>
      <c r="D57" s="2">
        <v>32.5</v>
      </c>
      <c r="E57" s="2">
        <v>20</v>
      </c>
      <c r="F5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14.610749999999999</v>
      </c>
      <c r="G57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7" s="139">
        <f>ROUNDUP(Cajas[[#This Row],[Largo]]/2.54,2)</f>
        <v>44.69</v>
      </c>
      <c r="I57" s="2">
        <f>ROUNDUP(Cajas[[#This Row],[Ancho]]/2.54,2)</f>
        <v>12.799999999999999</v>
      </c>
      <c r="J57" s="142">
        <f>ROUNDUP(Cajas[[#This Row],[Alto]]/2.54,2)</f>
        <v>7.88</v>
      </c>
      <c r="K57" s="212"/>
      <c r="L57" s="139"/>
      <c r="M57" s="2"/>
      <c r="N57" s="2" t="s">
        <v>311</v>
      </c>
      <c r="O57" s="2" t="s">
        <v>312</v>
      </c>
      <c r="P57" s="2" t="s">
        <v>312</v>
      </c>
      <c r="Q57" s="2"/>
      <c r="R57" s="2"/>
      <c r="S57" s="2"/>
    </row>
    <row r="58" spans="2:19" x14ac:dyDescent="0.25">
      <c r="B58" s="5" t="s">
        <v>350</v>
      </c>
      <c r="C58" s="2">
        <v>100</v>
      </c>
      <c r="D58" s="2">
        <v>32</v>
      </c>
      <c r="E58" s="2">
        <v>30.8</v>
      </c>
      <c r="F5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18.958399999999997</v>
      </c>
      <c r="G58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58" s="139">
        <f>ROUNDUP(Cajas[[#This Row],[Largo]]/2.54,2)</f>
        <v>39.379999999999995</v>
      </c>
      <c r="I58" s="2">
        <f>ROUNDUP(Cajas[[#This Row],[Ancho]]/2.54,2)</f>
        <v>12.6</v>
      </c>
      <c r="J58" s="142">
        <f>ROUNDUP(Cajas[[#This Row],[Alto]]/2.54,2)</f>
        <v>12.129999999999999</v>
      </c>
      <c r="K58" s="212"/>
      <c r="L58" s="139" t="s">
        <v>305</v>
      </c>
      <c r="M58" s="2" t="s">
        <v>300</v>
      </c>
      <c r="N58" s="2" t="s">
        <v>300</v>
      </c>
      <c r="O58" s="2" t="s">
        <v>300</v>
      </c>
      <c r="P58" s="2" t="s">
        <v>303</v>
      </c>
      <c r="Q58" s="2"/>
      <c r="R58" s="2"/>
      <c r="S58" s="2"/>
    </row>
    <row r="59" spans="2:19" x14ac:dyDescent="0.25">
      <c r="B59" s="5" t="s">
        <v>351</v>
      </c>
      <c r="C59" s="2">
        <v>108</v>
      </c>
      <c r="D59" s="2">
        <v>32</v>
      </c>
      <c r="E59" s="2">
        <v>30.8</v>
      </c>
      <c r="F5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20.44533333333333</v>
      </c>
      <c r="G59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59" s="139">
        <f>ROUNDUP(Cajas[[#This Row],[Largo]]/2.54,2)</f>
        <v>42.519999999999996</v>
      </c>
      <c r="I59" s="2">
        <f>ROUNDUP(Cajas[[#This Row],[Ancho]]/2.54,2)</f>
        <v>12.6</v>
      </c>
      <c r="J59" s="142">
        <f>ROUNDUP(Cajas[[#This Row],[Alto]]/2.54,2)</f>
        <v>12.129999999999999</v>
      </c>
      <c r="K59" s="212"/>
      <c r="L59" s="139" t="s">
        <v>352</v>
      </c>
      <c r="M59" s="2" t="s">
        <v>305</v>
      </c>
      <c r="N59" s="2" t="s">
        <v>300</v>
      </c>
      <c r="O59" s="2" t="s">
        <v>300</v>
      </c>
      <c r="P59" s="2" t="s">
        <v>300</v>
      </c>
      <c r="Q59" s="2"/>
      <c r="R59" s="2"/>
      <c r="S59" s="2"/>
    </row>
    <row r="60" spans="2:19" x14ac:dyDescent="0.25">
      <c r="B60" s="5" t="s">
        <v>353</v>
      </c>
      <c r="C60" s="2">
        <v>120</v>
      </c>
      <c r="D60" s="2">
        <v>35</v>
      </c>
      <c r="E60" s="2">
        <v>35</v>
      </c>
      <c r="F6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60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60" s="139">
        <f>ROUNDUP(Cajas[[#This Row],[Largo]]/2.54,2)</f>
        <v>47.25</v>
      </c>
      <c r="I60" s="2">
        <f>ROUNDUP(Cajas[[#This Row],[Ancho]]/2.54,2)</f>
        <v>13.78</v>
      </c>
      <c r="J60" s="142">
        <f>ROUNDUP(Cajas[[#This Row],[Alto]]/2.54,2)</f>
        <v>13.78</v>
      </c>
      <c r="K60" s="212"/>
      <c r="L60" s="139" t="s">
        <v>354</v>
      </c>
      <c r="M60" s="2" t="s">
        <v>355</v>
      </c>
      <c r="N60" s="2" t="s">
        <v>356</v>
      </c>
      <c r="O60" s="2" t="s">
        <v>352</v>
      </c>
      <c r="P60" s="2" t="s">
        <v>305</v>
      </c>
      <c r="Q60" s="2"/>
      <c r="R60" s="2"/>
      <c r="S60" s="2"/>
    </row>
    <row r="61" spans="2:19" ht="15.75" thickBot="1" x14ac:dyDescent="0.3">
      <c r="B61" s="72" t="s">
        <v>357</v>
      </c>
      <c r="C61" s="73">
        <v>150</v>
      </c>
      <c r="D61" s="73">
        <v>40</v>
      </c>
      <c r="E61" s="73">
        <v>35</v>
      </c>
      <c r="F61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39.368000000000002</v>
      </c>
      <c r="G61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61" s="141">
        <f>ROUNDUP(Cajas[[#This Row],[Largo]]/2.54,2)</f>
        <v>59.059999999999995</v>
      </c>
      <c r="I61" s="73">
        <f>ROUNDUP(Cajas[[#This Row],[Ancho]]/2.54,2)</f>
        <v>15.75</v>
      </c>
      <c r="J61" s="144">
        <f>ROUNDUP(Cajas[[#This Row],[Alto]]/2.54,2)</f>
        <v>13.78</v>
      </c>
      <c r="K61" s="213"/>
      <c r="L61" s="139" t="s">
        <v>358</v>
      </c>
      <c r="M61" s="2" t="s">
        <v>317</v>
      </c>
      <c r="N61" s="2" t="s">
        <v>359</v>
      </c>
      <c r="O61" s="2" t="s">
        <v>355</v>
      </c>
      <c r="P61" s="2" t="s">
        <v>356</v>
      </c>
      <c r="Q61" s="2"/>
      <c r="R61" s="2"/>
      <c r="S61" s="2"/>
    </row>
    <row r="62" spans="2:19" x14ac:dyDescent="0.25">
      <c r="B62" s="17" t="s">
        <v>360</v>
      </c>
      <c r="C62" s="18">
        <v>104</v>
      </c>
      <c r="D62" s="18">
        <v>13</v>
      </c>
      <c r="E62" s="18">
        <v>12</v>
      </c>
      <c r="F62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3.71</v>
      </c>
      <c r="G6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2" s="140">
        <f>ROUNDUP(Cajas[[#This Row],[Largo]]/2.54,2)</f>
        <v>40.949999999999996</v>
      </c>
      <c r="I62" s="18">
        <f>ROUNDUP(Cajas[[#This Row],[Ancho]]/2.54,2)</f>
        <v>5.12</v>
      </c>
      <c r="J62" s="143">
        <f>ROUNDUP(Cajas[[#This Row],[Alto]]/2.54,2)</f>
        <v>4.7299999999999995</v>
      </c>
      <c r="K62" s="143"/>
      <c r="L62" s="139"/>
      <c r="M62" s="2"/>
      <c r="N62" s="2"/>
      <c r="O62" s="2"/>
      <c r="P62" s="2"/>
      <c r="Q62" s="2"/>
      <c r="R62" s="2"/>
      <c r="S62" s="2"/>
    </row>
    <row r="63" spans="2:19" x14ac:dyDescent="0.25">
      <c r="B63" s="5" t="s">
        <v>361</v>
      </c>
      <c r="C63" s="2">
        <v>104</v>
      </c>
      <c r="D63" s="2">
        <v>25</v>
      </c>
      <c r="E63" s="2">
        <v>12</v>
      </c>
      <c r="F6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6.6779999999999999</v>
      </c>
      <c r="G6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3" s="139">
        <f>ROUNDUP(Cajas[[#This Row],[Largo]]/2.54,2)</f>
        <v>40.949999999999996</v>
      </c>
      <c r="I63" s="2">
        <f>ROUNDUP(Cajas[[#This Row],[Ancho]]/2.54,2)</f>
        <v>9.85</v>
      </c>
      <c r="J63" s="142">
        <f>ROUNDUP(Cajas[[#This Row],[Alto]]/2.54,2)</f>
        <v>4.7299999999999995</v>
      </c>
      <c r="K63" s="142"/>
      <c r="L63" s="139"/>
      <c r="M63" s="2"/>
      <c r="N63" s="2"/>
      <c r="O63" s="2"/>
      <c r="P63" s="2"/>
      <c r="Q63" s="2"/>
      <c r="R63" s="2"/>
      <c r="S63" s="2"/>
    </row>
    <row r="64" spans="2:19" ht="15.75" thickBot="1" x14ac:dyDescent="0.3">
      <c r="B64" s="72" t="s">
        <v>362</v>
      </c>
      <c r="C64" s="73">
        <v>104</v>
      </c>
      <c r="D64" s="73">
        <v>25.5</v>
      </c>
      <c r="E64" s="73">
        <v>19</v>
      </c>
      <c r="F64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10.202500000000001</v>
      </c>
      <c r="G6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4" s="141">
        <f>ROUNDUP(Cajas[[#This Row],[Largo]]/2.54,2)</f>
        <v>40.949999999999996</v>
      </c>
      <c r="I64" s="73">
        <f>ROUNDUP(Cajas[[#This Row],[Ancho]]/2.54,2)</f>
        <v>10.039999999999999</v>
      </c>
      <c r="J64" s="144">
        <f>ROUNDUP(Cajas[[#This Row],[Alto]]/2.54,2)</f>
        <v>7.49</v>
      </c>
      <c r="K64" s="144"/>
      <c r="L64" s="139"/>
      <c r="M64" s="2"/>
      <c r="N64" s="2"/>
      <c r="O64" s="2"/>
      <c r="P64" s="2"/>
      <c r="Q64" s="2"/>
      <c r="R64" s="2"/>
      <c r="S64" s="2"/>
    </row>
    <row r="65" spans="2:19" x14ac:dyDescent="0.25">
      <c r="B65" s="5" t="s">
        <v>342</v>
      </c>
      <c r="C65" s="2">
        <v>102</v>
      </c>
      <c r="D65" s="2">
        <v>16</v>
      </c>
      <c r="E65" s="2">
        <v>30</v>
      </c>
      <c r="F6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9.984</v>
      </c>
      <c r="G65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5" s="139">
        <f>ROUNDUP(Cajas[[#This Row],[Largo]]/2.54,2)</f>
        <v>40.159999999999997</v>
      </c>
      <c r="I65" s="2">
        <f>ROUNDUP(Cajas[[#This Row],[Ancho]]/2.54,2)</f>
        <v>6.3</v>
      </c>
      <c r="J65" s="142">
        <f>ROUNDUP(Cajas[[#This Row],[Alto]]/2.54,2)</f>
        <v>11.82</v>
      </c>
      <c r="K65" s="212"/>
      <c r="L65" s="139"/>
      <c r="M65" s="2"/>
      <c r="N65" s="2" t="s">
        <v>363</v>
      </c>
      <c r="O65" s="2"/>
      <c r="P65" s="2"/>
      <c r="Q65" s="2"/>
      <c r="R65" s="2"/>
      <c r="S65" s="2"/>
    </row>
    <row r="66" spans="2:19" ht="15.75" thickBot="1" x14ac:dyDescent="0.3">
      <c r="B66" s="5" t="s">
        <v>364</v>
      </c>
      <c r="C66" s="2">
        <v>101</v>
      </c>
      <c r="D66" s="2">
        <v>29</v>
      </c>
      <c r="E66" s="2">
        <v>33</v>
      </c>
      <c r="F6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18.625833333333333</v>
      </c>
      <c r="G66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6" s="139">
        <f>ROUNDUP(Cajas[[#This Row],[Largo]]/2.54,2)</f>
        <v>39.769999999999996</v>
      </c>
      <c r="I66" s="2">
        <f>ROUNDUP(Cajas[[#This Row],[Ancho]]/2.54,2)</f>
        <v>11.42</v>
      </c>
      <c r="J66" s="142">
        <f>ROUNDUP(Cajas[[#This Row],[Alto]]/2.54,2)</f>
        <v>13</v>
      </c>
      <c r="K66" s="212"/>
      <c r="L66" s="139"/>
      <c r="M66" s="2"/>
      <c r="N66" s="2" t="s">
        <v>365</v>
      </c>
      <c r="O66" s="2"/>
      <c r="P66" s="2"/>
      <c r="Q66" s="2"/>
      <c r="R66" s="2"/>
      <c r="S66" s="2"/>
    </row>
    <row r="67" spans="2:19" ht="15.75" thickBot="1" x14ac:dyDescent="0.3">
      <c r="B67" s="17" t="s">
        <v>366</v>
      </c>
      <c r="C67" s="18">
        <v>104.5</v>
      </c>
      <c r="D67" s="18">
        <v>24</v>
      </c>
      <c r="E67" s="18">
        <v>15</v>
      </c>
      <c r="F67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7.8455000000000004</v>
      </c>
      <c r="G6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7" s="140">
        <f>ROUNDUP(Cajas[[#This Row],[Largo]]/2.54,2)</f>
        <v>41.15</v>
      </c>
      <c r="I67" s="18">
        <f>ROUNDUP(Cajas[[#This Row],[Ancho]]/2.54,2)</f>
        <v>9.4499999999999993</v>
      </c>
      <c r="J67" s="143">
        <f>ROUNDUP(Cajas[[#This Row],[Alto]]/2.54,2)</f>
        <v>5.91</v>
      </c>
      <c r="K67" s="143"/>
      <c r="L67" s="139"/>
      <c r="M67" s="2"/>
      <c r="N67" s="2"/>
      <c r="O67" s="2"/>
      <c r="P67" s="2"/>
      <c r="Q67" s="2"/>
      <c r="R67" s="2"/>
      <c r="S67" s="2"/>
    </row>
    <row r="68" spans="2:19" x14ac:dyDescent="0.25">
      <c r="B68" s="17" t="s">
        <v>367</v>
      </c>
      <c r="C68" s="18">
        <v>85</v>
      </c>
      <c r="D68" s="18">
        <v>30</v>
      </c>
      <c r="E68" s="18">
        <v>17</v>
      </c>
      <c r="F68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8.8160000000000007</v>
      </c>
      <c r="G68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68" s="140">
        <f>ROUNDUP(Cajas[[#This Row],[Largo]]/2.54,2)</f>
        <v>33.47</v>
      </c>
      <c r="I68" s="18">
        <f>ROUNDUP(Cajas[[#This Row],[Ancho]]/2.54,2)</f>
        <v>11.82</v>
      </c>
      <c r="J68" s="143">
        <f>ROUNDUP(Cajas[[#This Row],[Alto]]/2.54,2)</f>
        <v>6.7</v>
      </c>
      <c r="K68" s="143"/>
      <c r="L68" s="139">
        <v>5</v>
      </c>
      <c r="M68" s="2">
        <v>5</v>
      </c>
      <c r="N68" s="2">
        <v>4</v>
      </c>
      <c r="O68" s="2">
        <v>4</v>
      </c>
      <c r="P68" s="2">
        <v>4</v>
      </c>
      <c r="Q68" s="2">
        <v>4</v>
      </c>
      <c r="R68" s="2">
        <v>4</v>
      </c>
      <c r="S68" s="2"/>
    </row>
    <row r="69" spans="2:19" x14ac:dyDescent="0.25">
      <c r="B69" s="5" t="s">
        <v>368</v>
      </c>
      <c r="C69" s="2">
        <v>104</v>
      </c>
      <c r="D69" s="2">
        <v>30</v>
      </c>
      <c r="E69" s="2">
        <v>17</v>
      </c>
      <c r="F6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10.741333333333333</v>
      </c>
      <c r="G6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69" s="139">
        <f>ROUNDUP(Cajas[[#This Row],[Largo]]/2.54,2)</f>
        <v>40.949999999999996</v>
      </c>
      <c r="I69" s="2">
        <f>ROUNDUP(Cajas[[#This Row],[Ancho]]/2.54,2)</f>
        <v>11.82</v>
      </c>
      <c r="J69" s="142">
        <f>ROUNDUP(Cajas[[#This Row],[Alto]]/2.54,2)</f>
        <v>6.7</v>
      </c>
      <c r="K69" s="142"/>
      <c r="L69" s="139">
        <v>5</v>
      </c>
      <c r="M69" s="2">
        <v>5</v>
      </c>
      <c r="N69" s="2">
        <v>4</v>
      </c>
      <c r="O69" s="2"/>
      <c r="P69" s="2"/>
      <c r="Q69" s="2"/>
      <c r="R69" s="2"/>
      <c r="S69" s="2"/>
    </row>
    <row r="70" spans="2:19" x14ac:dyDescent="0.25">
      <c r="B70" s="5" t="s">
        <v>369</v>
      </c>
      <c r="C70" s="2">
        <v>85</v>
      </c>
      <c r="D70" s="2">
        <v>35</v>
      </c>
      <c r="E70" s="2">
        <v>35</v>
      </c>
      <c r="F7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19.8505</v>
      </c>
      <c r="G7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0" s="139">
        <f>ROUNDUP(Cajas[[#This Row],[Largo]]/2.54,2)</f>
        <v>33.47</v>
      </c>
      <c r="I70" s="2">
        <f>ROUNDUP(Cajas[[#This Row],[Ancho]]/2.54,2)</f>
        <v>13.78</v>
      </c>
      <c r="J70" s="142">
        <f>ROUNDUP(Cajas[[#This Row],[Alto]]/2.54,2)</f>
        <v>13.78</v>
      </c>
      <c r="K70" s="142"/>
      <c r="L70" s="139">
        <f>300/25</f>
        <v>12</v>
      </c>
      <c r="M70" s="2">
        <v>12</v>
      </c>
      <c r="N70" s="2">
        <v>10</v>
      </c>
      <c r="O70" s="2">
        <v>8</v>
      </c>
      <c r="P70" s="2"/>
      <c r="Q70" s="2"/>
      <c r="R70" s="2"/>
      <c r="S70" s="2"/>
    </row>
    <row r="71" spans="2:19" x14ac:dyDescent="0.25">
      <c r="B71" s="5" t="s">
        <v>370</v>
      </c>
      <c r="C71" s="2">
        <v>104</v>
      </c>
      <c r="D71" s="2">
        <v>30</v>
      </c>
      <c r="E71" s="2">
        <v>30</v>
      </c>
      <c r="F7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18.090666666666667</v>
      </c>
      <c r="G7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1" s="139">
        <f>ROUNDUP(Cajas[[#This Row],[Largo]]/2.54,2)</f>
        <v>40.949999999999996</v>
      </c>
      <c r="I71" s="2">
        <f>ROUNDUP(Cajas[[#This Row],[Ancho]]/2.54,2)</f>
        <v>11.82</v>
      </c>
      <c r="J71" s="142">
        <f>ROUNDUP(Cajas[[#This Row],[Alto]]/2.54,2)</f>
        <v>11.82</v>
      </c>
      <c r="K71" s="142"/>
      <c r="L71" s="139">
        <f>300/25</f>
        <v>12</v>
      </c>
      <c r="M71" s="2">
        <v>10</v>
      </c>
      <c r="N71" s="2">
        <v>10</v>
      </c>
      <c r="O71" s="2">
        <v>8</v>
      </c>
      <c r="P71" s="2">
        <v>8</v>
      </c>
      <c r="Q71" s="2">
        <v>8</v>
      </c>
      <c r="R71" s="2">
        <v>8</v>
      </c>
      <c r="S71" s="2"/>
    </row>
    <row r="72" spans="2:19" ht="15.75" thickBot="1" x14ac:dyDescent="0.3">
      <c r="B72" s="72" t="s">
        <v>371</v>
      </c>
      <c r="C72" s="73">
        <v>120</v>
      </c>
      <c r="D72" s="73">
        <v>35</v>
      </c>
      <c r="E72" s="73">
        <v>35</v>
      </c>
      <c r="F72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72" s="7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72" s="141">
        <f>ROUNDUP(Cajas[[#This Row],[Largo]]/2.54,2)</f>
        <v>47.25</v>
      </c>
      <c r="I72" s="73">
        <f>ROUNDUP(Cajas[[#This Row],[Ancho]]/2.54,2)</f>
        <v>13.78</v>
      </c>
      <c r="J72" s="144">
        <f>ROUNDUP(Cajas[[#This Row],[Alto]]/2.54,2)</f>
        <v>13.78</v>
      </c>
      <c r="K72" s="144"/>
      <c r="L72" s="139">
        <f>500/25</f>
        <v>20</v>
      </c>
      <c r="M72" s="2">
        <v>20</v>
      </c>
      <c r="N72" s="2">
        <f>400/25</f>
        <v>16</v>
      </c>
      <c r="O72" s="2">
        <f>350/25</f>
        <v>14</v>
      </c>
      <c r="P72" s="2">
        <v>14</v>
      </c>
      <c r="Q72" s="2">
        <f>250/25</f>
        <v>10</v>
      </c>
      <c r="R72" s="2">
        <v>10</v>
      </c>
      <c r="S72" s="2"/>
    </row>
    <row r="73" spans="2:19" x14ac:dyDescent="0.25">
      <c r="B73" s="5" t="s">
        <v>372</v>
      </c>
      <c r="C73" s="2">
        <v>104</v>
      </c>
      <c r="D73" s="2">
        <v>24</v>
      </c>
      <c r="E73" s="2">
        <v>16</v>
      </c>
      <c r="F7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8.2680000000000007</v>
      </c>
      <c r="G73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3" s="139">
        <f>ROUNDUP(Cajas[[#This Row],[Largo]]/2.54,2)</f>
        <v>40.949999999999996</v>
      </c>
      <c r="I73" s="2">
        <f>ROUNDUP(Cajas[[#This Row],[Ancho]]/2.54,2)</f>
        <v>9.4499999999999993</v>
      </c>
      <c r="J73" s="142">
        <f>ROUNDUP(Cajas[[#This Row],[Alto]]/2.54,2)</f>
        <v>6.3</v>
      </c>
      <c r="K73" s="142"/>
      <c r="L73" s="2"/>
      <c r="M73" s="2"/>
      <c r="N73" s="2"/>
      <c r="O73" s="2"/>
      <c r="P73" s="2"/>
      <c r="Q73" s="2"/>
      <c r="R73" s="2"/>
      <c r="S73" s="2"/>
    </row>
    <row r="74" spans="2:19" x14ac:dyDescent="0.25">
      <c r="B74" s="5" t="s">
        <v>373</v>
      </c>
      <c r="C74" s="2">
        <v>104</v>
      </c>
      <c r="D74" s="2">
        <v>24</v>
      </c>
      <c r="E74" s="2">
        <v>12</v>
      </c>
      <c r="F7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6.4306666666666663</v>
      </c>
      <c r="G74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4" s="139">
        <f>ROUNDUP(Cajas[[#This Row],[Largo]]/2.54,2)</f>
        <v>40.949999999999996</v>
      </c>
      <c r="I74" s="2">
        <f>ROUNDUP(Cajas[[#This Row],[Ancho]]/2.54,2)</f>
        <v>9.4499999999999993</v>
      </c>
      <c r="J74" s="142">
        <f>ROUNDUP(Cajas[[#This Row],[Alto]]/2.54,2)</f>
        <v>4.7299999999999995</v>
      </c>
      <c r="K74" s="142"/>
      <c r="L74" s="2"/>
      <c r="M74" s="2"/>
      <c r="N74" s="2"/>
      <c r="O74" s="2"/>
      <c r="P74" s="2"/>
      <c r="Q74" s="2"/>
      <c r="R74" s="2"/>
      <c r="S74" s="2"/>
    </row>
    <row r="75" spans="2:19" ht="15.75" thickBot="1" x14ac:dyDescent="0.3">
      <c r="B75" s="5" t="s">
        <v>374</v>
      </c>
      <c r="C75" s="2">
        <v>103</v>
      </c>
      <c r="D75" s="2">
        <v>15</v>
      </c>
      <c r="E75" s="2">
        <v>12</v>
      </c>
      <c r="F7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4.165</v>
      </c>
      <c r="G7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5" s="139">
        <f>ROUNDUP(Cajas[[#This Row],[Largo]]/2.54,2)</f>
        <v>40.559999999999995</v>
      </c>
      <c r="I75" s="2">
        <f>ROUNDUP(Cajas[[#This Row],[Ancho]]/2.54,2)</f>
        <v>5.91</v>
      </c>
      <c r="J75" s="142">
        <f>ROUNDUP(Cajas[[#This Row],[Alto]]/2.54,2)</f>
        <v>4.7299999999999995</v>
      </c>
      <c r="K75" s="142"/>
      <c r="L75" s="2"/>
      <c r="M75" s="2"/>
      <c r="N75" s="2"/>
      <c r="O75" s="2"/>
      <c r="P75" s="2"/>
      <c r="Q75" s="2"/>
      <c r="R75" s="2"/>
      <c r="S75" s="2"/>
    </row>
    <row r="76" spans="2:19" x14ac:dyDescent="0.25">
      <c r="B76" s="17" t="s">
        <v>375</v>
      </c>
      <c r="C76" s="18">
        <v>94.4</v>
      </c>
      <c r="D76" s="18">
        <v>30.1</v>
      </c>
      <c r="E76" s="18">
        <v>15.5</v>
      </c>
      <c r="F76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9.0254500000000011</v>
      </c>
      <c r="G76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6" s="140">
        <f>ROUNDUP(Cajas[[#This Row],[Largo]]/2.54,2)</f>
        <v>37.169999999999995</v>
      </c>
      <c r="I76" s="18">
        <f>ROUNDUP(Cajas[[#This Row],[Ancho]]/2.54,2)</f>
        <v>11.86</v>
      </c>
      <c r="J76" s="143">
        <f>ROUNDUP(Cajas[[#This Row],[Alto]]/2.54,2)</f>
        <v>6.1099999999999994</v>
      </c>
      <c r="K76" s="143"/>
      <c r="L76" s="139">
        <v>5</v>
      </c>
      <c r="M76" s="2">
        <v>5</v>
      </c>
      <c r="N76" s="2">
        <v>4</v>
      </c>
      <c r="O76" s="2">
        <v>4</v>
      </c>
      <c r="P76" s="2"/>
      <c r="Q76" s="2"/>
      <c r="R76" s="2"/>
      <c r="S76" s="2"/>
    </row>
    <row r="77" spans="2:19" ht="15.75" thickBot="1" x14ac:dyDescent="0.3">
      <c r="B77" s="72" t="s">
        <v>376</v>
      </c>
      <c r="C77" s="73">
        <v>103.2</v>
      </c>
      <c r="D77" s="73">
        <v>31.3</v>
      </c>
      <c r="E77" s="73">
        <v>30.6</v>
      </c>
      <c r="F77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19.033836000000001</v>
      </c>
      <c r="G77" s="7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7" s="141">
        <f>ROUNDUP(Cajas[[#This Row],[Largo]]/2.54,2)</f>
        <v>40.629999999999995</v>
      </c>
      <c r="I77" s="73">
        <f>ROUNDUP(Cajas[[#This Row],[Ancho]]/2.54,2)</f>
        <v>12.33</v>
      </c>
      <c r="J77" s="144">
        <f>ROUNDUP(Cajas[[#This Row],[Alto]]/2.54,2)</f>
        <v>12.049999999999999</v>
      </c>
      <c r="K77" s="144"/>
      <c r="L77" s="139">
        <v>14</v>
      </c>
      <c r="M77" s="2">
        <v>12</v>
      </c>
      <c r="N77" s="2">
        <v>10</v>
      </c>
      <c r="O77" s="2">
        <v>9</v>
      </c>
      <c r="P77" s="2"/>
      <c r="Q77" s="2"/>
      <c r="R77" s="2"/>
      <c r="S77" s="2"/>
    </row>
    <row r="78" spans="2:19" x14ac:dyDescent="0.25">
      <c r="B78" s="5" t="s">
        <v>377</v>
      </c>
      <c r="C78" s="2">
        <v>86</v>
      </c>
      <c r="D78" s="2">
        <v>14.5</v>
      </c>
      <c r="E78" s="2">
        <v>12.5</v>
      </c>
      <c r="F7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3.5089999999999999</v>
      </c>
      <c r="G7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8" s="139">
        <f>ROUNDUP(Cajas[[#This Row],[Largo]]/2.54,2)</f>
        <v>33.86</v>
      </c>
      <c r="I78" s="2">
        <f>ROUNDUP(Cajas[[#This Row],[Ancho]]/2.54,2)</f>
        <v>5.71</v>
      </c>
      <c r="J78" s="142">
        <f>ROUNDUP(Cajas[[#This Row],[Alto]]/2.54,2)</f>
        <v>4.93</v>
      </c>
      <c r="K78" s="142"/>
      <c r="L78" s="2"/>
      <c r="M78" s="2"/>
      <c r="N78" s="2"/>
      <c r="O78" s="2"/>
      <c r="P78" s="2"/>
      <c r="Q78" s="2"/>
      <c r="R78" s="2"/>
      <c r="S78" s="2"/>
    </row>
    <row r="79" spans="2:19" x14ac:dyDescent="0.25">
      <c r="B79" s="5" t="s">
        <v>378</v>
      </c>
      <c r="C79" s="2">
        <v>90</v>
      </c>
      <c r="D79" s="2">
        <v>15</v>
      </c>
      <c r="E79" s="2">
        <v>15</v>
      </c>
      <c r="F7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4.4313333333333329</v>
      </c>
      <c r="G7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79" s="139">
        <f>ROUNDUP(Cajas[[#This Row],[Largo]]/2.54,2)</f>
        <v>35.44</v>
      </c>
      <c r="I79" s="2">
        <f>ROUNDUP(Cajas[[#This Row],[Ancho]]/2.54,2)</f>
        <v>5.91</v>
      </c>
      <c r="J79" s="142">
        <f>ROUNDUP(Cajas[[#This Row],[Alto]]/2.54,2)</f>
        <v>5.91</v>
      </c>
      <c r="K79" s="142"/>
      <c r="L79" s="2"/>
      <c r="M79" s="2"/>
      <c r="N79" s="2"/>
      <c r="O79" s="2"/>
      <c r="P79" s="2"/>
      <c r="Q79" s="2"/>
      <c r="R79" s="2"/>
      <c r="S79" s="2"/>
    </row>
    <row r="80" spans="2:19" x14ac:dyDescent="0.25">
      <c r="B80" s="5" t="s">
        <v>379</v>
      </c>
      <c r="C80" s="2">
        <v>105</v>
      </c>
      <c r="D80" s="2">
        <v>29</v>
      </c>
      <c r="E80" s="2">
        <v>15</v>
      </c>
      <c r="F8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9.3981666666666666</v>
      </c>
      <c r="G8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0" s="139">
        <f>ROUNDUP(Cajas[[#This Row],[Largo]]/2.54,2)</f>
        <v>41.339999999999996</v>
      </c>
      <c r="I80" s="2">
        <f>ROUNDUP(Cajas[[#This Row],[Ancho]]/2.54,2)</f>
        <v>11.42</v>
      </c>
      <c r="J80" s="142">
        <f>ROUNDUP(Cajas[[#This Row],[Alto]]/2.54,2)</f>
        <v>5.91</v>
      </c>
      <c r="K80" s="142"/>
      <c r="L80" s="2"/>
      <c r="M80" s="2"/>
      <c r="N80" s="2"/>
      <c r="O80" s="2"/>
      <c r="P80" s="2"/>
      <c r="Q80" s="2"/>
      <c r="R80" s="2"/>
      <c r="S80" s="2"/>
    </row>
    <row r="81" spans="2:19" x14ac:dyDescent="0.25">
      <c r="B81" s="5" t="s">
        <v>380</v>
      </c>
      <c r="C81" s="2"/>
      <c r="D81" s="2"/>
      <c r="E81" s="2"/>
      <c r="F8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1.3333333333333333E-3</v>
      </c>
      <c r="G8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1" s="139">
        <f>ROUNDUP(Cajas[[#This Row],[Largo]]/2.54,2)</f>
        <v>0</v>
      </c>
      <c r="I81" s="2">
        <f>ROUNDUP(Cajas[[#This Row],[Ancho]]/2.54,2)</f>
        <v>0</v>
      </c>
      <c r="J81" s="142">
        <f>ROUNDUP(Cajas[[#This Row],[Alto]]/2.54,2)</f>
        <v>0</v>
      </c>
      <c r="K81" s="142"/>
      <c r="L81" s="139"/>
      <c r="M81" s="2"/>
      <c r="N81" s="2"/>
      <c r="O81" s="2"/>
      <c r="P81" s="2"/>
      <c r="Q81" s="2"/>
      <c r="R81" s="2"/>
      <c r="S81" s="2"/>
    </row>
    <row r="82" spans="2:19" x14ac:dyDescent="0.25">
      <c r="B82" s="5" t="s">
        <v>381</v>
      </c>
      <c r="C82" s="2">
        <v>104.6</v>
      </c>
      <c r="D82" s="2">
        <v>25.1</v>
      </c>
      <c r="E82" s="2">
        <v>25.4</v>
      </c>
      <c r="F8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13.192460666666666</v>
      </c>
      <c r="G8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2" s="139">
        <f>ROUNDUP(Cajas[[#This Row],[Largo]]/2.54,2)</f>
        <v>41.19</v>
      </c>
      <c r="I82" s="2">
        <f>ROUNDUP(Cajas[[#This Row],[Ancho]]/2.54,2)</f>
        <v>9.89</v>
      </c>
      <c r="J82" s="142">
        <f>ROUNDUP(Cajas[[#This Row],[Alto]]/2.54,2)</f>
        <v>10</v>
      </c>
      <c r="K82" s="142"/>
      <c r="L82" s="2"/>
      <c r="M82" s="2"/>
      <c r="N82" s="2"/>
      <c r="O82" s="2"/>
      <c r="P82" s="2"/>
      <c r="Q82" s="2"/>
      <c r="R82" s="2"/>
      <c r="S82" s="2"/>
    </row>
    <row r="83" spans="2:19" ht="15.75" thickBot="1" x14ac:dyDescent="0.3">
      <c r="B83" s="5" t="s">
        <v>382</v>
      </c>
      <c r="C83" s="2">
        <v>105</v>
      </c>
      <c r="D83" s="2">
        <v>30</v>
      </c>
      <c r="E83" s="2">
        <v>30</v>
      </c>
      <c r="F8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8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3" s="141">
        <f>ROUNDUP(Cajas[[#This Row],[Largo]]/2.54,2)</f>
        <v>41.339999999999996</v>
      </c>
      <c r="I83" s="73">
        <f>ROUNDUP(Cajas[[#This Row],[Ancho]]/2.54,2)</f>
        <v>11.82</v>
      </c>
      <c r="J83" s="144">
        <f>ROUNDUP(Cajas[[#This Row],[Alto]]/2.54,2)</f>
        <v>11.82</v>
      </c>
      <c r="K83" s="142"/>
      <c r="L83" s="2"/>
      <c r="M83" s="2"/>
      <c r="N83" s="2"/>
      <c r="O83" s="2"/>
      <c r="P83" s="2"/>
      <c r="Q83" s="2"/>
      <c r="R83" s="2"/>
      <c r="S83" s="2"/>
    </row>
    <row r="84" spans="2:19" x14ac:dyDescent="0.25">
      <c r="B84" s="17" t="s">
        <v>383</v>
      </c>
      <c r="C84" s="18">
        <v>87</v>
      </c>
      <c r="D84" s="18">
        <v>17</v>
      </c>
      <c r="E84" s="18">
        <v>12.5</v>
      </c>
      <c r="F84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4.0865833333333335</v>
      </c>
      <c r="G84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4" s="139">
        <f>ROUNDUP(Cajas[[#This Row],[Largo]]/2.54,2)</f>
        <v>34.26</v>
      </c>
      <c r="I84" s="2">
        <f>ROUNDUP(Cajas[[#This Row],[Ancho]]/2.54,2)</f>
        <v>6.7</v>
      </c>
      <c r="J84" s="142">
        <f>ROUNDUP(Cajas[[#This Row],[Alto]]/2.54,2)</f>
        <v>4.93</v>
      </c>
      <c r="K84" s="211"/>
      <c r="L84" s="2"/>
      <c r="M84" s="2"/>
      <c r="N84" s="2"/>
      <c r="O84" s="2"/>
      <c r="P84" s="2"/>
      <c r="Q84" s="2"/>
      <c r="R84" s="2"/>
      <c r="S84" s="2"/>
    </row>
    <row r="85" spans="2:19" x14ac:dyDescent="0.25">
      <c r="B85" s="5" t="s">
        <v>384</v>
      </c>
      <c r="C85" s="2">
        <v>95</v>
      </c>
      <c r="D85" s="2">
        <v>17.8</v>
      </c>
      <c r="E85" s="2">
        <v>18.600000000000001</v>
      </c>
      <c r="F8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6.5940600000000016</v>
      </c>
      <c r="G8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5" s="139">
        <f>ROUNDUP(Cajas[[#This Row],[Largo]]/2.54,2)</f>
        <v>37.409999999999997</v>
      </c>
      <c r="I85" s="2">
        <f>ROUNDUP(Cajas[[#This Row],[Ancho]]/2.54,2)</f>
        <v>7.01</v>
      </c>
      <c r="J85" s="142">
        <f>ROUNDUP(Cajas[[#This Row],[Alto]]/2.54,2)</f>
        <v>7.33</v>
      </c>
      <c r="K85" s="142"/>
      <c r="L85" s="139"/>
      <c r="M85" s="2"/>
      <c r="N85" s="2"/>
      <c r="O85" s="2"/>
      <c r="P85" s="2"/>
      <c r="Q85" s="2"/>
      <c r="R85" s="2"/>
      <c r="S85" s="2"/>
    </row>
    <row r="86" spans="2:19" x14ac:dyDescent="0.25">
      <c r="B86" s="5" t="s">
        <v>385</v>
      </c>
      <c r="C86" s="2">
        <v>88</v>
      </c>
      <c r="D86" s="2">
        <v>30</v>
      </c>
      <c r="E86" s="2">
        <v>16.8</v>
      </c>
      <c r="F8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9.0239999999999991</v>
      </c>
      <c r="G86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6" s="139">
        <f>ROUNDUP(Cajas[[#This Row],[Largo]]/2.54,2)</f>
        <v>34.65</v>
      </c>
      <c r="I86" s="2">
        <f>ROUNDUP(Cajas[[#This Row],[Ancho]]/2.54,2)</f>
        <v>11.82</v>
      </c>
      <c r="J86" s="142">
        <f>ROUNDUP(Cajas[[#This Row],[Alto]]/2.54,2)</f>
        <v>6.62</v>
      </c>
      <c r="K86" s="212"/>
      <c r="L86" s="2"/>
      <c r="M86" s="2"/>
      <c r="N86" s="2"/>
      <c r="O86" s="2"/>
      <c r="P86" s="2"/>
      <c r="Q86" s="2"/>
      <c r="R86" s="2"/>
      <c r="S86" s="2"/>
    </row>
    <row r="87" spans="2:19" x14ac:dyDescent="0.25">
      <c r="B87" s="5" t="s">
        <v>386</v>
      </c>
      <c r="C87" s="2">
        <v>99</v>
      </c>
      <c r="D87" s="2">
        <v>30.4</v>
      </c>
      <c r="E87" s="2">
        <v>17</v>
      </c>
      <c r="F8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10.362599999999999</v>
      </c>
      <c r="G87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7" s="139">
        <f>ROUNDUP(Cajas[[#This Row],[Largo]]/2.54,2)</f>
        <v>38.979999999999997</v>
      </c>
      <c r="I87" s="2">
        <f>ROUNDUP(Cajas[[#This Row],[Ancho]]/2.54,2)</f>
        <v>11.97</v>
      </c>
      <c r="J87" s="142">
        <f>ROUNDUP(Cajas[[#This Row],[Alto]]/2.54,2)</f>
        <v>6.7</v>
      </c>
      <c r="K87" s="142"/>
      <c r="L87" s="139"/>
      <c r="M87" s="2"/>
      <c r="N87" s="2"/>
      <c r="O87" s="2"/>
      <c r="P87" s="2"/>
      <c r="Q87" s="2"/>
      <c r="R87" s="2"/>
      <c r="S87" s="2"/>
    </row>
    <row r="88" spans="2:19" x14ac:dyDescent="0.25">
      <c r="B88" s="5" t="s">
        <v>387</v>
      </c>
      <c r="C88" s="2">
        <v>99.2</v>
      </c>
      <c r="D88" s="2">
        <v>32.5</v>
      </c>
      <c r="E88" s="2">
        <v>26.1</v>
      </c>
      <c r="F8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16.351390000000002</v>
      </c>
      <c r="G88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88" s="139">
        <f>ROUNDUP(Cajas[[#This Row],[Largo]]/2.54,2)</f>
        <v>39.059999999999995</v>
      </c>
      <c r="I88" s="2">
        <f>ROUNDUP(Cajas[[#This Row],[Ancho]]/2.54,2)</f>
        <v>12.799999999999999</v>
      </c>
      <c r="J88" s="142">
        <f>ROUNDUP(Cajas[[#This Row],[Alto]]/2.54,2)</f>
        <v>10.28</v>
      </c>
      <c r="K88" s="212"/>
      <c r="L88" s="2"/>
      <c r="M88" s="2"/>
      <c r="N88" s="2"/>
      <c r="O88" s="2"/>
      <c r="P88" s="2"/>
      <c r="Q88" s="2"/>
      <c r="R88" s="2"/>
      <c r="S88" s="2"/>
    </row>
    <row r="89" spans="2:19" ht="15.75" thickBot="1" x14ac:dyDescent="0.3">
      <c r="B89" s="5" t="s">
        <v>388</v>
      </c>
      <c r="C89" s="2">
        <v>120.7</v>
      </c>
      <c r="D89" s="2">
        <v>37.5</v>
      </c>
      <c r="E89" s="2">
        <v>35.4</v>
      </c>
      <c r="F89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30.210785000000005</v>
      </c>
      <c r="G89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89" s="139">
        <f>ROUNDUP(Cajas[[#This Row],[Largo]]/2.54,2)</f>
        <v>47.519999999999996</v>
      </c>
      <c r="I89" s="2">
        <f>ROUNDUP(Cajas[[#This Row],[Ancho]]/2.54,2)</f>
        <v>14.77</v>
      </c>
      <c r="J89" s="142">
        <f>ROUNDUP(Cajas[[#This Row],[Alto]]/2.54,2)</f>
        <v>13.94</v>
      </c>
      <c r="K89" s="213"/>
      <c r="L89" s="2"/>
      <c r="M89" s="2"/>
      <c r="N89" s="2"/>
      <c r="O89" s="2"/>
      <c r="P89" s="2"/>
      <c r="Q89" s="2"/>
      <c r="R89" s="2"/>
      <c r="S89" s="2"/>
    </row>
    <row r="90" spans="2:19" x14ac:dyDescent="0.25">
      <c r="B90" s="17" t="s">
        <v>389</v>
      </c>
      <c r="C90" s="18">
        <v>86</v>
      </c>
      <c r="D90" s="18">
        <v>14.5</v>
      </c>
      <c r="E90" s="18">
        <v>12.5</v>
      </c>
      <c r="F9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3.5089999999999999</v>
      </c>
      <c r="G9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0" s="140">
        <f>ROUNDUP(Cajas[[#This Row],[Largo]]/2.54,2)</f>
        <v>33.86</v>
      </c>
      <c r="I90" s="18">
        <f>ROUNDUP(Cajas[[#This Row],[Ancho]]/2.54,2)</f>
        <v>5.71</v>
      </c>
      <c r="J90" s="143">
        <f>ROUNDUP(Cajas[[#This Row],[Alto]]/2.54,2)</f>
        <v>4.93</v>
      </c>
      <c r="K90" s="142"/>
      <c r="L90" s="2"/>
      <c r="M90" s="2"/>
      <c r="N90" s="2"/>
      <c r="O90" s="2"/>
      <c r="P90" s="2"/>
      <c r="Q90" s="2"/>
      <c r="R90" s="2"/>
      <c r="S90" s="2"/>
    </row>
    <row r="91" spans="2:19" x14ac:dyDescent="0.25">
      <c r="B91" s="5" t="s">
        <v>390</v>
      </c>
      <c r="C91" s="2">
        <v>87</v>
      </c>
      <c r="D91" s="2">
        <v>27.5</v>
      </c>
      <c r="E91" s="2">
        <v>17</v>
      </c>
      <c r="F9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8.3140833333333326</v>
      </c>
      <c r="G9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1" s="139">
        <f>ROUNDUP(Cajas[[#This Row],[Largo]]/2.54,2)</f>
        <v>34.26</v>
      </c>
      <c r="I91" s="2">
        <f>ROUNDUP(Cajas[[#This Row],[Ancho]]/2.54,2)</f>
        <v>10.83</v>
      </c>
      <c r="J91" s="142">
        <f>ROUNDUP(Cajas[[#This Row],[Alto]]/2.54,2)</f>
        <v>6.7</v>
      </c>
      <c r="K91" s="142"/>
      <c r="L91" s="2"/>
      <c r="M91" s="2"/>
      <c r="N91" s="2"/>
      <c r="O91" s="2"/>
      <c r="P91" s="2"/>
      <c r="Q91" s="2"/>
      <c r="R91" s="2"/>
      <c r="S91" s="2"/>
    </row>
    <row r="92" spans="2:19" x14ac:dyDescent="0.25">
      <c r="B92" s="5" t="s">
        <v>391</v>
      </c>
      <c r="C92" s="2">
        <v>104.2</v>
      </c>
      <c r="D92" s="2">
        <v>27.4</v>
      </c>
      <c r="E92" s="2">
        <v>14.7</v>
      </c>
      <c r="F9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8.6903459999999981</v>
      </c>
      <c r="G9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2" s="139">
        <f>ROUNDUP(Cajas[[#This Row],[Largo]]/2.54,2)</f>
        <v>41.03</v>
      </c>
      <c r="I92" s="2">
        <f>ROUNDUP(Cajas[[#This Row],[Ancho]]/2.54,2)</f>
        <v>10.79</v>
      </c>
      <c r="J92" s="142">
        <f>ROUNDUP(Cajas[[#This Row],[Alto]]/2.54,2)</f>
        <v>5.79</v>
      </c>
      <c r="K92" s="142"/>
      <c r="L92" s="2"/>
      <c r="M92" s="2"/>
      <c r="N92" s="2"/>
      <c r="O92" s="2"/>
      <c r="P92" s="2"/>
      <c r="Q92" s="2"/>
      <c r="R92" s="2"/>
      <c r="S92" s="2"/>
    </row>
    <row r="93" spans="2:19" x14ac:dyDescent="0.25">
      <c r="B93" s="5" t="s">
        <v>392</v>
      </c>
      <c r="C93" s="2">
        <v>98</v>
      </c>
      <c r="D93" s="2">
        <v>29.5</v>
      </c>
      <c r="E93" s="2">
        <v>25.8</v>
      </c>
      <c r="F9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14.595000000000001</v>
      </c>
      <c r="G9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3" s="139">
        <f>ROUNDUP(Cajas[[#This Row],[Largo]]/2.54,2)</f>
        <v>38.589999999999996</v>
      </c>
      <c r="I93" s="2">
        <f>ROUNDUP(Cajas[[#This Row],[Ancho]]/2.54,2)</f>
        <v>11.62</v>
      </c>
      <c r="J93" s="142">
        <f>ROUNDUP(Cajas[[#This Row],[Alto]]/2.54,2)</f>
        <v>10.16</v>
      </c>
      <c r="K93" s="142"/>
      <c r="L93" s="2"/>
      <c r="M93" s="2"/>
      <c r="N93" s="2"/>
      <c r="O93" s="2"/>
      <c r="P93" s="2"/>
      <c r="Q93" s="2"/>
      <c r="R93" s="2"/>
      <c r="S93" s="2"/>
    </row>
    <row r="94" spans="2:19" ht="15.75" thickBot="1" x14ac:dyDescent="0.3">
      <c r="B94" s="5" t="s">
        <v>393</v>
      </c>
      <c r="C94" s="2">
        <v>120</v>
      </c>
      <c r="D94" s="2">
        <v>34</v>
      </c>
      <c r="E94" s="2">
        <v>34</v>
      </c>
      <c r="F9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26.352</v>
      </c>
      <c r="G9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94" s="141">
        <f>ROUNDUP(Cajas[[#This Row],[Largo]]/2.54,2)</f>
        <v>47.25</v>
      </c>
      <c r="I94" s="73">
        <f>ROUNDUP(Cajas[[#This Row],[Ancho]]/2.54,2)</f>
        <v>13.39</v>
      </c>
      <c r="J94" s="144">
        <f>ROUNDUP(Cajas[[#This Row],[Alto]]/2.54,2)</f>
        <v>13.39</v>
      </c>
      <c r="K94" s="142"/>
      <c r="L94" s="2"/>
      <c r="M94" s="2"/>
      <c r="N94" s="2"/>
      <c r="O94" s="2"/>
      <c r="P94" s="2"/>
      <c r="Q94" s="2"/>
      <c r="R94" s="2"/>
      <c r="S94" s="2"/>
    </row>
    <row r="95" spans="2:19" x14ac:dyDescent="0.25">
      <c r="B95" s="17" t="s">
        <v>394</v>
      </c>
      <c r="C95" s="18">
        <v>104</v>
      </c>
      <c r="D95" s="18">
        <v>14</v>
      </c>
      <c r="E95" s="18">
        <v>12</v>
      </c>
      <c r="F95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3.9573333333333331</v>
      </c>
      <c r="G95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5" s="139">
        <f>ROUNDUP(Cajas[[#This Row],[Largo]]/2.54,2)</f>
        <v>40.949999999999996</v>
      </c>
      <c r="I95" s="2">
        <f>ROUNDUP(Cajas[[#This Row],[Ancho]]/2.54,2)</f>
        <v>5.52</v>
      </c>
      <c r="J95" s="142">
        <f>ROUNDUP(Cajas[[#This Row],[Alto]]/2.54,2)</f>
        <v>4.7299999999999995</v>
      </c>
      <c r="K95" s="211"/>
      <c r="L95" s="2"/>
      <c r="M95" s="2"/>
      <c r="N95" s="2"/>
      <c r="O95" s="2"/>
      <c r="P95" s="2"/>
      <c r="Q95" s="2"/>
      <c r="R95" s="2"/>
      <c r="S95" s="2"/>
    </row>
    <row r="96" spans="2:19" ht="15.75" thickBot="1" x14ac:dyDescent="0.3">
      <c r="B96" s="5" t="s">
        <v>395</v>
      </c>
      <c r="C96" s="2">
        <v>104</v>
      </c>
      <c r="D96" s="2">
        <v>25</v>
      </c>
      <c r="E96" s="2">
        <v>12</v>
      </c>
      <c r="F96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6.6779999999999999</v>
      </c>
      <c r="G96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6" s="139">
        <f>ROUNDUP(Cajas[[#This Row],[Largo]]/2.54,2)</f>
        <v>40.949999999999996</v>
      </c>
      <c r="I96" s="2">
        <f>ROUNDUP(Cajas[[#This Row],[Ancho]]/2.54,2)</f>
        <v>9.85</v>
      </c>
      <c r="J96" s="142">
        <f>ROUNDUP(Cajas[[#This Row],[Alto]]/2.54,2)</f>
        <v>4.7299999999999995</v>
      </c>
      <c r="K96" s="213"/>
      <c r="L96" s="2"/>
      <c r="M96" s="2"/>
      <c r="N96" s="2"/>
      <c r="O96" s="2"/>
      <c r="P96" s="2"/>
      <c r="Q96" s="2"/>
      <c r="R96" s="2"/>
      <c r="S96" s="2"/>
    </row>
    <row r="97" spans="2:19" x14ac:dyDescent="0.25">
      <c r="B97" s="17" t="s">
        <v>396</v>
      </c>
      <c r="C97" s="18">
        <v>88</v>
      </c>
      <c r="D97" s="18">
        <v>18</v>
      </c>
      <c r="E97" s="18">
        <v>14</v>
      </c>
      <c r="F9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4.8</v>
      </c>
      <c r="G9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7" s="140">
        <f>ROUNDUP(Cajas[[#This Row],[Largo]]/2.54,2)</f>
        <v>34.65</v>
      </c>
      <c r="I97" s="18">
        <f>ROUNDUP(Cajas[[#This Row],[Ancho]]/2.54,2)</f>
        <v>7.09</v>
      </c>
      <c r="J97" s="143">
        <f>ROUNDUP(Cajas[[#This Row],[Alto]]/2.54,2)</f>
        <v>5.52</v>
      </c>
      <c r="K97" s="142"/>
      <c r="L97" s="2"/>
      <c r="M97" s="2"/>
      <c r="N97" s="2"/>
      <c r="O97" s="2"/>
      <c r="P97" s="2"/>
      <c r="Q97" s="2"/>
      <c r="R97" s="2"/>
      <c r="S97" s="2"/>
    </row>
    <row r="98" spans="2:19" x14ac:dyDescent="0.25">
      <c r="B98" s="5" t="s">
        <v>397</v>
      </c>
      <c r="C98" s="2">
        <v>105</v>
      </c>
      <c r="D98" s="2">
        <v>27</v>
      </c>
      <c r="E98" s="2">
        <v>13</v>
      </c>
      <c r="F9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7.7575000000000003</v>
      </c>
      <c r="G9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8" s="139">
        <f>ROUNDUP(Cajas[[#This Row],[Largo]]/2.54,2)</f>
        <v>41.339999999999996</v>
      </c>
      <c r="I98" s="2">
        <f>ROUNDUP(Cajas[[#This Row],[Ancho]]/2.54,2)</f>
        <v>10.629999999999999</v>
      </c>
      <c r="J98" s="142">
        <f>ROUNDUP(Cajas[[#This Row],[Alto]]/2.54,2)</f>
        <v>5.12</v>
      </c>
      <c r="K98" s="142"/>
      <c r="L98" s="2"/>
      <c r="M98" s="2"/>
      <c r="N98" s="2"/>
      <c r="O98" s="2"/>
      <c r="P98" s="2"/>
      <c r="Q98" s="2"/>
      <c r="R98" s="2"/>
      <c r="S98" s="2"/>
    </row>
    <row r="99" spans="2:19" x14ac:dyDescent="0.25">
      <c r="B99" s="5" t="s">
        <v>398</v>
      </c>
      <c r="C99" s="2">
        <v>105</v>
      </c>
      <c r="D99" s="2">
        <v>26</v>
      </c>
      <c r="E99" s="2">
        <v>15</v>
      </c>
      <c r="F9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8.488666666666667</v>
      </c>
      <c r="G9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99" s="139">
        <f>ROUNDUP(Cajas[[#This Row],[Largo]]/2.54,2)</f>
        <v>41.339999999999996</v>
      </c>
      <c r="I99" s="2">
        <f>ROUNDUP(Cajas[[#This Row],[Ancho]]/2.54,2)</f>
        <v>10.24</v>
      </c>
      <c r="J99" s="142">
        <f>ROUNDUP(Cajas[[#This Row],[Alto]]/2.54,2)</f>
        <v>5.91</v>
      </c>
      <c r="K99" s="142"/>
      <c r="L99" s="2"/>
      <c r="M99" s="2"/>
      <c r="N99" s="2"/>
      <c r="O99" s="2"/>
      <c r="P99" s="2"/>
      <c r="Q99" s="2"/>
      <c r="R99" s="2"/>
      <c r="S99" s="2"/>
    </row>
    <row r="100" spans="2:19" x14ac:dyDescent="0.25">
      <c r="B100" s="5" t="s">
        <v>399</v>
      </c>
      <c r="C100" s="2">
        <v>105</v>
      </c>
      <c r="D100" s="2">
        <v>27</v>
      </c>
      <c r="E100" s="2">
        <v>21</v>
      </c>
      <c r="F10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11.894833333333333</v>
      </c>
      <c r="G10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0" s="139">
        <f>ROUNDUP(Cajas[[#This Row],[Largo]]/2.54,2)</f>
        <v>41.339999999999996</v>
      </c>
      <c r="I100" s="2">
        <f>ROUNDUP(Cajas[[#This Row],[Ancho]]/2.54,2)</f>
        <v>10.629999999999999</v>
      </c>
      <c r="J100" s="142">
        <f>ROUNDUP(Cajas[[#This Row],[Alto]]/2.54,2)</f>
        <v>8.27</v>
      </c>
      <c r="K100" s="142"/>
      <c r="L100" s="2"/>
      <c r="M100" s="2"/>
      <c r="N100" s="2"/>
      <c r="O100" s="2"/>
      <c r="P100" s="2"/>
      <c r="Q100" s="2"/>
      <c r="R100" s="2"/>
      <c r="S100" s="2"/>
    </row>
    <row r="101" spans="2:19" x14ac:dyDescent="0.25">
      <c r="B101" s="5" t="s">
        <v>400</v>
      </c>
      <c r="C101" s="2">
        <v>105</v>
      </c>
      <c r="D101" s="2">
        <v>27</v>
      </c>
      <c r="E101" s="2">
        <v>28</v>
      </c>
      <c r="F10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15.515000000000001</v>
      </c>
      <c r="G10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1" s="139">
        <f>ROUNDUP(Cajas[[#This Row],[Largo]]/2.54,2)</f>
        <v>41.339999999999996</v>
      </c>
      <c r="I101" s="2">
        <f>ROUNDUP(Cajas[[#This Row],[Ancho]]/2.54,2)</f>
        <v>10.629999999999999</v>
      </c>
      <c r="J101" s="142">
        <f>ROUNDUP(Cajas[[#This Row],[Alto]]/2.54,2)</f>
        <v>11.03</v>
      </c>
      <c r="K101" s="142"/>
      <c r="L101" s="2"/>
      <c r="M101" s="2"/>
      <c r="N101" s="2"/>
      <c r="O101" s="2"/>
      <c r="P101" s="2"/>
      <c r="Q101" s="2"/>
      <c r="R101" s="2"/>
      <c r="S101" s="2"/>
    </row>
    <row r="102" spans="2:19" ht="15.75" thickBot="1" x14ac:dyDescent="0.3">
      <c r="B102" s="72" t="s">
        <v>401</v>
      </c>
      <c r="C102" s="73">
        <v>120</v>
      </c>
      <c r="D102" s="73">
        <v>30</v>
      </c>
      <c r="E102" s="73">
        <v>30</v>
      </c>
      <c r="F10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10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2" s="141">
        <f>ROUNDUP(Cajas[[#This Row],[Largo]]/2.54,2)</f>
        <v>47.25</v>
      </c>
      <c r="I102" s="73">
        <f>ROUNDUP(Cajas[[#This Row],[Ancho]]/2.54,2)</f>
        <v>11.82</v>
      </c>
      <c r="J102" s="144">
        <f>ROUNDUP(Cajas[[#This Row],[Alto]]/2.54,2)</f>
        <v>11.82</v>
      </c>
      <c r="K102" s="142"/>
      <c r="L102" s="2"/>
      <c r="M102" s="2"/>
      <c r="N102" s="2"/>
      <c r="O102" s="2"/>
      <c r="P102" s="2"/>
      <c r="Q102" s="2"/>
      <c r="R102" s="2"/>
      <c r="S102" s="2"/>
    </row>
    <row r="103" spans="2:19" x14ac:dyDescent="0.25">
      <c r="B103" s="17" t="s">
        <v>402</v>
      </c>
      <c r="C103" s="18">
        <v>105</v>
      </c>
      <c r="D103" s="18">
        <v>16</v>
      </c>
      <c r="E103" s="18">
        <v>13</v>
      </c>
      <c r="F103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4.8150000000000004</v>
      </c>
      <c r="G103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3" s="139">
        <f>ROUNDUP(Cajas[[#This Row],[Largo]]/2.54,2)</f>
        <v>41.339999999999996</v>
      </c>
      <c r="I103" s="2">
        <f>ROUNDUP(Cajas[[#This Row],[Ancho]]/2.54,2)</f>
        <v>6.3</v>
      </c>
      <c r="J103" s="142">
        <f>ROUNDUP(Cajas[[#This Row],[Alto]]/2.54,2)</f>
        <v>5.12</v>
      </c>
      <c r="K103" s="211"/>
      <c r="L103" s="2"/>
      <c r="M103" s="2"/>
      <c r="N103" s="2"/>
      <c r="O103" s="2"/>
      <c r="P103" s="2"/>
      <c r="Q103" s="2"/>
      <c r="R103" s="2"/>
      <c r="S103" s="2"/>
    </row>
    <row r="104" spans="2:19" x14ac:dyDescent="0.25">
      <c r="B104" s="5" t="s">
        <v>403</v>
      </c>
      <c r="C104" s="2">
        <v>94</v>
      </c>
      <c r="D104" s="2">
        <v>28</v>
      </c>
      <c r="E104" s="2">
        <v>14</v>
      </c>
      <c r="F10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7.68</v>
      </c>
      <c r="G104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4" s="139">
        <f>ROUNDUP(Cajas[[#This Row],[Largo]]/2.54,2)</f>
        <v>37.01</v>
      </c>
      <c r="I104" s="2">
        <f>ROUNDUP(Cajas[[#This Row],[Ancho]]/2.54,2)</f>
        <v>11.03</v>
      </c>
      <c r="J104" s="142">
        <f>ROUNDUP(Cajas[[#This Row],[Alto]]/2.54,2)</f>
        <v>5.52</v>
      </c>
      <c r="K104" s="212"/>
      <c r="L104" s="2"/>
      <c r="M104" s="2"/>
      <c r="N104" s="2"/>
      <c r="O104" s="2"/>
      <c r="P104" s="2"/>
      <c r="Q104" s="2"/>
      <c r="R104" s="2"/>
      <c r="S104" s="2"/>
    </row>
    <row r="105" spans="2:19" x14ac:dyDescent="0.25">
      <c r="B105" s="5" t="s">
        <v>404</v>
      </c>
      <c r="C105" s="2">
        <v>97</v>
      </c>
      <c r="D105" s="2">
        <v>30</v>
      </c>
      <c r="E105" s="2">
        <v>17</v>
      </c>
      <c r="F10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10.032</v>
      </c>
      <c r="G10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5" s="139">
        <f>ROUNDUP(Cajas[[#This Row],[Largo]]/2.54,2)</f>
        <v>38.19</v>
      </c>
      <c r="I105" s="2">
        <f>ROUNDUP(Cajas[[#This Row],[Ancho]]/2.54,2)</f>
        <v>11.82</v>
      </c>
      <c r="J105" s="142">
        <f>ROUNDUP(Cajas[[#This Row],[Alto]]/2.54,2)</f>
        <v>6.7</v>
      </c>
      <c r="K105" s="212"/>
      <c r="L105" s="2"/>
      <c r="M105" s="2"/>
      <c r="N105" s="2"/>
      <c r="O105" s="2"/>
      <c r="P105" s="2"/>
      <c r="Q105" s="2"/>
      <c r="R105" s="2"/>
      <c r="S105" s="2"/>
    </row>
    <row r="106" spans="2:19" x14ac:dyDescent="0.25">
      <c r="B106" s="5" t="s">
        <v>405</v>
      </c>
      <c r="C106" s="2">
        <v>90</v>
      </c>
      <c r="D106" s="2">
        <v>30</v>
      </c>
      <c r="E106" s="2">
        <v>28</v>
      </c>
      <c r="F10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14.72</v>
      </c>
      <c r="G106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6" s="139">
        <f>ROUNDUP(Cajas[[#This Row],[Largo]]/2.54,2)</f>
        <v>35.44</v>
      </c>
      <c r="I106" s="2">
        <f>ROUNDUP(Cajas[[#This Row],[Ancho]]/2.54,2)</f>
        <v>11.82</v>
      </c>
      <c r="J106" s="142">
        <f>ROUNDUP(Cajas[[#This Row],[Alto]]/2.54,2)</f>
        <v>11.03</v>
      </c>
      <c r="K106" s="212"/>
      <c r="L106" s="2"/>
      <c r="M106" s="2"/>
      <c r="N106" s="2"/>
      <c r="O106" s="2"/>
      <c r="P106" s="2"/>
      <c r="Q106" s="2"/>
      <c r="R106" s="2"/>
      <c r="S106" s="2"/>
    </row>
    <row r="107" spans="2:19" x14ac:dyDescent="0.25">
      <c r="B107" s="5" t="s">
        <v>405</v>
      </c>
      <c r="C107" s="2">
        <v>97</v>
      </c>
      <c r="D107" s="2">
        <v>30</v>
      </c>
      <c r="E107" s="2">
        <v>30</v>
      </c>
      <c r="F10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16.896000000000001</v>
      </c>
      <c r="G107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07" s="139">
        <f>ROUNDUP(Cajas[[#This Row],[Largo]]/2.54,2)</f>
        <v>38.19</v>
      </c>
      <c r="I107" s="2">
        <f>ROUNDUP(Cajas[[#This Row],[Ancho]]/2.54,2)</f>
        <v>11.82</v>
      </c>
      <c r="J107" s="142">
        <f>ROUNDUP(Cajas[[#This Row],[Alto]]/2.54,2)</f>
        <v>11.82</v>
      </c>
      <c r="K107" s="212"/>
      <c r="L107" s="2"/>
      <c r="M107" s="2"/>
      <c r="N107" s="2"/>
      <c r="O107" s="2"/>
      <c r="P107" s="2"/>
      <c r="Q107" s="2"/>
      <c r="R107" s="2"/>
      <c r="S107" s="2"/>
    </row>
    <row r="108" spans="2:19" x14ac:dyDescent="0.25">
      <c r="B108" s="5" t="s">
        <v>406</v>
      </c>
      <c r="C108" s="2">
        <v>120</v>
      </c>
      <c r="D108" s="2">
        <v>33</v>
      </c>
      <c r="E108" s="2">
        <v>33</v>
      </c>
      <c r="F10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24.908333333333335</v>
      </c>
      <c r="G108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8" s="139">
        <f>ROUNDUP(Cajas[[#This Row],[Largo]]/2.54,2)</f>
        <v>47.25</v>
      </c>
      <c r="I108" s="2">
        <f>ROUNDUP(Cajas[[#This Row],[Ancho]]/2.54,2)</f>
        <v>13</v>
      </c>
      <c r="J108" s="142">
        <f>ROUNDUP(Cajas[[#This Row],[Alto]]/2.54,2)</f>
        <v>13</v>
      </c>
      <c r="K108" s="212"/>
      <c r="L108" s="2"/>
      <c r="M108" s="2"/>
      <c r="N108" s="2"/>
      <c r="O108" s="2"/>
      <c r="P108" s="2"/>
      <c r="Q108" s="2"/>
      <c r="R108" s="2"/>
      <c r="S108" s="2"/>
    </row>
    <row r="109" spans="2:19" ht="15.75" thickBot="1" x14ac:dyDescent="0.3">
      <c r="B109" s="5" t="s">
        <v>407</v>
      </c>
      <c r="C109" s="2">
        <v>130</v>
      </c>
      <c r="D109" s="2">
        <v>33</v>
      </c>
      <c r="E109" s="2">
        <v>33</v>
      </c>
      <c r="F10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26.95</v>
      </c>
      <c r="G109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09" s="139">
        <f>ROUNDUP(Cajas[[#This Row],[Largo]]/2.54,2)</f>
        <v>51.19</v>
      </c>
      <c r="I109" s="2">
        <f>ROUNDUP(Cajas[[#This Row],[Ancho]]/2.54,2)</f>
        <v>13</v>
      </c>
      <c r="J109" s="142">
        <f>ROUNDUP(Cajas[[#This Row],[Alto]]/2.54,2)</f>
        <v>13</v>
      </c>
      <c r="K109" s="212"/>
      <c r="L109" s="2"/>
      <c r="M109" s="2"/>
      <c r="N109" s="2"/>
      <c r="O109" s="2"/>
      <c r="P109" s="2"/>
      <c r="Q109" s="2"/>
      <c r="R109" s="2"/>
      <c r="S109" s="2"/>
    </row>
    <row r="110" spans="2:19" x14ac:dyDescent="0.25">
      <c r="B110" s="17" t="s">
        <v>408</v>
      </c>
      <c r="C110" s="18">
        <v>100</v>
      </c>
      <c r="D110" s="18">
        <v>14</v>
      </c>
      <c r="E110" s="18">
        <v>12</v>
      </c>
      <c r="F110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3.8079999999999998</v>
      </c>
      <c r="G11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0" s="140">
        <f>ROUNDUP(Cajas[[#This Row],[Largo]]/2.54,2)</f>
        <v>39.379999999999995</v>
      </c>
      <c r="I110" s="18">
        <f>ROUNDUP(Cajas[[#This Row],[Ancho]]/2.54,2)</f>
        <v>5.52</v>
      </c>
      <c r="J110" s="143">
        <f>ROUNDUP(Cajas[[#This Row],[Alto]]/2.54,2)</f>
        <v>4.7299999999999995</v>
      </c>
      <c r="K110" s="143"/>
      <c r="L110" s="139"/>
      <c r="M110" s="2"/>
      <c r="N110" s="2"/>
      <c r="O110" s="2"/>
      <c r="P110" s="2"/>
      <c r="Q110" s="2"/>
      <c r="R110" s="2"/>
      <c r="S110" s="2"/>
    </row>
    <row r="111" spans="2:19" ht="15.75" thickBot="1" x14ac:dyDescent="0.3">
      <c r="B111" s="72" t="s">
        <v>409</v>
      </c>
      <c r="C111" s="73">
        <v>103</v>
      </c>
      <c r="D111" s="73">
        <v>30</v>
      </c>
      <c r="E111" s="73">
        <v>14</v>
      </c>
      <c r="F111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8.9600000000000009</v>
      </c>
      <c r="G11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1" s="141">
        <f>ROUNDUP(Cajas[[#This Row],[Largo]]/2.54,2)</f>
        <v>40.559999999999995</v>
      </c>
      <c r="I111" s="73">
        <f>ROUNDUP(Cajas[[#This Row],[Ancho]]/2.54,2)</f>
        <v>11.82</v>
      </c>
      <c r="J111" s="144">
        <f>ROUNDUP(Cajas[[#This Row],[Alto]]/2.54,2)</f>
        <v>5.52</v>
      </c>
      <c r="K111" s="144"/>
      <c r="L111" s="139"/>
      <c r="M111" s="2"/>
      <c r="N111" s="2"/>
      <c r="O111" s="2"/>
      <c r="P111" s="2"/>
      <c r="Q111" s="2"/>
      <c r="R111" s="2"/>
      <c r="S111" s="2"/>
    </row>
    <row r="112" spans="2:19" x14ac:dyDescent="0.25">
      <c r="B112" s="5" t="s">
        <v>410</v>
      </c>
      <c r="C112" s="2">
        <v>104</v>
      </c>
      <c r="D112" s="2">
        <v>15</v>
      </c>
      <c r="E112" s="2">
        <v>15</v>
      </c>
      <c r="F11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5.105666666666667</v>
      </c>
      <c r="G112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2" s="139">
        <f>ROUNDUP(Cajas[[#This Row],[Largo]]/2.54,2)</f>
        <v>40.949999999999996</v>
      </c>
      <c r="I112" s="2">
        <f>ROUNDUP(Cajas[[#This Row],[Ancho]]/2.54,2)</f>
        <v>5.91</v>
      </c>
      <c r="J112" s="142">
        <f>ROUNDUP(Cajas[[#This Row],[Alto]]/2.54,2)</f>
        <v>5.91</v>
      </c>
      <c r="K112" s="212"/>
      <c r="L112" s="2"/>
      <c r="M112" s="2"/>
      <c r="N112" s="2"/>
      <c r="O112" s="2"/>
      <c r="P112" s="2"/>
      <c r="Q112" s="2"/>
      <c r="R112" s="2"/>
      <c r="S112" s="2"/>
    </row>
    <row r="113" spans="2:19" ht="15.75" thickBot="1" x14ac:dyDescent="0.3">
      <c r="B113" s="5" t="s">
        <v>411</v>
      </c>
      <c r="C113" s="2">
        <v>104</v>
      </c>
      <c r="D113" s="2">
        <v>25</v>
      </c>
      <c r="E113" s="2">
        <v>15</v>
      </c>
      <c r="F11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8.109</v>
      </c>
      <c r="G113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3" s="141">
        <f>ROUNDUP(Cajas[[#This Row],[Largo]]/2.54,2)</f>
        <v>40.949999999999996</v>
      </c>
      <c r="I113" s="73">
        <f>ROUNDUP(Cajas[[#This Row],[Ancho]]/2.54,2)</f>
        <v>9.85</v>
      </c>
      <c r="J113" s="144">
        <f>ROUNDUP(Cajas[[#This Row],[Alto]]/2.54,2)</f>
        <v>5.91</v>
      </c>
      <c r="K113" s="213"/>
      <c r="L113" s="2"/>
      <c r="M113" s="2"/>
      <c r="N113" s="2"/>
      <c r="O113" s="2"/>
      <c r="P113" s="2"/>
      <c r="Q113" s="2"/>
      <c r="R113" s="2"/>
      <c r="S113" s="2"/>
    </row>
    <row r="114" spans="2:19" x14ac:dyDescent="0.25">
      <c r="B114" s="17" t="s">
        <v>412</v>
      </c>
      <c r="C114" s="18">
        <v>80</v>
      </c>
      <c r="D114" s="18">
        <v>18</v>
      </c>
      <c r="E114" s="18">
        <v>20</v>
      </c>
      <c r="F114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6.0133333333333336</v>
      </c>
      <c r="G11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4" s="139">
        <f>ROUNDUP(Cajas[[#This Row],[Largo]]/2.54,2)</f>
        <v>31.5</v>
      </c>
      <c r="I114" s="2">
        <f>ROUNDUP(Cajas[[#This Row],[Ancho]]/2.54,2)</f>
        <v>7.09</v>
      </c>
      <c r="J114" s="142">
        <f>ROUNDUP(Cajas[[#This Row],[Alto]]/2.54,2)</f>
        <v>7.88</v>
      </c>
      <c r="K114" s="211"/>
      <c r="L114" s="2"/>
      <c r="M114" s="2" t="s">
        <v>346</v>
      </c>
      <c r="N114" s="2" t="s">
        <v>346</v>
      </c>
      <c r="O114" s="2"/>
      <c r="P114" s="2"/>
      <c r="Q114" s="2"/>
      <c r="R114" s="2"/>
      <c r="S114" s="2"/>
    </row>
    <row r="115" spans="2:19" x14ac:dyDescent="0.25">
      <c r="B115" s="5" t="s">
        <v>413</v>
      </c>
      <c r="C115" s="2">
        <v>96</v>
      </c>
      <c r="D115" s="2">
        <v>32</v>
      </c>
      <c r="E115" s="2">
        <v>20</v>
      </c>
      <c r="F11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12.217333333333332</v>
      </c>
      <c r="G11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5" s="139">
        <f>ROUNDUP(Cajas[[#This Row],[Largo]]/2.54,2)</f>
        <v>37.799999999999997</v>
      </c>
      <c r="I115" s="2">
        <f>ROUNDUP(Cajas[[#This Row],[Ancho]]/2.54,2)</f>
        <v>12.6</v>
      </c>
      <c r="J115" s="142">
        <f>ROUNDUP(Cajas[[#This Row],[Alto]]/2.54,2)</f>
        <v>7.88</v>
      </c>
      <c r="K115" s="212"/>
      <c r="L115" s="2" t="s">
        <v>314</v>
      </c>
      <c r="M115" s="2" t="s">
        <v>314</v>
      </c>
      <c r="N115" s="2" t="s">
        <v>312</v>
      </c>
      <c r="O115" s="2" t="s">
        <v>312</v>
      </c>
      <c r="P115" s="2"/>
      <c r="Q115" s="2"/>
      <c r="R115" s="2"/>
      <c r="S115" s="2"/>
    </row>
    <row r="116" spans="2:19" x14ac:dyDescent="0.25">
      <c r="B116" s="5" t="s">
        <v>414</v>
      </c>
      <c r="C116" s="2">
        <v>104</v>
      </c>
      <c r="D116" s="2">
        <v>30</v>
      </c>
      <c r="E116" s="2">
        <v>15</v>
      </c>
      <c r="F11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9.6106666666666669</v>
      </c>
      <c r="G11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6" s="139">
        <f>ROUNDUP(Cajas[[#This Row],[Largo]]/2.54,2)</f>
        <v>40.949999999999996</v>
      </c>
      <c r="I116" s="2">
        <f>ROUNDUP(Cajas[[#This Row],[Ancho]]/2.54,2)</f>
        <v>11.82</v>
      </c>
      <c r="J116" s="142">
        <f>ROUNDUP(Cajas[[#This Row],[Alto]]/2.54,2)</f>
        <v>5.91</v>
      </c>
      <c r="K116" s="212"/>
      <c r="L116" s="2" t="s">
        <v>314</v>
      </c>
      <c r="M116" s="2" t="s">
        <v>314</v>
      </c>
      <c r="N116" s="2" t="s">
        <v>312</v>
      </c>
      <c r="O116" s="2" t="s">
        <v>415</v>
      </c>
      <c r="P116" s="2"/>
      <c r="Q116" s="2"/>
      <c r="R116" s="2"/>
      <c r="S116" s="2"/>
    </row>
    <row r="117" spans="2:19" x14ac:dyDescent="0.25">
      <c r="B117" s="5" t="s">
        <v>416</v>
      </c>
      <c r="C117" s="2">
        <v>120</v>
      </c>
      <c r="D117" s="2">
        <v>32</v>
      </c>
      <c r="E117" s="2">
        <v>30</v>
      </c>
      <c r="F11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22.122666666666667</v>
      </c>
      <c r="G11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17" s="139">
        <f>ROUNDUP(Cajas[[#This Row],[Largo]]/2.54,2)</f>
        <v>47.25</v>
      </c>
      <c r="I117" s="2">
        <f>ROUNDUP(Cajas[[#This Row],[Ancho]]/2.54,2)</f>
        <v>12.6</v>
      </c>
      <c r="J117" s="142">
        <f>ROUNDUP(Cajas[[#This Row],[Alto]]/2.54,2)</f>
        <v>11.82</v>
      </c>
      <c r="K117" s="212"/>
      <c r="L117" s="2" t="s">
        <v>303</v>
      </c>
      <c r="M117" s="2" t="s">
        <v>308</v>
      </c>
      <c r="N117" s="2" t="s">
        <v>308</v>
      </c>
      <c r="O117" s="2" t="s">
        <v>312</v>
      </c>
      <c r="P117" s="2"/>
      <c r="Q117" s="2"/>
      <c r="R117" s="2"/>
      <c r="S117" s="2"/>
    </row>
    <row r="118" spans="2:19" x14ac:dyDescent="0.25">
      <c r="B118" s="5" t="s">
        <v>417</v>
      </c>
      <c r="C118" s="2">
        <v>104</v>
      </c>
      <c r="D118" s="2">
        <v>25</v>
      </c>
      <c r="E118" s="2">
        <v>25</v>
      </c>
      <c r="F11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12.879</v>
      </c>
      <c r="G11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8" s="139">
        <f>ROUNDUP(Cajas[[#This Row],[Largo]]/2.54,2)</f>
        <v>40.949999999999996</v>
      </c>
      <c r="I118" s="2">
        <f>ROUNDUP(Cajas[[#This Row],[Ancho]]/2.54,2)</f>
        <v>9.85</v>
      </c>
      <c r="J118" s="142">
        <f>ROUNDUP(Cajas[[#This Row],[Alto]]/2.54,2)</f>
        <v>9.85</v>
      </c>
      <c r="K118" s="212"/>
      <c r="L118" s="2" t="s">
        <v>418</v>
      </c>
      <c r="M118" s="2" t="s">
        <v>308</v>
      </c>
      <c r="N118" s="2" t="s">
        <v>312</v>
      </c>
      <c r="O118" s="2" t="s">
        <v>312</v>
      </c>
      <c r="P118" s="2"/>
      <c r="Q118" s="2"/>
      <c r="R118" s="2"/>
      <c r="S118" s="2"/>
    </row>
    <row r="119" spans="2:19" x14ac:dyDescent="0.25">
      <c r="B119" s="5" t="s">
        <v>419</v>
      </c>
      <c r="C119" s="2">
        <v>104</v>
      </c>
      <c r="D119" s="2">
        <v>30</v>
      </c>
      <c r="E119" s="2">
        <v>30</v>
      </c>
      <c r="F11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18.090666666666667</v>
      </c>
      <c r="G11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19" s="139">
        <f>ROUNDUP(Cajas[[#This Row],[Largo]]/2.54,2)</f>
        <v>40.949999999999996</v>
      </c>
      <c r="I119" s="2">
        <f>ROUNDUP(Cajas[[#This Row],[Ancho]]/2.54,2)</f>
        <v>11.82</v>
      </c>
      <c r="J119" s="142">
        <f>ROUNDUP(Cajas[[#This Row],[Alto]]/2.54,2)</f>
        <v>11.82</v>
      </c>
      <c r="K119" s="212"/>
      <c r="L119" s="2" t="s">
        <v>305</v>
      </c>
      <c r="M119" s="2" t="s">
        <v>300</v>
      </c>
      <c r="N119" s="2" t="s">
        <v>303</v>
      </c>
      <c r="O119" s="2" t="s">
        <v>308</v>
      </c>
      <c r="P119" s="2"/>
      <c r="Q119" s="2"/>
      <c r="R119" s="2"/>
      <c r="S119" s="2"/>
    </row>
    <row r="120" spans="2:19" x14ac:dyDescent="0.25">
      <c r="B120" s="5" t="s">
        <v>420</v>
      </c>
      <c r="C120" s="2">
        <v>120</v>
      </c>
      <c r="D120" s="2">
        <v>35</v>
      </c>
      <c r="E120" s="2">
        <v>35</v>
      </c>
      <c r="F12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2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0" s="139">
        <f>ROUNDUP(Cajas[[#This Row],[Largo]]/2.54,2)</f>
        <v>47.25</v>
      </c>
      <c r="I120" s="2">
        <f>ROUNDUP(Cajas[[#This Row],[Ancho]]/2.54,2)</f>
        <v>13.78</v>
      </c>
      <c r="J120" s="142">
        <f>ROUNDUP(Cajas[[#This Row],[Alto]]/2.54,2)</f>
        <v>13.78</v>
      </c>
      <c r="K120" s="212"/>
      <c r="L120" s="2" t="s">
        <v>355</v>
      </c>
      <c r="M120" s="2" t="s">
        <v>355</v>
      </c>
      <c r="N120" s="2" t="s">
        <v>356</v>
      </c>
      <c r="O120" s="2" t="s">
        <v>352</v>
      </c>
      <c r="P120" s="2"/>
      <c r="Q120" s="2"/>
      <c r="R120" s="2"/>
      <c r="S120" s="2"/>
    </row>
    <row r="121" spans="2:19" x14ac:dyDescent="0.25">
      <c r="B121" s="5" t="s">
        <v>421</v>
      </c>
      <c r="C121" s="2">
        <v>120</v>
      </c>
      <c r="D121" s="2">
        <v>40</v>
      </c>
      <c r="E121" s="2">
        <v>40</v>
      </c>
      <c r="F12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35.868000000000002</v>
      </c>
      <c r="G12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1" s="139">
        <f>ROUNDUP(Cajas[[#This Row],[Largo]]/2.54,2)</f>
        <v>47.25</v>
      </c>
      <c r="I121" s="2">
        <f>ROUNDUP(Cajas[[#This Row],[Ancho]]/2.54,2)</f>
        <v>15.75</v>
      </c>
      <c r="J121" s="142">
        <f>ROUNDUP(Cajas[[#This Row],[Alto]]/2.54,2)</f>
        <v>15.75</v>
      </c>
      <c r="K121" s="212"/>
      <c r="L121" s="2" t="s">
        <v>359</v>
      </c>
      <c r="M121" s="2" t="s">
        <v>355</v>
      </c>
      <c r="N121" s="2" t="s">
        <v>356</v>
      </c>
      <c r="O121" s="2" t="s">
        <v>298</v>
      </c>
      <c r="P121" s="2"/>
      <c r="Q121" s="2"/>
      <c r="R121" s="2"/>
      <c r="S121" s="2"/>
    </row>
    <row r="122" spans="2:19" ht="15.75" thickBot="1" x14ac:dyDescent="0.3">
      <c r="B122" s="5" t="s">
        <v>422</v>
      </c>
      <c r="C122" s="2">
        <v>120</v>
      </c>
      <c r="D122" s="2">
        <v>30</v>
      </c>
      <c r="E122" s="2">
        <v>30</v>
      </c>
      <c r="F122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20.821333333333332</v>
      </c>
      <c r="G12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2" s="139">
        <f>ROUNDUP(Cajas[[#This Row],[Largo]]/2.54,2)</f>
        <v>47.25</v>
      </c>
      <c r="I122" s="2">
        <f>ROUNDUP(Cajas[[#This Row],[Ancho]]/2.54,2)</f>
        <v>11.82</v>
      </c>
      <c r="J122" s="142">
        <f>ROUNDUP(Cajas[[#This Row],[Alto]]/2.54,2)</f>
        <v>11.82</v>
      </c>
      <c r="K122" s="213"/>
      <c r="L122" s="2" t="s">
        <v>352</v>
      </c>
      <c r="M122" s="2" t="s">
        <v>305</v>
      </c>
      <c r="N122" s="2" t="s">
        <v>302</v>
      </c>
      <c r="O122" s="2" t="s">
        <v>306</v>
      </c>
      <c r="P122" s="2"/>
      <c r="Q122" s="2"/>
      <c r="R122" s="2"/>
      <c r="S122" s="2"/>
    </row>
    <row r="123" spans="2:19" ht="15.75" thickBot="1" x14ac:dyDescent="0.3">
      <c r="B123" s="17" t="s">
        <v>423</v>
      </c>
      <c r="C123" s="18">
        <v>102.11</v>
      </c>
      <c r="D123" s="18">
        <v>17.02</v>
      </c>
      <c r="E123" s="18">
        <v>13</v>
      </c>
      <c r="F12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4.9504304999999995</v>
      </c>
      <c r="G123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3" s="140">
        <f>ROUNDUP(Cajas[[#This Row],[Largo]]/2.54,2)</f>
        <v>40.21</v>
      </c>
      <c r="I123" s="18">
        <f>ROUNDUP(Cajas[[#This Row],[Ancho]]/2.54,2)</f>
        <v>6.71</v>
      </c>
      <c r="J123" s="143">
        <f>ROUNDUP(Cajas[[#This Row],[Alto]]/2.54,2)</f>
        <v>5.12</v>
      </c>
      <c r="K123" s="212"/>
      <c r="L123" s="139"/>
      <c r="M123" s="2" t="s">
        <v>300</v>
      </c>
      <c r="N123" s="2" t="s">
        <v>300</v>
      </c>
      <c r="O123" s="2" t="s">
        <v>300</v>
      </c>
      <c r="P123" s="2"/>
      <c r="Q123" s="2"/>
      <c r="R123" s="2"/>
      <c r="S123" s="2"/>
    </row>
    <row r="124" spans="2:19" x14ac:dyDescent="0.25">
      <c r="B124" s="17" t="s">
        <v>374</v>
      </c>
      <c r="C124" s="18">
        <v>103</v>
      </c>
      <c r="D124" s="18">
        <v>15</v>
      </c>
      <c r="E124" s="18">
        <v>12</v>
      </c>
      <c r="F124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4.165</v>
      </c>
      <c r="G124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4" s="140">
        <f>ROUNDUP(Cajas[[#This Row],[Largo]]/2.54,2)</f>
        <v>40.559999999999995</v>
      </c>
      <c r="I124" s="18">
        <f>ROUNDUP(Cajas[[#This Row],[Ancho]]/2.54,2)</f>
        <v>5.91</v>
      </c>
      <c r="J124" s="143">
        <f>ROUNDUP(Cajas[[#This Row],[Alto]]/2.54,2)</f>
        <v>4.7299999999999995</v>
      </c>
      <c r="K124" s="143"/>
      <c r="L124" s="139"/>
      <c r="M124" s="2"/>
      <c r="N124" s="2"/>
      <c r="O124" s="2"/>
      <c r="P124" s="2"/>
      <c r="Q124" s="2"/>
      <c r="R124" s="2"/>
      <c r="S124" s="2"/>
    </row>
    <row r="125" spans="2:19" x14ac:dyDescent="0.25">
      <c r="B125" s="5" t="s">
        <v>373</v>
      </c>
      <c r="C125" s="2">
        <v>104</v>
      </c>
      <c r="D125" s="2">
        <v>25.5</v>
      </c>
      <c r="E125" s="2">
        <v>12</v>
      </c>
      <c r="F12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6.8016666666666667</v>
      </c>
      <c r="G12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5" s="139">
        <f>ROUNDUP(Cajas[[#This Row],[Largo]]/2.54,2)</f>
        <v>40.949999999999996</v>
      </c>
      <c r="I125" s="2">
        <f>ROUNDUP(Cajas[[#This Row],[Ancho]]/2.54,2)</f>
        <v>10.039999999999999</v>
      </c>
      <c r="J125" s="142">
        <f>ROUNDUP(Cajas[[#This Row],[Alto]]/2.54,2)</f>
        <v>4.7299999999999995</v>
      </c>
      <c r="K125" s="142"/>
      <c r="L125" s="139"/>
      <c r="M125" s="2"/>
      <c r="N125" s="2"/>
      <c r="O125" s="2"/>
      <c r="P125" s="2"/>
      <c r="Q125" s="2"/>
      <c r="R125" s="2"/>
      <c r="S125" s="2"/>
    </row>
    <row r="126" spans="2:19" x14ac:dyDescent="0.25">
      <c r="B126" s="5" t="s">
        <v>372</v>
      </c>
      <c r="C126" s="2">
        <v>104</v>
      </c>
      <c r="D126" s="2">
        <v>24</v>
      </c>
      <c r="E126" s="2">
        <v>16</v>
      </c>
      <c r="F12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8.2680000000000007</v>
      </c>
      <c r="G12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6" s="139">
        <f>ROUNDUP(Cajas[[#This Row],[Largo]]/2.54,2)</f>
        <v>40.949999999999996</v>
      </c>
      <c r="I126" s="2">
        <f>ROUNDUP(Cajas[[#This Row],[Ancho]]/2.54,2)</f>
        <v>9.4499999999999993</v>
      </c>
      <c r="J126" s="142">
        <f>ROUNDUP(Cajas[[#This Row],[Alto]]/2.54,2)</f>
        <v>6.3</v>
      </c>
      <c r="K126" s="142"/>
      <c r="L126" s="139"/>
      <c r="M126" s="2"/>
      <c r="N126" s="2"/>
      <c r="O126" s="2"/>
      <c r="P126" s="2"/>
      <c r="Q126" s="2"/>
      <c r="R126" s="2"/>
      <c r="S126" s="2"/>
    </row>
    <row r="127" spans="2:19" x14ac:dyDescent="0.25">
      <c r="B127" s="5" t="s">
        <v>424</v>
      </c>
      <c r="C127" s="2">
        <v>105</v>
      </c>
      <c r="D127" s="2">
        <v>25.5</v>
      </c>
      <c r="E127" s="2">
        <v>25</v>
      </c>
      <c r="F12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13.241250000000001</v>
      </c>
      <c r="G127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27" s="139">
        <f>ROUNDUP(Cajas[[#This Row],[Largo]]/2.54,2)</f>
        <v>41.339999999999996</v>
      </c>
      <c r="I127" s="2">
        <f>ROUNDUP(Cajas[[#This Row],[Ancho]]/2.54,2)</f>
        <v>10.039999999999999</v>
      </c>
      <c r="J127" s="142">
        <f>ROUNDUP(Cajas[[#This Row],[Alto]]/2.54,2)</f>
        <v>9.85</v>
      </c>
      <c r="K127" s="142"/>
      <c r="L127" s="139"/>
      <c r="M127" s="2"/>
      <c r="N127" s="2"/>
      <c r="O127" s="2"/>
      <c r="P127" s="2"/>
      <c r="Q127" s="2"/>
      <c r="R127" s="2"/>
      <c r="S127" s="2"/>
    </row>
    <row r="128" spans="2:19" ht="15.75" thickBot="1" x14ac:dyDescent="0.3">
      <c r="B128" s="5" t="s">
        <v>425</v>
      </c>
      <c r="C128" s="2">
        <v>120</v>
      </c>
      <c r="D128" s="2">
        <v>35</v>
      </c>
      <c r="E128" s="2">
        <v>35</v>
      </c>
      <c r="F12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28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8" s="139">
        <f>ROUNDUP(Cajas[[#This Row],[Largo]]/2.54,2)</f>
        <v>47.25</v>
      </c>
      <c r="I128" s="2">
        <f>ROUNDUP(Cajas[[#This Row],[Ancho]]/2.54,2)</f>
        <v>13.78</v>
      </c>
      <c r="J128" s="142">
        <f>ROUNDUP(Cajas[[#This Row],[Alto]]/2.54,2)</f>
        <v>13.78</v>
      </c>
      <c r="K128" s="142"/>
      <c r="L128" s="139"/>
      <c r="M128" s="2"/>
      <c r="N128" s="2"/>
      <c r="O128" s="2"/>
      <c r="P128" s="2"/>
      <c r="Q128" s="2"/>
      <c r="R128" s="2"/>
      <c r="S128" s="2"/>
    </row>
    <row r="129" spans="2:19" x14ac:dyDescent="0.25">
      <c r="B129" s="17" t="s">
        <v>426</v>
      </c>
      <c r="C129" s="18">
        <v>101</v>
      </c>
      <c r="D129" s="18">
        <v>30</v>
      </c>
      <c r="E129" s="18">
        <v>20</v>
      </c>
      <c r="F129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12.085333333333333</v>
      </c>
      <c r="G12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29" s="140">
        <f>ROUNDUP(Cajas[[#This Row],[Largo]]/2.54,2)</f>
        <v>39.769999999999996</v>
      </c>
      <c r="I129" s="18">
        <f>ROUNDUP(Cajas[[#This Row],[Ancho]]/2.54,2)</f>
        <v>11.82</v>
      </c>
      <c r="J129" s="143">
        <f>ROUNDUP(Cajas[[#This Row],[Alto]]/2.54,2)</f>
        <v>7.88</v>
      </c>
      <c r="K129" s="211"/>
      <c r="L129" s="2" t="s">
        <v>308</v>
      </c>
      <c r="M129" s="2" t="s">
        <v>311</v>
      </c>
      <c r="N129" s="2" t="s">
        <v>311</v>
      </c>
      <c r="O129" s="2" t="s">
        <v>312</v>
      </c>
      <c r="P129" s="2" t="s">
        <v>312</v>
      </c>
      <c r="Q129" s="2"/>
      <c r="R129" s="2"/>
      <c r="S129" s="2"/>
    </row>
    <row r="130" spans="2:19" x14ac:dyDescent="0.25">
      <c r="B130" s="5" t="s">
        <v>427</v>
      </c>
      <c r="C130" s="2">
        <v>100</v>
      </c>
      <c r="D130" s="2">
        <v>35</v>
      </c>
      <c r="E130" s="2">
        <v>35</v>
      </c>
      <c r="F13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23.273</v>
      </c>
      <c r="G13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0" s="139">
        <f>ROUNDUP(Cajas[[#This Row],[Largo]]/2.54,2)</f>
        <v>39.379999999999995</v>
      </c>
      <c r="I130" s="2">
        <f>ROUNDUP(Cajas[[#This Row],[Ancho]]/2.54,2)</f>
        <v>13.78</v>
      </c>
      <c r="J130" s="142">
        <f>ROUNDUP(Cajas[[#This Row],[Alto]]/2.54,2)</f>
        <v>13.78</v>
      </c>
      <c r="K130" s="212"/>
      <c r="L130" s="2" t="s">
        <v>305</v>
      </c>
      <c r="M130" s="2" t="s">
        <v>305</v>
      </c>
      <c r="N130" s="2" t="s">
        <v>300</v>
      </c>
      <c r="O130" s="2"/>
      <c r="P130" s="2"/>
      <c r="Q130" s="2"/>
      <c r="R130" s="2"/>
      <c r="S130" s="2"/>
    </row>
    <row r="131" spans="2:19" x14ac:dyDescent="0.25">
      <c r="B131" s="5" t="s">
        <v>428</v>
      </c>
      <c r="C131" s="2">
        <v>110</v>
      </c>
      <c r="D131" s="2">
        <v>25</v>
      </c>
      <c r="E131" s="2">
        <v>25</v>
      </c>
      <c r="F13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13.608000000000001</v>
      </c>
      <c r="G13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1" s="139">
        <f>ROUNDUP(Cajas[[#This Row],[Largo]]/2.54,2)</f>
        <v>43.309999999999995</v>
      </c>
      <c r="I131" s="2">
        <f>ROUNDUP(Cajas[[#This Row],[Ancho]]/2.54,2)</f>
        <v>9.85</v>
      </c>
      <c r="J131" s="142">
        <f>ROUNDUP(Cajas[[#This Row],[Alto]]/2.54,2)</f>
        <v>9.85</v>
      </c>
      <c r="K131" s="212"/>
      <c r="L131" s="2" t="s">
        <v>352</v>
      </c>
      <c r="M131" s="2" t="s">
        <v>352</v>
      </c>
      <c r="N131" s="2" t="s">
        <v>305</v>
      </c>
      <c r="O131" s="2" t="s">
        <v>305</v>
      </c>
      <c r="P131" s="2" t="s">
        <v>305</v>
      </c>
      <c r="Q131" s="2"/>
      <c r="R131" s="2"/>
      <c r="S131" s="2"/>
    </row>
    <row r="132" spans="2:19" x14ac:dyDescent="0.25">
      <c r="B132" s="5" t="s">
        <v>429</v>
      </c>
      <c r="C132" s="2">
        <v>120</v>
      </c>
      <c r="D132" s="2">
        <v>35</v>
      </c>
      <c r="E132" s="2">
        <v>35</v>
      </c>
      <c r="F13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3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2" s="139">
        <f>ROUNDUP(Cajas[[#This Row],[Largo]]/2.54,2)</f>
        <v>47.25</v>
      </c>
      <c r="I132" s="2">
        <f>ROUNDUP(Cajas[[#This Row],[Ancho]]/2.54,2)</f>
        <v>13.78</v>
      </c>
      <c r="J132" s="142">
        <f>ROUNDUP(Cajas[[#This Row],[Alto]]/2.54,2)</f>
        <v>13.78</v>
      </c>
      <c r="K132" s="212"/>
      <c r="L132" s="2" t="s">
        <v>356</v>
      </c>
      <c r="M132" s="2" t="s">
        <v>352</v>
      </c>
      <c r="N132" s="2" t="s">
        <v>305</v>
      </c>
      <c r="O132" s="2" t="s">
        <v>305</v>
      </c>
      <c r="P132" s="2" t="s">
        <v>305</v>
      </c>
      <c r="Q132" s="2"/>
      <c r="R132" s="2"/>
      <c r="S132" s="2"/>
    </row>
    <row r="133" spans="2:19" ht="15.75" thickBot="1" x14ac:dyDescent="0.3">
      <c r="B133" s="72" t="s">
        <v>430</v>
      </c>
      <c r="C133" s="73">
        <v>130</v>
      </c>
      <c r="D133" s="73">
        <v>35</v>
      </c>
      <c r="E133" s="73">
        <v>35</v>
      </c>
      <c r="F133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30.117999999999999</v>
      </c>
      <c r="G13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3" s="141">
        <f>ROUNDUP(Cajas[[#This Row],[Largo]]/2.54,2)</f>
        <v>51.19</v>
      </c>
      <c r="I133" s="73">
        <f>ROUNDUP(Cajas[[#This Row],[Ancho]]/2.54,2)</f>
        <v>13.78</v>
      </c>
      <c r="J133" s="144">
        <f>ROUNDUP(Cajas[[#This Row],[Alto]]/2.54,2)</f>
        <v>13.78</v>
      </c>
      <c r="K133" s="213"/>
      <c r="L133" s="2" t="s">
        <v>296</v>
      </c>
      <c r="M133" s="2" t="s">
        <v>356</v>
      </c>
      <c r="N133" s="2" t="s">
        <v>352</v>
      </c>
      <c r="O133" s="2" t="s">
        <v>305</v>
      </c>
      <c r="P133" s="2" t="s">
        <v>305</v>
      </c>
      <c r="Q133" s="2"/>
      <c r="R133" s="2"/>
      <c r="S133" s="2"/>
    </row>
    <row r="134" spans="2:19" x14ac:dyDescent="0.25">
      <c r="B134" s="17" t="s">
        <v>431</v>
      </c>
      <c r="C134" s="18">
        <v>58</v>
      </c>
      <c r="D134" s="18">
        <v>31.8</v>
      </c>
      <c r="E134" s="18">
        <v>40</v>
      </c>
      <c r="F13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14.195999999999998</v>
      </c>
      <c r="G134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4" s="139">
        <f>ROUNDUP(Cajas[[#This Row],[Largo]]/2.54,2)</f>
        <v>22.84</v>
      </c>
      <c r="I134" s="2">
        <f>ROUNDUP(Cajas[[#This Row],[Ancho]]/2.54,2)</f>
        <v>12.52</v>
      </c>
      <c r="J134" s="142">
        <f>ROUNDUP(Cajas[[#This Row],[Alto]]/2.54,2)</f>
        <v>15.75</v>
      </c>
      <c r="K134" s="212"/>
      <c r="L134" s="2"/>
      <c r="M134" s="2"/>
      <c r="N134" s="2"/>
      <c r="O134" s="2"/>
      <c r="P134" s="2"/>
      <c r="Q134" s="2"/>
      <c r="R134" s="2"/>
      <c r="S134" s="2"/>
    </row>
    <row r="135" spans="2:19" x14ac:dyDescent="0.25">
      <c r="B135" s="5" t="s">
        <v>432</v>
      </c>
      <c r="C135" s="2">
        <v>69.599999999999994</v>
      </c>
      <c r="D135" s="2">
        <v>36</v>
      </c>
      <c r="E135" s="2">
        <v>47.3</v>
      </c>
      <c r="F13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22.355906666666662</v>
      </c>
      <c r="G13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5" s="139">
        <f>ROUNDUP(Cajas[[#This Row],[Largo]]/2.54,2)</f>
        <v>27.41</v>
      </c>
      <c r="I135" s="2">
        <f>ROUNDUP(Cajas[[#This Row],[Ancho]]/2.54,2)</f>
        <v>14.18</v>
      </c>
      <c r="J135" s="142">
        <f>ROUNDUP(Cajas[[#This Row],[Alto]]/2.54,2)</f>
        <v>18.630000000000003</v>
      </c>
      <c r="K135" s="212"/>
      <c r="L135" s="2"/>
      <c r="M135" s="2"/>
      <c r="N135" s="2"/>
      <c r="O135" s="2"/>
      <c r="P135" s="2"/>
      <c r="Q135" s="2"/>
      <c r="R135" s="2"/>
      <c r="S135" s="2"/>
    </row>
    <row r="136" spans="2:19" x14ac:dyDescent="0.25">
      <c r="B136" s="5" t="s">
        <v>433</v>
      </c>
      <c r="C136" s="2">
        <v>70</v>
      </c>
      <c r="D136" s="2">
        <v>22.5</v>
      </c>
      <c r="E136" s="2">
        <v>15</v>
      </c>
      <c r="F13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4.9980000000000002</v>
      </c>
      <c r="G136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6" s="139">
        <f>ROUNDUP(Cajas[[#This Row],[Largo]]/2.54,2)</f>
        <v>27.560000000000002</v>
      </c>
      <c r="I136" s="2">
        <f>ROUNDUP(Cajas[[#This Row],[Ancho]]/2.54,2)</f>
        <v>8.86</v>
      </c>
      <c r="J136" s="142">
        <f>ROUNDUP(Cajas[[#This Row],[Alto]]/2.54,2)</f>
        <v>5.91</v>
      </c>
      <c r="K136" s="212"/>
      <c r="L136" s="2"/>
      <c r="M136" s="2"/>
      <c r="N136" s="2"/>
      <c r="O136" s="2"/>
      <c r="P136" s="2"/>
      <c r="Q136" s="2"/>
      <c r="R136" s="2"/>
      <c r="S136" s="2"/>
    </row>
    <row r="137" spans="2:19" x14ac:dyDescent="0.25">
      <c r="B137" s="5" t="s">
        <v>434</v>
      </c>
      <c r="C137" s="2">
        <v>90</v>
      </c>
      <c r="D137" s="2">
        <v>17</v>
      </c>
      <c r="E137" s="2">
        <v>28</v>
      </c>
      <c r="F13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8.74</v>
      </c>
      <c r="G137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7" s="139">
        <f>ROUNDUP(Cajas[[#This Row],[Largo]]/2.54,2)</f>
        <v>35.44</v>
      </c>
      <c r="I137" s="2">
        <f>ROUNDUP(Cajas[[#This Row],[Ancho]]/2.54,2)</f>
        <v>6.7</v>
      </c>
      <c r="J137" s="142">
        <f>ROUNDUP(Cajas[[#This Row],[Alto]]/2.54,2)</f>
        <v>11.03</v>
      </c>
      <c r="K137" s="212"/>
      <c r="L137" s="2"/>
      <c r="M137" s="2"/>
      <c r="N137" s="2"/>
      <c r="O137" s="2"/>
      <c r="P137" s="2"/>
      <c r="Q137" s="2"/>
      <c r="R137" s="2"/>
      <c r="S137" s="2"/>
    </row>
    <row r="138" spans="2:19" ht="15.75" thickBot="1" x14ac:dyDescent="0.3">
      <c r="B138" s="5" t="s">
        <v>435</v>
      </c>
      <c r="C138" s="2">
        <v>105</v>
      </c>
      <c r="D138" s="2">
        <v>30</v>
      </c>
      <c r="E138" s="2">
        <v>30</v>
      </c>
      <c r="F13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138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38" s="139">
        <f>ROUNDUP(Cajas[[#This Row],[Largo]]/2.54,2)</f>
        <v>41.339999999999996</v>
      </c>
      <c r="I138" s="2">
        <f>ROUNDUP(Cajas[[#This Row],[Ancho]]/2.54,2)</f>
        <v>11.82</v>
      </c>
      <c r="J138" s="142">
        <f>ROUNDUP(Cajas[[#This Row],[Alto]]/2.54,2)</f>
        <v>11.82</v>
      </c>
      <c r="K138" s="212"/>
      <c r="L138" s="2"/>
      <c r="M138" s="2"/>
      <c r="N138" s="2"/>
      <c r="O138" s="2"/>
      <c r="P138" s="2"/>
      <c r="Q138" s="2"/>
      <c r="R138" s="2"/>
      <c r="S138" s="2"/>
    </row>
    <row r="139" spans="2:19" x14ac:dyDescent="0.25">
      <c r="B139" s="17" t="s">
        <v>436</v>
      </c>
      <c r="C139" s="18">
        <v>104</v>
      </c>
      <c r="D139" s="18">
        <v>30</v>
      </c>
      <c r="E139" s="18">
        <v>17</v>
      </c>
      <c r="F139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10.741333333333333</v>
      </c>
      <c r="G13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39" s="140">
        <f>ROUNDUP(Cajas[[#This Row],[Largo]]/2.54,2)</f>
        <v>40.949999999999996</v>
      </c>
      <c r="I139" s="18">
        <f>ROUNDUP(Cajas[[#This Row],[Ancho]]/2.54,2)</f>
        <v>11.82</v>
      </c>
      <c r="J139" s="143">
        <f>ROUNDUP(Cajas[[#This Row],[Alto]]/2.54,2)</f>
        <v>6.7</v>
      </c>
      <c r="K139" s="211"/>
      <c r="L139" s="139" t="s">
        <v>308</v>
      </c>
      <c r="M139" s="2" t="s">
        <v>314</v>
      </c>
      <c r="N139" s="2" t="s">
        <v>312</v>
      </c>
      <c r="O139" s="2" t="s">
        <v>312</v>
      </c>
      <c r="P139" s="2"/>
      <c r="Q139" s="2"/>
      <c r="R139" s="2"/>
      <c r="S139" s="2"/>
    </row>
    <row r="140" spans="2:19" x14ac:dyDescent="0.25">
      <c r="B140" s="5" t="s">
        <v>437</v>
      </c>
      <c r="C140" s="2">
        <v>105</v>
      </c>
      <c r="D140" s="2">
        <v>26</v>
      </c>
      <c r="E140" s="2">
        <v>25</v>
      </c>
      <c r="F14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13.481999999999999</v>
      </c>
      <c r="G140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0" s="139">
        <f>ROUNDUP(Cajas[[#This Row],[Largo]]/2.54,2)</f>
        <v>41.339999999999996</v>
      </c>
      <c r="I140" s="2">
        <f>ROUNDUP(Cajas[[#This Row],[Ancho]]/2.54,2)</f>
        <v>10.24</v>
      </c>
      <c r="J140" s="142">
        <f>ROUNDUP(Cajas[[#This Row],[Alto]]/2.54,2)</f>
        <v>9.85</v>
      </c>
      <c r="K140" s="212"/>
      <c r="L140" s="139" t="s">
        <v>303</v>
      </c>
      <c r="M140" s="2" t="s">
        <v>307</v>
      </c>
      <c r="N140" s="2" t="s">
        <v>308</v>
      </c>
      <c r="O140" s="2" t="s">
        <v>308</v>
      </c>
      <c r="P140" s="2" t="s">
        <v>312</v>
      </c>
      <c r="Q140" s="2"/>
      <c r="R140" s="2"/>
      <c r="S140" s="2"/>
    </row>
    <row r="141" spans="2:19" x14ac:dyDescent="0.25">
      <c r="B141" s="5" t="s">
        <v>438</v>
      </c>
      <c r="C141" s="2">
        <v>112</v>
      </c>
      <c r="D141" s="2">
        <v>30</v>
      </c>
      <c r="E141" s="2">
        <v>28</v>
      </c>
      <c r="F14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18.239999999999998</v>
      </c>
      <c r="G141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41" s="139">
        <f>ROUNDUP(Cajas[[#This Row],[Largo]]/2.54,2)</f>
        <v>44.1</v>
      </c>
      <c r="I141" s="2">
        <f>ROUNDUP(Cajas[[#This Row],[Ancho]]/2.54,2)</f>
        <v>11.82</v>
      </c>
      <c r="J141" s="142">
        <f>ROUNDUP(Cajas[[#This Row],[Alto]]/2.54,2)</f>
        <v>11.03</v>
      </c>
      <c r="K141" s="212"/>
      <c r="L141" s="139" t="s">
        <v>305</v>
      </c>
      <c r="M141" s="2" t="s">
        <v>300</v>
      </c>
      <c r="N141" s="2" t="s">
        <v>303</v>
      </c>
      <c r="O141" s="2" t="s">
        <v>303</v>
      </c>
      <c r="P141" s="2" t="s">
        <v>308</v>
      </c>
      <c r="Q141" s="2"/>
      <c r="R141" s="2"/>
      <c r="S141" s="2"/>
    </row>
    <row r="142" spans="2:19" x14ac:dyDescent="0.25">
      <c r="B142" s="5" t="s">
        <v>439</v>
      </c>
      <c r="C142" s="2">
        <v>120</v>
      </c>
      <c r="D142" s="2">
        <v>33</v>
      </c>
      <c r="E142" s="2">
        <v>32</v>
      </c>
      <c r="F14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24.196666666666665</v>
      </c>
      <c r="G14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2" s="139">
        <f>ROUNDUP(Cajas[[#This Row],[Largo]]/2.54,2)</f>
        <v>47.25</v>
      </c>
      <c r="I142" s="2">
        <f>ROUNDUP(Cajas[[#This Row],[Ancho]]/2.54,2)</f>
        <v>13</v>
      </c>
      <c r="J142" s="142">
        <f>ROUNDUP(Cajas[[#This Row],[Alto]]/2.54,2)</f>
        <v>12.6</v>
      </c>
      <c r="K142" s="212"/>
      <c r="L142" s="139" t="s">
        <v>356</v>
      </c>
      <c r="M142" s="2" t="s">
        <v>352</v>
      </c>
      <c r="N142" s="2" t="s">
        <v>305</v>
      </c>
      <c r="O142" s="2" t="s">
        <v>305</v>
      </c>
      <c r="P142" s="2" t="s">
        <v>300</v>
      </c>
      <c r="Q142" s="2"/>
      <c r="R142" s="2"/>
      <c r="S142" s="2"/>
    </row>
    <row r="143" spans="2:19" ht="15.75" thickBot="1" x14ac:dyDescent="0.3">
      <c r="B143" s="5" t="s">
        <v>440</v>
      </c>
      <c r="C143" s="2">
        <v>130</v>
      </c>
      <c r="D143" s="2">
        <v>36</v>
      </c>
      <c r="E143" s="2">
        <v>36</v>
      </c>
      <c r="F14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31.768000000000001</v>
      </c>
      <c r="G14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3" s="139">
        <f>ROUNDUP(Cajas[[#This Row],[Largo]]/2.54,2)</f>
        <v>51.19</v>
      </c>
      <c r="I143" s="2">
        <f>ROUNDUP(Cajas[[#This Row],[Ancho]]/2.54,2)</f>
        <v>14.18</v>
      </c>
      <c r="J143" s="142">
        <f>ROUNDUP(Cajas[[#This Row],[Alto]]/2.54,2)</f>
        <v>14.18</v>
      </c>
      <c r="K143" s="212"/>
      <c r="L143" s="139" t="s">
        <v>317</v>
      </c>
      <c r="M143" s="2" t="s">
        <v>359</v>
      </c>
      <c r="N143" s="2" t="s">
        <v>356</v>
      </c>
      <c r="O143" s="2" t="s">
        <v>298</v>
      </c>
      <c r="P143" s="2" t="s">
        <v>300</v>
      </c>
      <c r="Q143" s="2"/>
      <c r="R143" s="2"/>
      <c r="S143" s="2"/>
    </row>
    <row r="144" spans="2:19" x14ac:dyDescent="0.25">
      <c r="B144" s="17" t="s">
        <v>441</v>
      </c>
      <c r="C144" s="18">
        <v>18</v>
      </c>
      <c r="D144" s="18">
        <v>30</v>
      </c>
      <c r="E144" s="18">
        <v>100</v>
      </c>
      <c r="F144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10.88</v>
      </c>
      <c r="G144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4" s="140">
        <f>ROUNDUP(Cajas[[#This Row],[Largo]]/2.54,2)</f>
        <v>7.09</v>
      </c>
      <c r="I144" s="18">
        <f>ROUNDUP(Cajas[[#This Row],[Ancho]]/2.54,2)</f>
        <v>11.82</v>
      </c>
      <c r="J144" s="143">
        <f>ROUNDUP(Cajas[[#This Row],[Alto]]/2.54,2)</f>
        <v>39.379999999999995</v>
      </c>
      <c r="K144" s="211"/>
      <c r="L144" s="2"/>
      <c r="M144" s="2"/>
      <c r="N144" s="2"/>
      <c r="O144" s="2"/>
      <c r="P144" s="2"/>
      <c r="Q144" s="2"/>
      <c r="R144" s="2"/>
      <c r="S144" s="2"/>
    </row>
    <row r="145" spans="2:19" x14ac:dyDescent="0.25">
      <c r="B145" s="5" t="s">
        <v>442</v>
      </c>
      <c r="C145" s="2">
        <v>15</v>
      </c>
      <c r="D145" s="2">
        <v>25</v>
      </c>
      <c r="E145" s="2">
        <v>91</v>
      </c>
      <c r="F14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7.1144999999999996</v>
      </c>
      <c r="G14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5" s="139">
        <f>ROUNDUP(Cajas[[#This Row],[Largo]]/2.54,2)</f>
        <v>5.91</v>
      </c>
      <c r="I145" s="2">
        <f>ROUNDUP(Cajas[[#This Row],[Ancho]]/2.54,2)</f>
        <v>9.85</v>
      </c>
      <c r="J145" s="142">
        <f>ROUNDUP(Cajas[[#This Row],[Alto]]/2.54,2)</f>
        <v>35.83</v>
      </c>
      <c r="K145" s="212"/>
      <c r="L145" s="2"/>
      <c r="M145" s="2"/>
      <c r="N145" s="2"/>
      <c r="O145" s="2"/>
      <c r="P145" s="2"/>
      <c r="Q145" s="2"/>
      <c r="R145" s="2"/>
      <c r="S145" s="2"/>
    </row>
    <row r="146" spans="2:19" x14ac:dyDescent="0.25">
      <c r="B146" s="5" t="s">
        <v>443</v>
      </c>
      <c r="C146" s="2">
        <v>18</v>
      </c>
      <c r="D146" s="2">
        <v>30</v>
      </c>
      <c r="E146" s="2">
        <v>100</v>
      </c>
      <c r="F14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10.88</v>
      </c>
      <c r="G146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6" s="139">
        <f>ROUNDUP(Cajas[[#This Row],[Largo]]/2.54,2)</f>
        <v>7.09</v>
      </c>
      <c r="I146" s="2">
        <f>ROUNDUP(Cajas[[#This Row],[Ancho]]/2.54,2)</f>
        <v>11.82</v>
      </c>
      <c r="J146" s="142">
        <f>ROUNDUP(Cajas[[#This Row],[Alto]]/2.54,2)</f>
        <v>39.379999999999995</v>
      </c>
      <c r="K146" s="212"/>
      <c r="L146" s="2"/>
      <c r="M146" s="2"/>
      <c r="N146" s="2"/>
      <c r="O146" s="2"/>
      <c r="P146" s="2"/>
      <c r="Q146" s="2"/>
      <c r="R146" s="2"/>
      <c r="S146" s="2"/>
    </row>
    <row r="147" spans="2:19" x14ac:dyDescent="0.25">
      <c r="B147" s="5" t="s">
        <v>444</v>
      </c>
      <c r="C147" s="2">
        <v>18</v>
      </c>
      <c r="D147" s="2">
        <v>30</v>
      </c>
      <c r="E147" s="2">
        <v>85</v>
      </c>
      <c r="F14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9.2799999999999994</v>
      </c>
      <c r="G147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7" s="139">
        <f>ROUNDUP(Cajas[[#This Row],[Largo]]/2.54,2)</f>
        <v>7.09</v>
      </c>
      <c r="I147" s="2">
        <f>ROUNDUP(Cajas[[#This Row],[Ancho]]/2.54,2)</f>
        <v>11.82</v>
      </c>
      <c r="J147" s="142">
        <f>ROUNDUP(Cajas[[#This Row],[Alto]]/2.54,2)</f>
        <v>33.47</v>
      </c>
      <c r="K147" s="212"/>
      <c r="L147" s="2"/>
      <c r="M147" s="2"/>
      <c r="N147" s="2"/>
      <c r="O147" s="2"/>
      <c r="P147" s="2"/>
      <c r="Q147" s="2"/>
      <c r="R147" s="2"/>
      <c r="S147" s="2"/>
    </row>
    <row r="148" spans="2:19" x14ac:dyDescent="0.25">
      <c r="B148" s="5" t="s">
        <v>445</v>
      </c>
      <c r="C148" s="2">
        <v>18</v>
      </c>
      <c r="D148" s="2">
        <v>30</v>
      </c>
      <c r="E148" s="2">
        <v>100</v>
      </c>
      <c r="F14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10.88</v>
      </c>
      <c r="G148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48" s="139">
        <f>ROUNDUP(Cajas[[#This Row],[Largo]]/2.54,2)</f>
        <v>7.09</v>
      </c>
      <c r="I148" s="2">
        <f>ROUNDUP(Cajas[[#This Row],[Ancho]]/2.54,2)</f>
        <v>11.82</v>
      </c>
      <c r="J148" s="142">
        <f>ROUNDUP(Cajas[[#This Row],[Alto]]/2.54,2)</f>
        <v>39.379999999999995</v>
      </c>
      <c r="K148" s="212"/>
      <c r="L148" s="2"/>
      <c r="M148" s="2"/>
      <c r="N148" s="2"/>
      <c r="O148" s="2"/>
      <c r="P148" s="2"/>
      <c r="Q148" s="2"/>
      <c r="R148" s="2"/>
      <c r="S148" s="2"/>
    </row>
    <row r="149" spans="2:19" x14ac:dyDescent="0.25">
      <c r="B149" s="5" t="s">
        <v>446</v>
      </c>
      <c r="C149" s="2">
        <v>30</v>
      </c>
      <c r="D149" s="2">
        <v>30</v>
      </c>
      <c r="E149" s="2">
        <v>90</v>
      </c>
      <c r="F14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15.701333333333332</v>
      </c>
      <c r="G149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49" s="139">
        <f>ROUNDUP(Cajas[[#This Row],[Largo]]/2.54,2)</f>
        <v>11.82</v>
      </c>
      <c r="I149" s="2">
        <f>ROUNDUP(Cajas[[#This Row],[Ancho]]/2.54,2)</f>
        <v>11.82</v>
      </c>
      <c r="J149" s="142">
        <f>ROUNDUP(Cajas[[#This Row],[Alto]]/2.54,2)</f>
        <v>35.44</v>
      </c>
      <c r="K149" s="212"/>
      <c r="L149" s="2"/>
      <c r="M149" s="2"/>
      <c r="N149" s="2"/>
      <c r="O149" s="2"/>
      <c r="P149" s="2"/>
      <c r="Q149" s="2"/>
      <c r="R149" s="2"/>
      <c r="S149" s="2"/>
    </row>
    <row r="150" spans="2:19" x14ac:dyDescent="0.25">
      <c r="B150" s="5" t="s">
        <v>447</v>
      </c>
      <c r="C150" s="2">
        <v>30</v>
      </c>
      <c r="D150" s="2">
        <v>30</v>
      </c>
      <c r="E150" s="2">
        <v>105</v>
      </c>
      <c r="F15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150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0" s="139">
        <f>ROUNDUP(Cajas[[#This Row],[Largo]]/2.54,2)</f>
        <v>11.82</v>
      </c>
      <c r="I150" s="2">
        <f>ROUNDUP(Cajas[[#This Row],[Ancho]]/2.54,2)</f>
        <v>11.82</v>
      </c>
      <c r="J150" s="142">
        <f>ROUNDUP(Cajas[[#This Row],[Alto]]/2.54,2)</f>
        <v>41.339999999999996</v>
      </c>
      <c r="K150" s="212"/>
      <c r="L150" s="2"/>
      <c r="M150" s="2"/>
      <c r="N150" s="2"/>
      <c r="O150" s="2"/>
      <c r="P150" s="2"/>
      <c r="Q150" s="2"/>
      <c r="R150" s="2"/>
      <c r="S150" s="2"/>
    </row>
    <row r="151" spans="2:19" x14ac:dyDescent="0.25">
      <c r="B151" s="5" t="s">
        <v>448</v>
      </c>
      <c r="C151" s="2">
        <v>30</v>
      </c>
      <c r="D151" s="2">
        <v>30</v>
      </c>
      <c r="E151" s="2">
        <v>90</v>
      </c>
      <c r="F15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15.701333333333332</v>
      </c>
      <c r="G151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1" s="139">
        <f>ROUNDUP(Cajas[[#This Row],[Largo]]/2.54,2)</f>
        <v>11.82</v>
      </c>
      <c r="I151" s="2">
        <f>ROUNDUP(Cajas[[#This Row],[Ancho]]/2.54,2)</f>
        <v>11.82</v>
      </c>
      <c r="J151" s="142">
        <f>ROUNDUP(Cajas[[#This Row],[Alto]]/2.54,2)</f>
        <v>35.44</v>
      </c>
      <c r="K151" s="212"/>
      <c r="L151" s="2"/>
      <c r="M151" s="2"/>
      <c r="N151" s="2"/>
      <c r="O151" s="2"/>
      <c r="P151" s="2"/>
      <c r="Q151" s="2"/>
      <c r="R151" s="2"/>
      <c r="S151" s="2"/>
    </row>
    <row r="152" spans="2:19" x14ac:dyDescent="0.25">
      <c r="B152" s="5" t="s">
        <v>449</v>
      </c>
      <c r="C152" s="2">
        <v>30</v>
      </c>
      <c r="D152" s="2">
        <v>30</v>
      </c>
      <c r="E152" s="2">
        <v>105</v>
      </c>
      <c r="F15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18.261333333333333</v>
      </c>
      <c r="G152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2" s="139">
        <f>ROUNDUP(Cajas[[#This Row],[Largo]]/2.54,2)</f>
        <v>11.82</v>
      </c>
      <c r="I152" s="2">
        <f>ROUNDUP(Cajas[[#This Row],[Ancho]]/2.54,2)</f>
        <v>11.82</v>
      </c>
      <c r="J152" s="142">
        <f>ROUNDUP(Cajas[[#This Row],[Alto]]/2.54,2)</f>
        <v>41.339999999999996</v>
      </c>
      <c r="K152" s="212"/>
      <c r="L152" s="2"/>
      <c r="M152" s="2"/>
      <c r="N152" s="2"/>
      <c r="O152" s="2"/>
      <c r="P152" s="2"/>
      <c r="Q152" s="2"/>
      <c r="R152" s="2"/>
      <c r="S152" s="2"/>
    </row>
    <row r="153" spans="2:19" x14ac:dyDescent="0.25">
      <c r="B153" s="5" t="s">
        <v>450</v>
      </c>
      <c r="C153" s="2">
        <v>35</v>
      </c>
      <c r="D153" s="2">
        <v>35</v>
      </c>
      <c r="E153" s="2">
        <v>120</v>
      </c>
      <c r="F15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53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3" s="139">
        <f>ROUNDUP(Cajas[[#This Row],[Largo]]/2.54,2)</f>
        <v>13.78</v>
      </c>
      <c r="I153" s="2">
        <f>ROUNDUP(Cajas[[#This Row],[Ancho]]/2.54,2)</f>
        <v>13.78</v>
      </c>
      <c r="J153" s="142">
        <f>ROUNDUP(Cajas[[#This Row],[Alto]]/2.54,2)</f>
        <v>47.25</v>
      </c>
      <c r="K153" s="212"/>
      <c r="L153" s="2"/>
      <c r="M153" s="2"/>
      <c r="N153" s="2"/>
      <c r="O153" s="2"/>
      <c r="P153" s="2"/>
      <c r="Q153" s="2"/>
      <c r="R153" s="2"/>
      <c r="S153" s="2"/>
    </row>
    <row r="154" spans="2:19" x14ac:dyDescent="0.25">
      <c r="B154" s="5" t="s">
        <v>451</v>
      </c>
      <c r="C154" s="2">
        <v>40</v>
      </c>
      <c r="D154" s="2">
        <v>40</v>
      </c>
      <c r="E154" s="2">
        <v>120</v>
      </c>
      <c r="F15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35.868000000000002</v>
      </c>
      <c r="G154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4" s="139">
        <f>ROUNDUP(Cajas[[#This Row],[Largo]]/2.54,2)</f>
        <v>15.75</v>
      </c>
      <c r="I154" s="2">
        <f>ROUNDUP(Cajas[[#This Row],[Ancho]]/2.54,2)</f>
        <v>15.75</v>
      </c>
      <c r="J154" s="142">
        <f>ROUNDUP(Cajas[[#This Row],[Alto]]/2.54,2)</f>
        <v>47.25</v>
      </c>
      <c r="K154" s="212"/>
      <c r="L154" s="2"/>
      <c r="M154" s="2"/>
      <c r="N154" s="2"/>
      <c r="O154" s="2"/>
      <c r="P154" s="2"/>
      <c r="Q154" s="2"/>
      <c r="R154" s="2"/>
      <c r="S154" s="2"/>
    </row>
    <row r="155" spans="2:19" ht="15.75" thickBot="1" x14ac:dyDescent="0.3">
      <c r="B155" s="5" t="s">
        <v>452</v>
      </c>
      <c r="C155" s="2">
        <v>82</v>
      </c>
      <c r="D155" s="2">
        <v>32</v>
      </c>
      <c r="E155" s="2">
        <v>20</v>
      </c>
      <c r="F15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10.472</v>
      </c>
      <c r="G155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55" s="139">
        <f>ROUNDUP(Cajas[[#This Row],[Largo]]/2.54,2)</f>
        <v>32.29</v>
      </c>
      <c r="I155" s="2">
        <f>ROUNDUP(Cajas[[#This Row],[Ancho]]/2.54,2)</f>
        <v>12.6</v>
      </c>
      <c r="J155" s="142">
        <f>ROUNDUP(Cajas[[#This Row],[Alto]]/2.54,2)</f>
        <v>7.88</v>
      </c>
      <c r="K155" s="212"/>
      <c r="L155" s="2"/>
      <c r="M155" s="2"/>
      <c r="N155" s="2"/>
      <c r="O155" s="2"/>
      <c r="P155" s="2"/>
      <c r="Q155" s="2"/>
      <c r="R155" s="2"/>
      <c r="S155" s="2"/>
    </row>
    <row r="156" spans="2:19" x14ac:dyDescent="0.25">
      <c r="B156" s="17" t="s">
        <v>453</v>
      </c>
      <c r="C156" s="18">
        <v>98</v>
      </c>
      <c r="D156" s="18">
        <v>28</v>
      </c>
      <c r="E156" s="18">
        <v>17</v>
      </c>
      <c r="F156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9.5</v>
      </c>
      <c r="G156" s="1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6" s="140">
        <f>ROUNDUP(Cajas[[#This Row],[Largo]]/2.54,2)</f>
        <v>38.589999999999996</v>
      </c>
      <c r="I156" s="18">
        <f>ROUNDUP(Cajas[[#This Row],[Ancho]]/2.54,2)</f>
        <v>11.03</v>
      </c>
      <c r="J156" s="143">
        <f>ROUNDUP(Cajas[[#This Row],[Alto]]/2.54,2)</f>
        <v>6.7</v>
      </c>
      <c r="K156" s="143"/>
      <c r="L156" s="139"/>
      <c r="M156" s="2"/>
      <c r="N156" s="2"/>
      <c r="O156" s="2"/>
      <c r="P156" s="2"/>
      <c r="Q156" s="2"/>
      <c r="R156" s="2"/>
      <c r="S156" s="2"/>
    </row>
    <row r="157" spans="2:19" x14ac:dyDescent="0.25">
      <c r="B157" s="5" t="s">
        <v>454</v>
      </c>
      <c r="C157" s="2">
        <v>105</v>
      </c>
      <c r="D157" s="2">
        <v>35</v>
      </c>
      <c r="E157" s="2">
        <v>35</v>
      </c>
      <c r="F15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24.413833333333333</v>
      </c>
      <c r="G15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7" s="139">
        <f>ROUNDUP(Cajas[[#This Row],[Largo]]/2.54,2)</f>
        <v>41.339999999999996</v>
      </c>
      <c r="I157" s="2">
        <f>ROUNDUP(Cajas[[#This Row],[Ancho]]/2.54,2)</f>
        <v>13.78</v>
      </c>
      <c r="J157" s="142">
        <f>ROUNDUP(Cajas[[#This Row],[Alto]]/2.54,2)</f>
        <v>13.78</v>
      </c>
      <c r="K157" s="142"/>
      <c r="L157" s="139"/>
      <c r="M157" s="2"/>
      <c r="N157" s="2"/>
      <c r="O157" s="2"/>
      <c r="P157" s="2"/>
      <c r="Q157" s="2"/>
      <c r="R157" s="2"/>
      <c r="S157" s="2"/>
    </row>
    <row r="158" spans="2:19" ht="15.75" thickBot="1" x14ac:dyDescent="0.3">
      <c r="B158" s="72" t="s">
        <v>455</v>
      </c>
      <c r="C158" s="73">
        <v>120</v>
      </c>
      <c r="D158" s="73">
        <v>35</v>
      </c>
      <c r="E158" s="73">
        <v>35</v>
      </c>
      <c r="F158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58" s="7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8" s="141">
        <f>ROUNDUP(Cajas[[#This Row],[Largo]]/2.54,2)</f>
        <v>47.25</v>
      </c>
      <c r="I158" s="73">
        <f>ROUNDUP(Cajas[[#This Row],[Ancho]]/2.54,2)</f>
        <v>13.78</v>
      </c>
      <c r="J158" s="144">
        <f>ROUNDUP(Cajas[[#This Row],[Alto]]/2.54,2)</f>
        <v>13.78</v>
      </c>
      <c r="K158" s="144"/>
      <c r="L158" s="139"/>
      <c r="M158" s="2"/>
      <c r="N158" s="2"/>
      <c r="O158" s="2"/>
      <c r="P158" s="2"/>
      <c r="Q158" s="2"/>
      <c r="R158" s="2"/>
      <c r="S158" s="2"/>
    </row>
    <row r="159" spans="2:19" ht="15.75" thickBot="1" x14ac:dyDescent="0.3">
      <c r="B159" s="5" t="s">
        <v>456</v>
      </c>
      <c r="C159" s="2">
        <v>40</v>
      </c>
      <c r="D159" s="2">
        <v>32</v>
      </c>
      <c r="E159" s="2">
        <v>56</v>
      </c>
      <c r="F159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13.804</v>
      </c>
      <c r="G159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59" s="139">
        <f>ROUNDUP(Cajas[[#This Row],[Largo]]/2.54,2)</f>
        <v>15.75</v>
      </c>
      <c r="I159" s="2">
        <f>ROUNDUP(Cajas[[#This Row],[Ancho]]/2.54,2)</f>
        <v>12.6</v>
      </c>
      <c r="J159" s="142">
        <f>ROUNDUP(Cajas[[#This Row],[Alto]]/2.54,2)</f>
        <v>22.05</v>
      </c>
      <c r="K159" s="142"/>
      <c r="L159" s="139"/>
      <c r="M159" s="2" t="s">
        <v>332</v>
      </c>
      <c r="N159" s="2"/>
      <c r="O159" s="2"/>
      <c r="P159" s="2"/>
      <c r="Q159" s="2"/>
      <c r="R159" s="2"/>
      <c r="S159" s="2"/>
    </row>
    <row r="160" spans="2:19" x14ac:dyDescent="0.25">
      <c r="B160" s="17" t="s">
        <v>457</v>
      </c>
      <c r="C160" s="18">
        <v>92</v>
      </c>
      <c r="D160" s="18">
        <v>29</v>
      </c>
      <c r="E160" s="18">
        <v>12</v>
      </c>
      <c r="F160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6.7993333333333332</v>
      </c>
      <c r="G160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60" s="140">
        <f>ROUNDUP(Cajas[[#This Row],[Largo]]/2.54,2)</f>
        <v>36.229999999999997</v>
      </c>
      <c r="I160" s="18">
        <f>ROUNDUP(Cajas[[#This Row],[Ancho]]/2.54,2)</f>
        <v>11.42</v>
      </c>
      <c r="J160" s="143">
        <f>ROUNDUP(Cajas[[#This Row],[Alto]]/2.54,2)</f>
        <v>4.7299999999999995</v>
      </c>
      <c r="K160" s="143"/>
      <c r="L160" s="139"/>
      <c r="M160" s="2"/>
      <c r="N160" s="2"/>
      <c r="O160" s="2"/>
      <c r="P160" s="2"/>
      <c r="Q160" s="2"/>
      <c r="R160" s="2"/>
      <c r="S160" s="2"/>
    </row>
    <row r="161" spans="2:19" ht="15.75" thickBot="1" x14ac:dyDescent="0.3">
      <c r="B161" s="72" t="s">
        <v>458</v>
      </c>
      <c r="C161" s="73">
        <v>92</v>
      </c>
      <c r="D161" s="73">
        <v>29</v>
      </c>
      <c r="E161" s="73">
        <v>20</v>
      </c>
      <c r="F161" s="147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10.684666666666667</v>
      </c>
      <c r="G161" s="213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61" s="141">
        <f>ROUNDUP(Cajas[[#This Row],[Largo]]/2.54,2)</f>
        <v>36.229999999999997</v>
      </c>
      <c r="I161" s="73">
        <f>ROUNDUP(Cajas[[#This Row],[Ancho]]/2.54,2)</f>
        <v>11.42</v>
      </c>
      <c r="J161" s="144">
        <f>ROUNDUP(Cajas[[#This Row],[Alto]]/2.54,2)</f>
        <v>7.88</v>
      </c>
      <c r="K161" s="144"/>
      <c r="L161" s="139"/>
      <c r="M161" s="2"/>
      <c r="N161" s="2"/>
      <c r="O161" s="2"/>
      <c r="P161" s="2"/>
      <c r="Q161" s="2"/>
      <c r="R161" s="2"/>
      <c r="S161" s="2"/>
    </row>
    <row r="162" spans="2:19" x14ac:dyDescent="0.25">
      <c r="B162" s="5" t="s">
        <v>459</v>
      </c>
      <c r="C162" s="2">
        <v>78</v>
      </c>
      <c r="D162" s="2">
        <v>17</v>
      </c>
      <c r="E162" s="2">
        <v>19</v>
      </c>
      <c r="F16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5.32</v>
      </c>
      <c r="G162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2" s="139">
        <f>ROUNDUP(Cajas[[#This Row],[Largo]]/2.54,2)</f>
        <v>30.71</v>
      </c>
      <c r="I162" s="2">
        <f>ROUNDUP(Cajas[[#This Row],[Ancho]]/2.54,2)</f>
        <v>6.7</v>
      </c>
      <c r="J162" s="142">
        <f>ROUNDUP(Cajas[[#This Row],[Alto]]/2.54,2)</f>
        <v>7.49</v>
      </c>
      <c r="K162" s="212"/>
      <c r="L162" s="2"/>
      <c r="M162" s="2"/>
      <c r="N162" s="2"/>
      <c r="O162" s="2"/>
      <c r="P162" s="2"/>
      <c r="Q162" s="2"/>
      <c r="R162" s="2"/>
      <c r="S162" s="2"/>
    </row>
    <row r="163" spans="2:19" x14ac:dyDescent="0.25">
      <c r="B163" s="5" t="s">
        <v>460</v>
      </c>
      <c r="C163" s="2">
        <v>79</v>
      </c>
      <c r="D163" s="2">
        <v>24</v>
      </c>
      <c r="E163" s="2">
        <v>21</v>
      </c>
      <c r="F16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8.0730000000000004</v>
      </c>
      <c r="G163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3" s="139">
        <f>ROUNDUP(Cajas[[#This Row],[Largo]]/2.54,2)</f>
        <v>31.110000000000003</v>
      </c>
      <c r="I163" s="2">
        <f>ROUNDUP(Cajas[[#This Row],[Ancho]]/2.54,2)</f>
        <v>9.4499999999999993</v>
      </c>
      <c r="J163" s="142">
        <f>ROUNDUP(Cajas[[#This Row],[Alto]]/2.54,2)</f>
        <v>8.27</v>
      </c>
      <c r="K163" s="212"/>
      <c r="L163" s="2"/>
      <c r="M163" s="2"/>
      <c r="N163" s="2"/>
      <c r="O163" s="2"/>
      <c r="P163" s="2"/>
      <c r="Q163" s="2"/>
      <c r="R163" s="2"/>
      <c r="S163" s="2"/>
    </row>
    <row r="164" spans="2:19" x14ac:dyDescent="0.25">
      <c r="B164" s="5" t="s">
        <v>461</v>
      </c>
      <c r="C164" s="2">
        <v>90</v>
      </c>
      <c r="D164" s="2">
        <v>18</v>
      </c>
      <c r="E164" s="2">
        <v>30</v>
      </c>
      <c r="F164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9.8133333333333326</v>
      </c>
      <c r="G164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4" s="139">
        <f>ROUNDUP(Cajas[[#This Row],[Largo]]/2.54,2)</f>
        <v>35.44</v>
      </c>
      <c r="I164" s="2">
        <f>ROUNDUP(Cajas[[#This Row],[Ancho]]/2.54,2)</f>
        <v>7.09</v>
      </c>
      <c r="J164" s="142">
        <f>ROUNDUP(Cajas[[#This Row],[Alto]]/2.54,2)</f>
        <v>11.82</v>
      </c>
      <c r="K164" s="212"/>
      <c r="L164" s="2"/>
      <c r="M164" s="2"/>
      <c r="N164" s="2"/>
      <c r="O164" s="2"/>
      <c r="P164" s="2"/>
      <c r="Q164" s="2"/>
      <c r="R164" s="2"/>
      <c r="S164" s="2"/>
    </row>
    <row r="165" spans="2:19" x14ac:dyDescent="0.25">
      <c r="B165" s="5" t="s">
        <v>462</v>
      </c>
      <c r="C165" s="2">
        <v>90</v>
      </c>
      <c r="D165" s="2">
        <v>22</v>
      </c>
      <c r="E165" s="2">
        <v>30</v>
      </c>
      <c r="F16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11.776</v>
      </c>
      <c r="G16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5" s="139">
        <f>ROUNDUP(Cajas[[#This Row],[Largo]]/2.54,2)</f>
        <v>35.44</v>
      </c>
      <c r="I165" s="2">
        <f>ROUNDUP(Cajas[[#This Row],[Ancho]]/2.54,2)</f>
        <v>8.67</v>
      </c>
      <c r="J165" s="142">
        <f>ROUNDUP(Cajas[[#This Row],[Alto]]/2.54,2)</f>
        <v>11.82</v>
      </c>
      <c r="K165" s="212"/>
      <c r="L165" s="2"/>
      <c r="M165" s="2"/>
      <c r="N165" s="2"/>
      <c r="O165" s="2"/>
      <c r="P165" s="2"/>
      <c r="Q165" s="2"/>
      <c r="R165" s="2"/>
      <c r="S165" s="2"/>
    </row>
    <row r="166" spans="2:19" x14ac:dyDescent="0.25">
      <c r="B166" s="5" t="s">
        <v>463</v>
      </c>
      <c r="C166" s="2">
        <v>110</v>
      </c>
      <c r="D166" s="2">
        <v>30</v>
      </c>
      <c r="E166" s="2">
        <v>30</v>
      </c>
      <c r="F16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19.114666666666668</v>
      </c>
      <c r="G16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66" s="139">
        <f>ROUNDUP(Cajas[[#This Row],[Largo]]/2.54,2)</f>
        <v>43.309999999999995</v>
      </c>
      <c r="I166" s="2">
        <f>ROUNDUP(Cajas[[#This Row],[Ancho]]/2.54,2)</f>
        <v>11.82</v>
      </c>
      <c r="J166" s="142">
        <f>ROUNDUP(Cajas[[#This Row],[Alto]]/2.54,2)</f>
        <v>11.82</v>
      </c>
      <c r="K166" s="212"/>
      <c r="L166" s="2"/>
      <c r="M166" s="2"/>
      <c r="N166" s="2"/>
      <c r="O166" s="2"/>
      <c r="P166" s="2"/>
      <c r="Q166" s="2"/>
      <c r="R166" s="2"/>
      <c r="S166" s="2"/>
    </row>
    <row r="167" spans="2:19" x14ac:dyDescent="0.25">
      <c r="B167" s="5" t="s">
        <v>464</v>
      </c>
      <c r="C167" s="2">
        <v>120</v>
      </c>
      <c r="D167" s="2">
        <v>35</v>
      </c>
      <c r="E167" s="2">
        <v>35</v>
      </c>
      <c r="F16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27.836333333333332</v>
      </c>
      <c r="G16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7" s="139">
        <f>ROUNDUP(Cajas[[#This Row],[Largo]]/2.54,2)</f>
        <v>47.25</v>
      </c>
      <c r="I167" s="2">
        <f>ROUNDUP(Cajas[[#This Row],[Ancho]]/2.54,2)</f>
        <v>13.78</v>
      </c>
      <c r="J167" s="142">
        <f>ROUNDUP(Cajas[[#This Row],[Alto]]/2.54,2)</f>
        <v>13.78</v>
      </c>
      <c r="K167" s="212"/>
      <c r="L167" s="2"/>
      <c r="M167" s="2"/>
      <c r="N167" s="2"/>
      <c r="O167" s="2"/>
      <c r="P167" s="2"/>
      <c r="Q167" s="2"/>
      <c r="R167" s="2"/>
      <c r="S167" s="2"/>
    </row>
    <row r="168" spans="2:19" ht="15.75" thickBot="1" x14ac:dyDescent="0.3">
      <c r="B168" s="5" t="s">
        <v>465</v>
      </c>
      <c r="C168" s="2">
        <v>130</v>
      </c>
      <c r="D168" s="2">
        <v>40</v>
      </c>
      <c r="E168" s="2">
        <v>40</v>
      </c>
      <c r="F168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38.808</v>
      </c>
      <c r="G168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8" s="139">
        <f>ROUNDUP(Cajas[[#This Row],[Largo]]/2.54,2)</f>
        <v>51.19</v>
      </c>
      <c r="I168" s="2">
        <f>ROUNDUP(Cajas[[#This Row],[Ancho]]/2.54,2)</f>
        <v>15.75</v>
      </c>
      <c r="J168" s="142">
        <f>ROUNDUP(Cajas[[#This Row],[Alto]]/2.54,2)</f>
        <v>15.75</v>
      </c>
      <c r="K168" s="212"/>
      <c r="L168" s="2"/>
      <c r="M168" s="2"/>
      <c r="N168" s="2"/>
      <c r="O168" s="2"/>
      <c r="P168" s="2"/>
      <c r="Q168" s="2"/>
      <c r="R168" s="2"/>
      <c r="S168" s="2"/>
    </row>
    <row r="169" spans="2:19" x14ac:dyDescent="0.25">
      <c r="B169" s="17" t="s">
        <v>466</v>
      </c>
      <c r="C169" s="18">
        <v>95</v>
      </c>
      <c r="D169" s="18">
        <v>17</v>
      </c>
      <c r="E169" s="18">
        <v>18</v>
      </c>
      <c r="F169" s="146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6.1433333333333335</v>
      </c>
      <c r="G169" s="211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69" s="140">
        <f>ROUNDUP(Cajas[[#This Row],[Largo]]/2.54,2)</f>
        <v>37.409999999999997</v>
      </c>
      <c r="I169" s="18">
        <f>ROUNDUP(Cajas[[#This Row],[Ancho]]/2.54,2)</f>
        <v>6.7</v>
      </c>
      <c r="J169" s="143">
        <f>ROUNDUP(Cajas[[#This Row],[Alto]]/2.54,2)</f>
        <v>7.09</v>
      </c>
      <c r="K169" s="211"/>
      <c r="L169" s="2"/>
      <c r="M169" s="2"/>
      <c r="N169" s="2"/>
      <c r="O169" s="2"/>
      <c r="P169" s="2"/>
      <c r="Q169" s="2"/>
      <c r="R169" s="2"/>
      <c r="S169" s="2"/>
    </row>
    <row r="170" spans="2:19" x14ac:dyDescent="0.25">
      <c r="B170" s="5" t="s">
        <v>467</v>
      </c>
      <c r="C170" s="2">
        <v>95</v>
      </c>
      <c r="D170" s="2">
        <v>28</v>
      </c>
      <c r="E170" s="2">
        <v>17</v>
      </c>
      <c r="F170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9.2149999999999999</v>
      </c>
      <c r="G170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0" s="139">
        <f>ROUNDUP(Cajas[[#This Row],[Largo]]/2.54,2)</f>
        <v>37.409999999999997</v>
      </c>
      <c r="I170" s="2">
        <f>ROUNDUP(Cajas[[#This Row],[Ancho]]/2.54,2)</f>
        <v>11.03</v>
      </c>
      <c r="J170" s="142">
        <f>ROUNDUP(Cajas[[#This Row],[Alto]]/2.54,2)</f>
        <v>6.7</v>
      </c>
      <c r="K170" s="212"/>
      <c r="L170" s="2"/>
      <c r="M170" s="2">
        <v>4</v>
      </c>
      <c r="N170" s="2"/>
      <c r="O170" s="2"/>
      <c r="P170" s="2"/>
      <c r="Q170" s="2"/>
      <c r="R170" s="2"/>
      <c r="S170" s="2"/>
    </row>
    <row r="171" spans="2:19" x14ac:dyDescent="0.25">
      <c r="B171" s="5" t="s">
        <v>468</v>
      </c>
      <c r="C171" s="2">
        <v>95</v>
      </c>
      <c r="D171" s="2">
        <v>40</v>
      </c>
      <c r="E171" s="2">
        <v>20</v>
      </c>
      <c r="F171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14.938000000000001</v>
      </c>
      <c r="G171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71" s="139">
        <f>ROUNDUP(Cajas[[#This Row],[Largo]]/2.54,2)</f>
        <v>37.409999999999997</v>
      </c>
      <c r="I171" s="2">
        <f>ROUNDUP(Cajas[[#This Row],[Ancho]]/2.54,2)</f>
        <v>15.75</v>
      </c>
      <c r="J171" s="142">
        <f>ROUNDUP(Cajas[[#This Row],[Alto]]/2.54,2)</f>
        <v>7.88</v>
      </c>
      <c r="K171" s="212"/>
      <c r="L171" s="2"/>
      <c r="M171" s="2">
        <v>5</v>
      </c>
      <c r="N171" s="2"/>
      <c r="O171" s="2"/>
      <c r="P171" s="2"/>
      <c r="Q171" s="2"/>
      <c r="R171" s="2"/>
      <c r="S171" s="2"/>
    </row>
    <row r="172" spans="2:19" x14ac:dyDescent="0.25">
      <c r="B172" s="5" t="s">
        <v>469</v>
      </c>
      <c r="C172" s="2">
        <v>95</v>
      </c>
      <c r="D172" s="2">
        <v>33</v>
      </c>
      <c r="E172" s="2">
        <v>30</v>
      </c>
      <c r="F172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18.106666666666666</v>
      </c>
      <c r="G172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2" s="139">
        <f>ROUNDUP(Cajas[[#This Row],[Largo]]/2.54,2)</f>
        <v>37.409999999999997</v>
      </c>
      <c r="I172" s="2">
        <f>ROUNDUP(Cajas[[#This Row],[Ancho]]/2.54,2)</f>
        <v>13</v>
      </c>
      <c r="J172" s="142">
        <f>ROUNDUP(Cajas[[#This Row],[Alto]]/2.54,2)</f>
        <v>11.82</v>
      </c>
      <c r="K172" s="212"/>
      <c r="L172" s="2"/>
      <c r="M172" s="2">
        <v>8</v>
      </c>
      <c r="N172" s="2"/>
      <c r="O172" s="2"/>
      <c r="P172" s="2"/>
      <c r="Q172" s="2"/>
      <c r="R172" s="2"/>
      <c r="S172" s="2"/>
    </row>
    <row r="173" spans="2:19" ht="15.75" thickBot="1" x14ac:dyDescent="0.3">
      <c r="B173" s="5" t="s">
        <v>470</v>
      </c>
      <c r="C173" s="2">
        <v>105</v>
      </c>
      <c r="D173" s="2">
        <v>35</v>
      </c>
      <c r="E173" s="2">
        <v>35</v>
      </c>
      <c r="F173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24.413833333333333</v>
      </c>
      <c r="G173" s="21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n</v>
      </c>
      <c r="H173" s="139">
        <f>ROUNDUP(Cajas[[#This Row],[Largo]]/2.54,2)</f>
        <v>41.339999999999996</v>
      </c>
      <c r="I173" s="2">
        <f>ROUNDUP(Cajas[[#This Row],[Ancho]]/2.54,2)</f>
        <v>13.78</v>
      </c>
      <c r="J173" s="142">
        <f>ROUNDUP(Cajas[[#This Row],[Alto]]/2.54,2)</f>
        <v>13.78</v>
      </c>
      <c r="K173" s="212"/>
      <c r="L173" s="2"/>
      <c r="M173" s="2" t="s">
        <v>302</v>
      </c>
      <c r="N173" s="2"/>
      <c r="O173" s="2"/>
      <c r="P173" s="2"/>
      <c r="Q173" s="2"/>
      <c r="R173" s="2"/>
      <c r="S173" s="2"/>
    </row>
    <row r="174" spans="2:19" ht="15.75" thickBot="1" x14ac:dyDescent="0.3">
      <c r="B174" s="267" t="s">
        <v>471</v>
      </c>
      <c r="C174" s="268">
        <v>104</v>
      </c>
      <c r="D174" s="268">
        <v>25</v>
      </c>
      <c r="E174" s="268">
        <v>15</v>
      </c>
      <c r="F174" s="269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8.109</v>
      </c>
      <c r="G174" s="268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4" s="270">
        <f>ROUNDUP(Cajas[[#This Row],[Largo]]/2.54,2)</f>
        <v>40.949999999999996</v>
      </c>
      <c r="I174" s="268">
        <f>ROUNDUP(Cajas[[#This Row],[Ancho]]/2.54,2)</f>
        <v>9.85</v>
      </c>
      <c r="J174" s="271">
        <f>ROUNDUP(Cajas[[#This Row],[Alto]]/2.54,2)</f>
        <v>5.91</v>
      </c>
      <c r="K174" s="271"/>
      <c r="L174" s="139"/>
      <c r="M174" s="2"/>
      <c r="N174" s="2"/>
      <c r="O174" s="2"/>
      <c r="P174" s="2"/>
      <c r="Q174" s="2"/>
      <c r="R174" s="2"/>
      <c r="S174" s="2"/>
    </row>
    <row r="175" spans="2:19" x14ac:dyDescent="0.25">
      <c r="B175" s="5" t="s">
        <v>472</v>
      </c>
      <c r="C175" s="2">
        <v>105</v>
      </c>
      <c r="D175" s="2">
        <v>15</v>
      </c>
      <c r="E175" s="2">
        <v>12.5</v>
      </c>
      <c r="F175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4.3959166666666665</v>
      </c>
      <c r="G175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5" s="139">
        <f>ROUNDUP(Cajas[[#This Row],[Largo]]/2.54,2)</f>
        <v>41.339999999999996</v>
      </c>
      <c r="I175" s="2">
        <f>ROUNDUP(Cajas[[#This Row],[Ancho]]/2.54,2)</f>
        <v>5.91</v>
      </c>
      <c r="J175" s="142">
        <f>ROUNDUP(Cajas[[#This Row],[Alto]]/2.54,2)</f>
        <v>4.93</v>
      </c>
      <c r="K175" s="142"/>
      <c r="L175" s="2"/>
      <c r="M175" s="2"/>
      <c r="N175" s="2">
        <v>10</v>
      </c>
      <c r="O175" s="2">
        <v>7</v>
      </c>
      <c r="P175" s="2"/>
      <c r="Q175" s="2"/>
      <c r="R175" s="2"/>
      <c r="S175" s="2"/>
    </row>
    <row r="176" spans="2:19" x14ac:dyDescent="0.25">
      <c r="B176" s="5" t="s">
        <v>473</v>
      </c>
      <c r="C176" s="2">
        <v>105</v>
      </c>
      <c r="D176" s="2">
        <v>27</v>
      </c>
      <c r="E176" s="2">
        <v>12.5</v>
      </c>
      <c r="F176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7.4989166666666662</v>
      </c>
      <c r="G176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>y</v>
      </c>
      <c r="H176" s="139">
        <f>ROUNDUP(Cajas[[#This Row],[Largo]]/2.54,2)</f>
        <v>41.339999999999996</v>
      </c>
      <c r="I176" s="2">
        <f>ROUNDUP(Cajas[[#This Row],[Ancho]]/2.54,2)</f>
        <v>10.629999999999999</v>
      </c>
      <c r="J176" s="142">
        <f>ROUNDUP(Cajas[[#This Row],[Alto]]/2.54,2)</f>
        <v>4.93</v>
      </c>
      <c r="K176" s="142"/>
      <c r="L176" s="2"/>
      <c r="M176" s="2"/>
      <c r="N176" s="2"/>
      <c r="O176" s="2"/>
      <c r="P176" s="2"/>
      <c r="Q176" s="2"/>
      <c r="R176" s="2"/>
      <c r="S176" s="2"/>
    </row>
    <row r="177" spans="2:19" x14ac:dyDescent="0.25">
      <c r="B177" s="5"/>
      <c r="C177" s="2"/>
      <c r="D177" s="2"/>
      <c r="E177" s="2"/>
      <c r="F177" s="145">
        <f>IF(OR(Cajas[[#This Row],[Nombre]]="QB", Cajas[[#This Row],[Nombre]]="EB", Cajas[[#This Row],[Nombre]]="HB", Cajas[[#This Row],[Nombre]]="QB2", Cajas[[#This Row],[Nombre]]="EB2", Cajas[[#This Row],[Nombre]]="SB"), (Cajas[[#This Row],[Largo]]*Cajas[[#This Row],[Ancho]]*Cajas[[#This Row],[Alto]])/6000, ((Cajas[[#This Row],[Largo]]+$U$2)*(Cajas[[#This Row],[Ancho]]+$U$2)*(Cajas[[#This Row],[Alto]]+$U$2))/6000)</f>
        <v>1.3333333333333333E-3</v>
      </c>
      <c r="G177" s="2" t="str">
        <f>_xlfn.LET(_xlpm.n, Cajas[[#This Row],[Nombre]], _xlpm.p, IFERROR(VALUE(Cajas[[#This Row],[Peso]]), 0), _xlpm.cod, IF(ISNUMBER(SEARCH("QB2", _xlpm.n)), "QB2", IF(ISNUMBER(SEARCH("EB2", _xlpm.n)), "EB2", IF(ISNUMBER(SEARCH("QB", _xlpm.n)), "QB", IF(ISNUMBER(SEARCH("EB", _xlpm.n)), "EB", IF(ISNUMBER(SEARCH("HB", _xlpm.n)), "HB", IF(ISNUMBER(SEARCH("SB", _xlpm.n)), "SB", "")))))), IF(_xlpm.cod="", "", IF(_xlpm.p &gt; _xlfn.XLOOKUP(_xlpm.cod, Cajas[Nombre], Cajas[Peso]), "n", "y")))</f>
        <v/>
      </c>
      <c r="H177" s="139">
        <f>ROUNDUP(Cajas[[#This Row],[Largo]]/2.54,2)</f>
        <v>0</v>
      </c>
      <c r="I177" s="2">
        <f>ROUNDUP(Cajas[[#This Row],[Ancho]]/2.54,2)</f>
        <v>0</v>
      </c>
      <c r="J177" s="142">
        <f>ROUNDUP(Cajas[[#This Row],[Alto]]/2.54,2)</f>
        <v>0</v>
      </c>
      <c r="K177" s="142"/>
      <c r="L177" s="2"/>
      <c r="M177" s="2"/>
      <c r="N177" s="2"/>
      <c r="O177" s="2"/>
      <c r="P177" s="2"/>
      <c r="Q177" s="2"/>
      <c r="R177" s="2"/>
      <c r="S177" s="2"/>
    </row>
  </sheetData>
  <mergeCells count="1">
    <mergeCell ref="U2:U3"/>
  </mergeCells>
  <phoneticPr fontId="20" type="noConversion"/>
  <conditionalFormatting sqref="F1:F1048576">
    <cfRule type="expression" dxfId="16" priority="3">
      <formula>_xlfn.LET(_xlpm.n, " " &amp; $B1 &amp; " ", _xlpm.p, IFERROR(VALUE($F1), 0), _xlpm.limite, IF(ISNUMBER(SEARCH(" QB2 ", _xlpm.n)), $F$7*1, IF(ISNUMBER(SEARCH(" EB2 ", _xlpm.n)), $F$6*1, IF(ISNUMBER(SEARCH(" QB ", _xlpm.n)), $F$4*1, IF(ISNUMBER(SEARCH(" EB ", _xlpm.n)), $F$3*1, IF(ISNUMBER(SEARCH(" HB ", _xlpm.n)), $F$5*1, IF(ISNUMBER(SEARCH(" SB ", _xlpm.n)), $F$2*1, 99999)))))), AND(_xlpm.p &gt; _xlpm.limite, _xlpm.limite &lt;&gt; 99999))</formula>
    </cfRule>
  </conditionalFormatting>
  <conditionalFormatting sqref="G1:G1048576">
    <cfRule type="cellIs" dxfId="15" priority="1" operator="equal">
      <formula>"N"</formula>
    </cfRule>
    <cfRule type="cellIs" dxfId="14" priority="2" operator="equal">
      <formula>"Y"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6930-8397-4CB3-893A-07E94C275CAA}">
  <dimension ref="A1:N6"/>
  <sheetViews>
    <sheetView workbookViewId="0">
      <selection activeCell="Q19" sqref="Q19"/>
    </sheetView>
  </sheetViews>
  <sheetFormatPr defaultRowHeight="15" x14ac:dyDescent="0.25"/>
  <sheetData>
    <row r="1" spans="1:14" x14ac:dyDescent="0.25">
      <c r="A1" s="33"/>
      <c r="B1" s="153"/>
      <c r="C1" s="153"/>
      <c r="D1" s="33"/>
      <c r="H1" s="1"/>
      <c r="I1" s="235"/>
      <c r="J1" s="69"/>
      <c r="K1" s="131"/>
      <c r="L1" s="2"/>
      <c r="M1" s="249"/>
      <c r="N1" s="225"/>
    </row>
    <row r="2" spans="1:14" ht="15.75" thickBot="1" x14ac:dyDescent="0.3">
      <c r="A2" s="246" t="s">
        <v>474</v>
      </c>
      <c r="B2" s="153"/>
      <c r="C2" s="153"/>
      <c r="D2" s="33"/>
      <c r="E2" t="s">
        <v>119</v>
      </c>
      <c r="H2" s="1"/>
      <c r="I2" s="235"/>
      <c r="J2" s="69"/>
      <c r="K2" s="131"/>
      <c r="L2" s="2"/>
      <c r="M2" s="5"/>
      <c r="N2" s="224"/>
    </row>
    <row r="3" spans="1:14" ht="15.75" thickBot="1" x14ac:dyDescent="0.3">
      <c r="A3" s="156" t="s">
        <v>30</v>
      </c>
      <c r="B3" s="158">
        <f>IF(Main[[#This Row],[SendEmail]]="Y", 1, 0)</f>
        <v>1</v>
      </c>
      <c r="C3" s="157" t="s">
        <v>31</v>
      </c>
      <c r="D3" s="156">
        <v>120</v>
      </c>
      <c r="E3" s="237">
        <v>120</v>
      </c>
      <c r="F3" s="237" t="s">
        <v>475</v>
      </c>
      <c r="G3" t="str">
        <f>"80 Elegance/40 Butterfly " &amp; _xlfn.XLOOKUP(Main[[#This Row],[FechaEntrega]], Guias[Fecha], Guias[Llegada])</f>
        <v>80 Elegance/40 Butterfly (T/W)</v>
      </c>
      <c r="H3" s="1"/>
      <c r="I3" s="235">
        <v>1</v>
      </c>
      <c r="J3" s="69">
        <f>_xlfn.LET(
  _xlpm.result, 1-((Main[[#This Row],[Cost]]+Main[[#This Row],[Duties]]+Main[[#This Row],[Transport]])/((Main[[#This Row],[Precio]]*0.96))),
  IF(_xlpm.result&lt;0, "BAJO", IF(_xlpm.result&gt;1, "ALTO", _xlpm.result))
)</f>
        <v>0.26805555555555549</v>
      </c>
      <c r="K3" s="131">
        <v>1.99</v>
      </c>
      <c r="L3" s="23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M3" s="31"/>
      <c r="N3" s="226" t="s">
        <v>476</v>
      </c>
    </row>
    <row r="4" spans="1:14" ht="15.75" thickBot="1" x14ac:dyDescent="0.3">
      <c r="A4" s="33"/>
      <c r="B4" s="153">
        <v>1</v>
      </c>
      <c r="C4" s="153" t="s">
        <v>31</v>
      </c>
      <c r="D4" s="33">
        <v>70</v>
      </c>
      <c r="E4">
        <v>70</v>
      </c>
      <c r="F4" t="s">
        <v>62</v>
      </c>
      <c r="G4" t="s">
        <v>477</v>
      </c>
      <c r="H4" s="1"/>
      <c r="I4" s="235">
        <v>0.45</v>
      </c>
      <c r="J4" s="69">
        <f>_xlfn.LET(
  _xlpm.result, 1-((Main[[#This Row],[Cost]]+Main[[#This Row],[Duties]]+Main[[#This Row],[Transport]])/((Main[[#This Row],[Precio]]*0.96))),
  IF(_xlpm.result&lt;0, "BAJO", IF(_xlpm.result&gt;1, "ALTO", _xlpm.result))
)</f>
        <v>0.28343432045661354</v>
      </c>
      <c r="K4" s="131">
        <v>1.6881720430107525</v>
      </c>
      <c r="L4" s="2" t="s">
        <v>33</v>
      </c>
      <c r="M4" s="31"/>
      <c r="N4" s="226" t="s">
        <v>478</v>
      </c>
    </row>
    <row r="5" spans="1:14" ht="15.75" thickBot="1" x14ac:dyDescent="0.3">
      <c r="A5" s="154" t="s">
        <v>37</v>
      </c>
      <c r="B5" s="215">
        <f>IF(Main[[#This Row],[SendEmail]]="Y", 1, 0)</f>
        <v>1</v>
      </c>
      <c r="C5" s="155" t="s">
        <v>31</v>
      </c>
      <c r="D5" s="154">
        <v>120</v>
      </c>
      <c r="E5" s="236">
        <v>120</v>
      </c>
      <c r="F5" s="236" t="s">
        <v>479</v>
      </c>
      <c r="G5" t="s">
        <v>480</v>
      </c>
      <c r="H5" s="1"/>
      <c r="I5" s="235">
        <f>40/120</f>
        <v>0.33333333333333331</v>
      </c>
      <c r="J5" s="69">
        <f>_xlfn.LET(
  _xlpm.result, 1-((Main[[#This Row],[Cost]]+Main[[#This Row],[Duties]]+Main[[#This Row],[Transport]])/((Main[[#This Row],[Precio]]*0.96))),
  IF(_xlpm.result&lt;0, "BAJO", IF(_xlpm.result&gt;1, "ALTO", _xlpm.result))
)</f>
        <v>0.28343432045661354</v>
      </c>
      <c r="K5" s="131">
        <v>1.05</v>
      </c>
      <c r="L5" s="238" t="str">
        <f>_xlfn.LET(
_xlpm.txt, Main[[#This Row],[Standing Orders]],
_xlpm.q2num, IFERROR(VALUE(Guias!$M$2), ""),
_xlpm.q2txt, UPPER(Guias!$M$2),
_xlpm.weekIsOdd, IF(_xlpm.q2num&lt;&gt;"", MOD(_xlpm.q2num,2)=1, IF(ISNUMBER(FIND("IMPAR", _xlpm.q2txt)), TRUE, IF(ISNUMBER(FIND("PAR", _xlpm.q2txt)), FALSE, TRUE))),
_xlpm.parity_marker, IF(ISNUMBER(FIND("(*IMPAR)", UPPER(_xlpm.txt))), "impar", IF(ISNUMBER(FIND("(*PAR)", UPPER(_xlpm.txt))), "par", "")),
_xlpm.allow, IF(_xlpm.parity_marker="", TRUE, IF(_xlpm.parity_marker="impar", _xlpm.weekIsOdd, NOT(_xlpm.weekIsOdd))),
IF(_xlpm.allow, "Y", "N")
)</f>
        <v>Y</v>
      </c>
      <c r="M5" s="251" t="s">
        <v>481</v>
      </c>
      <c r="N5" s="226" t="s">
        <v>169</v>
      </c>
    </row>
    <row r="6" spans="1:14" x14ac:dyDescent="0.25">
      <c r="A6" s="33"/>
      <c r="B6" s="153"/>
      <c r="C6" s="153"/>
      <c r="D6" s="33"/>
      <c r="H6" s="1"/>
      <c r="I6" s="235"/>
      <c r="J6" s="69"/>
      <c r="K6" s="131"/>
      <c r="L6" s="2"/>
      <c r="M6" s="250"/>
      <c r="N6" s="226"/>
    </row>
  </sheetData>
  <conditionalFormatting sqref="B1:B6">
    <cfRule type="expression" dxfId="13" priority="2">
      <formula>AND(B1=0, B1&lt;&gt;"")</formula>
    </cfRule>
  </conditionalFormatting>
  <conditionalFormatting sqref="J1:J6">
    <cfRule type="expression" dxfId="12" priority="1">
      <formula>AND(ISNUMBER(J1), J1&lt;20%)</formula>
    </cfRule>
  </conditionalFormatting>
  <conditionalFormatting sqref="L1:L6">
    <cfRule type="cellIs" dxfId="11" priority="4" operator="equal">
      <formula>"N"</formula>
    </cfRule>
  </conditionalFormatting>
  <dataValidations count="2">
    <dataValidation type="list" allowBlank="1" showInputMessage="1" showErrorMessage="1" sqref="A1:A6" xr:uid="{14109F0B-2AA3-40BC-B32C-B20699C8295B}">
      <formula1>INDIRECT("Fincas[Nombre]")</formula1>
    </dataValidation>
    <dataValidation type="list" allowBlank="1" showInputMessage="1" showErrorMessage="1" sqref="C1:C6" xr:uid="{A83612A0-A1FD-47A1-8F63-25C6C9C2CD92}">
      <formula1>INDIRECT("Cajas[Nombre]")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7DA1-4C2C-4FDF-BDED-71A29E74A8BA}">
  <sheetPr codeName="Sheet4">
    <tabColor rgb="FF00B0F0"/>
  </sheetPr>
  <dimension ref="A1:U48"/>
  <sheetViews>
    <sheetView zoomScale="115" zoomScaleNormal="115" workbookViewId="0">
      <selection activeCell="M4" sqref="M4"/>
    </sheetView>
  </sheetViews>
  <sheetFormatPr defaultColWidth="9.140625" defaultRowHeight="15" x14ac:dyDescent="0.25"/>
  <cols>
    <col min="1" max="1" width="11.7109375" style="2" customWidth="1"/>
    <col min="2" max="2" width="34.85546875" style="223" customWidth="1"/>
    <col min="3" max="3" width="32.28515625" style="2" customWidth="1"/>
    <col min="4" max="4" width="35.42578125" style="2" customWidth="1"/>
    <col min="5" max="5" width="10.28515625" bestFit="1" customWidth="1"/>
    <col min="6" max="6" width="11.7109375" bestFit="1" customWidth="1"/>
    <col min="7" max="7" width="9.85546875" customWidth="1"/>
    <col min="8" max="8" width="3.42578125" customWidth="1"/>
    <col min="9" max="9" width="20.140625" bestFit="1" customWidth="1"/>
    <col min="10" max="10" width="13.140625" bestFit="1" customWidth="1"/>
    <col min="11" max="11" width="12.140625" customWidth="1"/>
    <col min="12" max="12" width="2.140625" customWidth="1"/>
    <col min="14" max="14" width="2.28515625" customWidth="1"/>
    <col min="15" max="15" width="14.28515625" customWidth="1"/>
    <col min="16" max="16" width="3" customWidth="1"/>
    <col min="18" max="18" width="10.5703125" customWidth="1"/>
    <col min="19" max="19" width="16.85546875" customWidth="1"/>
    <col min="20" max="20" width="15" bestFit="1" customWidth="1"/>
    <col min="21" max="21" width="24.140625" bestFit="1" customWidth="1"/>
  </cols>
  <sheetData>
    <row r="1" spans="1:21" ht="15.75" customHeight="1" thickBot="1" x14ac:dyDescent="0.3">
      <c r="A1" s="1" t="s">
        <v>482</v>
      </c>
      <c r="B1" s="220" t="s">
        <v>483</v>
      </c>
      <c r="C1" s="2" t="s">
        <v>484</v>
      </c>
      <c r="D1" s="2" t="s">
        <v>485</v>
      </c>
      <c r="E1" s="31" t="s">
        <v>486</v>
      </c>
      <c r="F1" s="31" t="s">
        <v>487</v>
      </c>
      <c r="G1" s="31" t="s">
        <v>488</v>
      </c>
      <c r="I1" s="241" t="s">
        <v>6</v>
      </c>
      <c r="J1" s="241" t="s">
        <v>489</v>
      </c>
      <c r="K1" s="242" t="s">
        <v>490</v>
      </c>
      <c r="M1" s="244" t="s">
        <v>491</v>
      </c>
      <c r="O1" s="19" t="s">
        <v>492</v>
      </c>
      <c r="R1" t="s">
        <v>493</v>
      </c>
      <c r="S1" t="s">
        <v>494</v>
      </c>
      <c r="T1" t="s">
        <v>495</v>
      </c>
      <c r="U1" t="s">
        <v>496</v>
      </c>
    </row>
    <row r="2" spans="1:21" ht="15" customHeight="1" x14ac:dyDescent="0.25">
      <c r="A2" s="2" t="str">
        <f>IF(WEEKDAY(B2,2)=3,"Miercoles","**Error**")</f>
        <v>Miercoles</v>
      </c>
      <c r="B2" s="221">
        <v>46309</v>
      </c>
      <c r="C2" s="30" t="str">
        <f ca="1">IF(B2&lt;TODAY(), "***Error de Fecha***", "Vuelo Viernes " &amp; TEXT(B2 - WEEKDAY(B2, 2) + 5, "dd ""de"" mmmm"))</f>
        <v>Vuelo Viernes 16 de octubre</v>
      </c>
      <c r="D2" s="30" t="str">
        <f>IF(Guias[[#This Row],[Fecha]]="","",PROPER(LEFT(TEXT(Guias[[#This Row],[Fecha]]+5,"[$-es-ES]dddd"), 3)) &amp; " " &amp; DAY(Guias[[#This Row],[Fecha]]+5) &amp; " " &amp; PROPER(LEFT(TEXT(Guias[[#This Row],[Fecha]]+5,"[$-es-ES]mmmm"), 3)) &amp; " / " &amp; PROPER(LEFT(TEXT(Guias[[#This Row],[Fecha]]+6,"[$-es-ES]dddd"), 3)) &amp; " " &amp; DAY(Guias[[#This Row],[Fecha]]+6) &amp; " " &amp; PROPER(LEFT(TEXT(Guias[[#This Row],[Fecha]]+6,"[$-es-ES]mmmm"), 3)))</f>
        <v>Lun 19 Oct / Mar 20 Oct</v>
      </c>
      <c r="E2" s="2">
        <v>16965</v>
      </c>
      <c r="F2" s="2">
        <v>16976</v>
      </c>
      <c r="G2" s="29" t="s">
        <v>497</v>
      </c>
      <c r="I2" t="s">
        <v>498</v>
      </c>
      <c r="J2" t="s">
        <v>499</v>
      </c>
      <c r="K2" t="s">
        <v>500</v>
      </c>
      <c r="M2" s="472">
        <v>42</v>
      </c>
      <c r="O2" s="20" t="s">
        <v>0</v>
      </c>
      <c r="R2" t="s">
        <v>501</v>
      </c>
      <c r="S2" t="s">
        <v>502</v>
      </c>
      <c r="T2" t="s">
        <v>503</v>
      </c>
      <c r="U2" t="s">
        <v>504</v>
      </c>
    </row>
    <row r="3" spans="1:21" ht="15.75" customHeight="1" thickBot="1" x14ac:dyDescent="0.3">
      <c r="A3" s="2" t="str">
        <f>IF(WEEKDAY(B3,2)=4,"Jueves","**Error**")</f>
        <v>Jueves</v>
      </c>
      <c r="B3" s="221">
        <f>B2+1</f>
        <v>46310</v>
      </c>
      <c r="C3" s="30" t="str">
        <f ca="1">IF(B3&lt;TODAY(), "***Error de Fecha***", "Vuelo Sabado " &amp; TEXT(B3-WEEKDAY(B3, 2)+6, "dd ""de"" mmmm"))</f>
        <v>Vuelo Sabado 17 de octubre</v>
      </c>
      <c r="D3" s="30" t="str">
        <f>IF(Guias[[#This Row],[Fecha]]="","",PROPER(LEFT(TEXT(Guias[[#This Row],[Fecha]]+5,"[$-es-ES]dddd"), 3)) &amp; " " &amp; DAY(Guias[[#This Row],[Fecha]]+5) &amp; " " &amp; PROPER(LEFT(TEXT(Guias[[#This Row],[Fecha]]+5,"[$-es-ES]mmmm"), 3)) &amp; " / " &amp; PROPER(LEFT(TEXT(Guias[[#This Row],[Fecha]]+6,"[$-es-ES]dddd"), 3)) &amp; " " &amp; DAY(Guias[[#This Row],[Fecha]]+6) &amp; " " &amp; PROPER(LEFT(TEXT(Guias[[#This Row],[Fecha]]+6,"[$-es-ES]mmmm"), 3)))</f>
        <v>Mar 20 Oct / Mié 21 Oct</v>
      </c>
      <c r="E3" s="2">
        <v>16977</v>
      </c>
      <c r="F3" s="2">
        <v>16978</v>
      </c>
      <c r="G3" s="29" t="s">
        <v>505</v>
      </c>
      <c r="H3" s="1"/>
      <c r="I3" t="s">
        <v>506</v>
      </c>
      <c r="J3" t="s">
        <v>507</v>
      </c>
      <c r="K3" t="s">
        <v>508</v>
      </c>
      <c r="M3" s="473"/>
      <c r="O3" s="21" t="s">
        <v>9</v>
      </c>
      <c r="R3" t="s">
        <v>509</v>
      </c>
      <c r="S3" t="s">
        <v>510</v>
      </c>
      <c r="T3" t="s">
        <v>511</v>
      </c>
      <c r="U3" t="s">
        <v>512</v>
      </c>
    </row>
    <row r="4" spans="1:21" ht="15.75" customHeight="1" x14ac:dyDescent="0.25">
      <c r="A4" s="2" t="str">
        <f>IF(WEEKDAY(B4,2)=5,"Viernes","**Error**")</f>
        <v>Viernes</v>
      </c>
      <c r="B4" s="221">
        <f>B2+2</f>
        <v>46311</v>
      </c>
      <c r="C4" s="30" t="str">
        <f ca="1">IF(B4&lt;TODAY(), "***Error de Fecha***", "Vuelo Domingo " &amp; TEXT(B4-WEEKDAY(B4, 2)+7, "dd ""de"" mmmm"))</f>
        <v>Vuelo Domingo 18 de octubre</v>
      </c>
      <c r="D4" s="30" t="str">
        <f>IF(Guias[[#This Row],[Fecha]]="","",PROPER(LEFT(TEXT(Guias[[#This Row],[Fecha]]+5,"[$-es-ES]dddd"), 3)) &amp; " " &amp; DAY(Guias[[#This Row],[Fecha]]+5) &amp; " " &amp; PROPER(LEFT(TEXT(Guias[[#This Row],[Fecha]]+5,"[$-es-ES]mmmm"), 3)) &amp; " / " &amp; PROPER(LEFT(TEXT(Guias[[#This Row],[Fecha]]+6,"[$-es-ES]dddd"), 3)) &amp; " " &amp; DAY(Guias[[#This Row],[Fecha]]+6) &amp; " " &amp; PROPER(LEFT(TEXT(Guias[[#This Row],[Fecha]]+6,"[$-es-ES]mmmm"), 3)))</f>
        <v>Mié 21 Oct / Jue 22 Oct</v>
      </c>
      <c r="E4" s="2">
        <v>16979</v>
      </c>
      <c r="F4" s="2">
        <v>16980</v>
      </c>
      <c r="G4" s="29" t="s">
        <v>513</v>
      </c>
      <c r="I4" t="s">
        <v>514</v>
      </c>
      <c r="J4" t="s">
        <v>515</v>
      </c>
      <c r="K4" t="s">
        <v>516</v>
      </c>
      <c r="O4" s="20" t="s">
        <v>485</v>
      </c>
      <c r="R4" t="s">
        <v>517</v>
      </c>
      <c r="S4" t="s">
        <v>518</v>
      </c>
      <c r="T4" t="s">
        <v>519</v>
      </c>
      <c r="U4" t="s">
        <v>520</v>
      </c>
    </row>
    <row r="5" spans="1:21" ht="15.75" thickBot="1" x14ac:dyDescent="0.3">
      <c r="A5" s="2" t="str">
        <f>IF(WEEKDAY(B5,2)=6,"Sabado","**Error**")</f>
        <v>Sabado</v>
      </c>
      <c r="B5" s="221">
        <f>B2+3</f>
        <v>46312</v>
      </c>
      <c r="C5" s="30" t="str">
        <f ca="1">IF(B5&lt;TODAY(), "***Error de Fecha***", "Vuelo Domingo " &amp; TEXT(B5-WEEKDAY(B5, 2)+7, "dd ""de"" mmmm"))</f>
        <v>Vuelo Domingo 18 de octubre</v>
      </c>
      <c r="D5" s="30" t="str">
        <f>IF(Guias[[#This Row],[Fecha]]="","",PROPER(LEFT(TEXT(Guias[[#This Row],[Fecha]]+4,"[$-es-ES]dddd"), 3)) &amp; " " &amp; DAY(Guias[[#This Row],[Fecha]]+4) &amp; " " &amp; PROPER(LEFT(TEXT(Guias[[#This Row],[Fecha]]+4,"[$-es-ES]mmmm"), 3)) &amp; " / " &amp; PROPER(LEFT(TEXT(Guias[[#This Row],[Fecha]]+5,"[$-es-ES]dddd"), 3)) &amp; " " &amp; DAY(Guias[[#This Row],[Fecha]]+5) &amp; " " &amp; PROPER(LEFT(TEXT(Guias[[#This Row],[Fecha]]+5,"[$-es-ES]mmmm"), 3)))</f>
        <v>Mié 21 Oct / Jue 22 Oct</v>
      </c>
      <c r="E5" s="70">
        <f>E4</f>
        <v>16979</v>
      </c>
      <c r="F5" s="70">
        <f>F4</f>
        <v>16980</v>
      </c>
      <c r="G5" s="71" t="str">
        <f>G4</f>
        <v>(W/T)</v>
      </c>
      <c r="I5" t="s">
        <v>521</v>
      </c>
      <c r="J5" t="s">
        <v>522</v>
      </c>
      <c r="K5" t="s">
        <v>523</v>
      </c>
      <c r="O5" s="22" t="s">
        <v>524</v>
      </c>
      <c r="R5" t="s">
        <v>273</v>
      </c>
      <c r="S5" t="s">
        <v>525</v>
      </c>
      <c r="T5" t="s">
        <v>526</v>
      </c>
      <c r="U5" t="s">
        <v>527</v>
      </c>
    </row>
    <row r="6" spans="1:21" x14ac:dyDescent="0.25">
      <c r="A6" s="2" t="s">
        <v>528</v>
      </c>
      <c r="B6" s="221">
        <f>B3+2</f>
        <v>46312</v>
      </c>
      <c r="C6" s="30" t="str">
        <f ca="1">IF(B6&lt;TODAY(), "***Error de Fecha***", "Vuelo Martes " &amp; TEXT(B7-WEEKDAY(B7, 2)+2, "dd ""de"" mmmm"))</f>
        <v>Vuelo Martes 20 de octubre</v>
      </c>
      <c r="D6" s="30" t="str">
        <f>IF(Guias[[#This Row],[Fecha]]="","",PROPER(LEFT(TEXT(Guias[[#This Row],[Fecha]]+5,"[$-es-ES]dddd"), 3)) &amp; " " &amp; DAY(Guias[[#This Row],[Fecha]]+3) &amp; " " &amp; PROPER(LEFT(TEXT(Guias[[#This Row],[Fecha]]+3,"[$-es-ES]mmmm"), 3)) &amp; " / " &amp; PROPER(LEFT(TEXT(Guias[[#This Row],[Fecha]]+6,"[$-es-ES]dddd"), 3)) &amp; " " &amp; DAY(Guias[[#This Row],[Fecha]]+6) &amp; " " &amp; PROPER(LEFT(TEXT(Guias[[#This Row],[Fecha]]+6,"[$-es-ES]mmmm"), 3)))</f>
        <v>Jue 20 Oct / Vie 23 Oct</v>
      </c>
      <c r="E6" s="70">
        <f>E7</f>
        <v>16952</v>
      </c>
      <c r="F6" s="70">
        <f>F7</f>
        <v>16961</v>
      </c>
      <c r="G6" s="71" t="s">
        <v>529</v>
      </c>
      <c r="I6" t="s">
        <v>530</v>
      </c>
      <c r="J6" t="s">
        <v>531</v>
      </c>
      <c r="K6" t="s">
        <v>532</v>
      </c>
      <c r="O6" s="23"/>
      <c r="R6" t="s">
        <v>274</v>
      </c>
      <c r="S6" t="s">
        <v>533</v>
      </c>
      <c r="T6" t="s">
        <v>534</v>
      </c>
      <c r="U6" t="s">
        <v>535</v>
      </c>
    </row>
    <row r="7" spans="1:21" ht="15.75" thickBot="1" x14ac:dyDescent="0.3">
      <c r="A7" s="2" t="str">
        <f>IF(WEEKDAY(B7,2)=1,"Lunes","**Error**")</f>
        <v>Lunes</v>
      </c>
      <c r="B7" s="222">
        <f>B2+5</f>
        <v>46314</v>
      </c>
      <c r="C7" s="30" t="str">
        <f ca="1">IF(B7&lt;TODAY(), "***Error de Fecha***", "Vuelo Martes " &amp; TEXT(B7-WEEKDAY(B7, 2)+2, "dd ""de"" mmmm"))</f>
        <v>Vuelo Martes 20 de octubre</v>
      </c>
      <c r="D7" s="30" t="str">
        <f>IF(Guias[[#This Row],[Fecha]]="","",PROPER(LEFT(TEXT(Guias[[#This Row],[Fecha]]+3,"[$-es-ES]dddd"), 3)) &amp; " " &amp; DAY(Guias[[#This Row],[Fecha]]+3) &amp; " " &amp; PROPER(LEFT(TEXT(Guias[[#This Row],[Fecha]]+3,"[$-es-ES]mmmm"), 3)) &amp; " / " &amp; PROPER(LEFT(TEXT(Guias[[#This Row],[Fecha]]+4,"[$-es-ES]dddd"), 3)) &amp; " " &amp; DAY(Guias[[#This Row],[Fecha]]+4) &amp; " " &amp; PROPER(LEFT(TEXT(Guias[[#This Row],[Fecha]]+4,"[$-es-ES]mmmm"), 3)))</f>
        <v>Jue 22 Oct / Vie 23 Oct</v>
      </c>
      <c r="E7" s="2">
        <v>16952</v>
      </c>
      <c r="F7" s="2">
        <v>16961</v>
      </c>
      <c r="G7" s="29" t="s">
        <v>529</v>
      </c>
      <c r="I7" t="s">
        <v>536</v>
      </c>
      <c r="J7" t="s">
        <v>537</v>
      </c>
      <c r="K7" t="s">
        <v>538</v>
      </c>
      <c r="O7" s="24" t="s">
        <v>539</v>
      </c>
      <c r="R7" t="s">
        <v>275</v>
      </c>
      <c r="S7" t="s">
        <v>540</v>
      </c>
      <c r="T7" t="s">
        <v>541</v>
      </c>
      <c r="U7" t="s">
        <v>542</v>
      </c>
    </row>
    <row r="8" spans="1:21" x14ac:dyDescent="0.25">
      <c r="A8" s="2" t="str">
        <f>IF(WEEKDAY(B8,2)=2,"Martes","**Error**")</f>
        <v>Martes</v>
      </c>
      <c r="B8" s="222">
        <f>B2+6</f>
        <v>46315</v>
      </c>
      <c r="C8" s="30" t="str">
        <f ca="1">IF(B8&lt;TODAY(), "***Error de Fecha***", "Vuelo Miercoles " &amp; TEXT(B8-WEEKDAY(B8, 2)+3, "dd ""de"" mmmm"))</f>
        <v>Vuelo Miercoles 21 de octubre</v>
      </c>
      <c r="D8" s="30" t="str">
        <f>IF(Guias[[#This Row],[Fecha]]="","",PROPER(LEFT(TEXT(Guias[[#This Row],[Fecha]]+3,"[$-es-ES]dddd"), 3)) &amp; " " &amp; DAY(Guias[[#This Row],[Fecha]]+3) &amp; " " &amp; PROPER(LEFT(TEXT(Guias[[#This Row],[Fecha]]+3,"[$-es-ES]mmmm"), 3)))</f>
        <v>Vie 23 Oct</v>
      </c>
      <c r="E8" s="2">
        <v>16981</v>
      </c>
      <c r="F8" s="2" t="s">
        <v>543</v>
      </c>
      <c r="G8" s="29" t="s">
        <v>544</v>
      </c>
      <c r="I8" t="s">
        <v>545</v>
      </c>
      <c r="J8" t="s">
        <v>546</v>
      </c>
      <c r="K8" t="s">
        <v>547</v>
      </c>
      <c r="O8" s="20" t="s">
        <v>548</v>
      </c>
      <c r="R8" t="s">
        <v>276</v>
      </c>
      <c r="S8" t="s">
        <v>549</v>
      </c>
      <c r="T8" t="s">
        <v>550</v>
      </c>
      <c r="U8" t="s">
        <v>551</v>
      </c>
    </row>
    <row r="9" spans="1:21" ht="15.75" customHeight="1" x14ac:dyDescent="0.25">
      <c r="I9" t="s">
        <v>552</v>
      </c>
      <c r="J9" t="s">
        <v>553</v>
      </c>
      <c r="K9" t="s">
        <v>554</v>
      </c>
      <c r="O9" s="25" t="s">
        <v>555</v>
      </c>
      <c r="R9" t="s">
        <v>277</v>
      </c>
      <c r="S9" t="s">
        <v>556</v>
      </c>
      <c r="T9" t="s">
        <v>557</v>
      </c>
      <c r="U9" t="s">
        <v>558</v>
      </c>
    </row>
    <row r="10" spans="1:21" x14ac:dyDescent="0.25">
      <c r="I10" t="s">
        <v>559</v>
      </c>
      <c r="J10" t="s">
        <v>560</v>
      </c>
      <c r="K10" t="s">
        <v>561</v>
      </c>
      <c r="O10" s="20" t="s">
        <v>562</v>
      </c>
      <c r="R10" t="s">
        <v>278</v>
      </c>
      <c r="S10" t="s">
        <v>563</v>
      </c>
      <c r="T10" t="s">
        <v>564</v>
      </c>
      <c r="U10" t="s">
        <v>565</v>
      </c>
    </row>
    <row r="11" spans="1:21" x14ac:dyDescent="0.25">
      <c r="I11" t="s">
        <v>566</v>
      </c>
      <c r="J11" t="s">
        <v>567</v>
      </c>
      <c r="K11" t="s">
        <v>568</v>
      </c>
      <c r="O11" s="25" t="s">
        <v>10</v>
      </c>
      <c r="R11" t="s">
        <v>279</v>
      </c>
      <c r="S11" t="s">
        <v>569</v>
      </c>
      <c r="T11" t="s">
        <v>570</v>
      </c>
      <c r="U11" t="s">
        <v>571</v>
      </c>
    </row>
    <row r="12" spans="1:21" x14ac:dyDescent="0.25">
      <c r="I12" t="s">
        <v>572</v>
      </c>
      <c r="J12" t="s">
        <v>573</v>
      </c>
      <c r="K12" t="s">
        <v>574</v>
      </c>
      <c r="O12" s="20" t="s">
        <v>524</v>
      </c>
      <c r="S12" t="s">
        <v>575</v>
      </c>
      <c r="T12" t="s">
        <v>576</v>
      </c>
      <c r="U12" t="s">
        <v>577</v>
      </c>
    </row>
    <row r="13" spans="1:21" ht="15.75" thickBot="1" x14ac:dyDescent="0.3">
      <c r="H13" s="243"/>
      <c r="I13" t="s">
        <v>578</v>
      </c>
      <c r="J13" t="s">
        <v>579</v>
      </c>
      <c r="K13" t="s">
        <v>580</v>
      </c>
      <c r="O13" s="26" t="s">
        <v>581</v>
      </c>
      <c r="S13" t="s">
        <v>582</v>
      </c>
      <c r="T13" t="s">
        <v>583</v>
      </c>
      <c r="U13" t="s">
        <v>584</v>
      </c>
    </row>
    <row r="14" spans="1:21" ht="15.75" thickBot="1" x14ac:dyDescent="0.3">
      <c r="H14" s="243"/>
      <c r="I14" t="s">
        <v>585</v>
      </c>
      <c r="J14" t="s">
        <v>586</v>
      </c>
      <c r="K14" t="s">
        <v>587</v>
      </c>
      <c r="O14" s="23"/>
      <c r="T14" t="s">
        <v>588</v>
      </c>
      <c r="U14" t="s">
        <v>589</v>
      </c>
    </row>
    <row r="15" spans="1:21" ht="15.75" thickBot="1" x14ac:dyDescent="0.3">
      <c r="H15" s="243"/>
      <c r="I15" t="s">
        <v>590</v>
      </c>
      <c r="J15" t="s">
        <v>591</v>
      </c>
      <c r="K15" t="s">
        <v>592</v>
      </c>
      <c r="O15" s="27" t="s">
        <v>593</v>
      </c>
      <c r="T15" t="s">
        <v>594</v>
      </c>
      <c r="U15" t="s">
        <v>595</v>
      </c>
    </row>
    <row r="16" spans="1:21" x14ac:dyDescent="0.25">
      <c r="H16" s="243"/>
      <c r="I16" t="s">
        <v>596</v>
      </c>
      <c r="J16" t="s">
        <v>597</v>
      </c>
      <c r="K16" t="s">
        <v>598</v>
      </c>
      <c r="O16" s="20" t="s">
        <v>599</v>
      </c>
      <c r="T16" t="s">
        <v>600</v>
      </c>
      <c r="U16" t="s">
        <v>601</v>
      </c>
    </row>
    <row r="17" spans="8:21" x14ac:dyDescent="0.25">
      <c r="H17" s="243"/>
      <c r="I17" t="s">
        <v>602</v>
      </c>
      <c r="J17" t="s">
        <v>603</v>
      </c>
      <c r="K17" t="s">
        <v>604</v>
      </c>
      <c r="O17" s="28" t="s">
        <v>562</v>
      </c>
      <c r="T17" t="s">
        <v>605</v>
      </c>
      <c r="U17" t="s">
        <v>606</v>
      </c>
    </row>
    <row r="18" spans="8:21" x14ac:dyDescent="0.25">
      <c r="O18" s="20" t="s">
        <v>607</v>
      </c>
      <c r="T18" t="s">
        <v>608</v>
      </c>
      <c r="U18" t="s">
        <v>609</v>
      </c>
    </row>
    <row r="19" spans="8:21" x14ac:dyDescent="0.25">
      <c r="O19" s="28" t="s">
        <v>483</v>
      </c>
      <c r="T19" t="s">
        <v>610</v>
      </c>
      <c r="U19" t="s">
        <v>611</v>
      </c>
    </row>
    <row r="20" spans="8:21" x14ac:dyDescent="0.25">
      <c r="O20" s="20" t="s">
        <v>524</v>
      </c>
      <c r="T20" t="s">
        <v>612</v>
      </c>
      <c r="U20" t="s">
        <v>613</v>
      </c>
    </row>
    <row r="21" spans="8:21" ht="15.75" thickBot="1" x14ac:dyDescent="0.3">
      <c r="O21" s="214" t="s">
        <v>483</v>
      </c>
      <c r="T21" t="s">
        <v>614</v>
      </c>
      <c r="U21" t="s">
        <v>615</v>
      </c>
    </row>
    <row r="22" spans="8:21" x14ac:dyDescent="0.25">
      <c r="T22" t="s">
        <v>616</v>
      </c>
      <c r="U22" t="s">
        <v>617</v>
      </c>
    </row>
    <row r="23" spans="8:21" x14ac:dyDescent="0.25">
      <c r="T23" t="s">
        <v>618</v>
      </c>
      <c r="U23" t="s">
        <v>619</v>
      </c>
    </row>
    <row r="24" spans="8:21" x14ac:dyDescent="0.25">
      <c r="T24" t="s">
        <v>620</v>
      </c>
      <c r="U24" t="s">
        <v>621</v>
      </c>
    </row>
    <row r="25" spans="8:21" x14ac:dyDescent="0.25">
      <c r="T25" t="s">
        <v>622</v>
      </c>
      <c r="U25" t="s">
        <v>623</v>
      </c>
    </row>
    <row r="26" spans="8:21" x14ac:dyDescent="0.25">
      <c r="T26" t="s">
        <v>518</v>
      </c>
      <c r="U26" t="s">
        <v>624</v>
      </c>
    </row>
    <row r="27" spans="8:21" x14ac:dyDescent="0.25">
      <c r="T27" t="s">
        <v>625</v>
      </c>
      <c r="U27" t="s">
        <v>626</v>
      </c>
    </row>
    <row r="28" spans="8:21" x14ac:dyDescent="0.25">
      <c r="T28" t="s">
        <v>556</v>
      </c>
      <c r="U28" t="s">
        <v>627</v>
      </c>
    </row>
    <row r="29" spans="8:21" x14ac:dyDescent="0.25">
      <c r="T29" t="s">
        <v>563</v>
      </c>
      <c r="U29" t="s">
        <v>628</v>
      </c>
    </row>
    <row r="30" spans="8:21" x14ac:dyDescent="0.25">
      <c r="T30" t="s">
        <v>569</v>
      </c>
      <c r="U30" t="s">
        <v>629</v>
      </c>
    </row>
    <row r="31" spans="8:21" x14ac:dyDescent="0.25">
      <c r="T31" t="s">
        <v>630</v>
      </c>
      <c r="U31" t="s">
        <v>118</v>
      </c>
    </row>
    <row r="32" spans="8:21" x14ac:dyDescent="0.25">
      <c r="T32" t="s">
        <v>631</v>
      </c>
      <c r="U32" t="s">
        <v>632</v>
      </c>
    </row>
    <row r="33" spans="20:21" x14ac:dyDescent="0.25">
      <c r="T33" t="s">
        <v>633</v>
      </c>
      <c r="U33" t="s">
        <v>634</v>
      </c>
    </row>
    <row r="34" spans="20:21" x14ac:dyDescent="0.25">
      <c r="T34" t="s">
        <v>210</v>
      </c>
      <c r="U34" t="s">
        <v>635</v>
      </c>
    </row>
    <row r="35" spans="20:21" x14ac:dyDescent="0.25">
      <c r="T35" t="s">
        <v>636</v>
      </c>
      <c r="U35" t="s">
        <v>637</v>
      </c>
    </row>
    <row r="36" spans="20:21" x14ac:dyDescent="0.25">
      <c r="T36" t="s">
        <v>638</v>
      </c>
      <c r="U36" t="s">
        <v>639</v>
      </c>
    </row>
    <row r="37" spans="20:21" x14ac:dyDescent="0.25">
      <c r="U37" t="s">
        <v>640</v>
      </c>
    </row>
    <row r="38" spans="20:21" x14ac:dyDescent="0.25">
      <c r="U38" t="s">
        <v>641</v>
      </c>
    </row>
    <row r="39" spans="20:21" x14ac:dyDescent="0.25">
      <c r="U39" t="s">
        <v>642</v>
      </c>
    </row>
    <row r="40" spans="20:21" x14ac:dyDescent="0.25">
      <c r="U40" t="s">
        <v>643</v>
      </c>
    </row>
    <row r="41" spans="20:21" x14ac:dyDescent="0.25">
      <c r="U41" t="s">
        <v>644</v>
      </c>
    </row>
    <row r="42" spans="20:21" x14ac:dyDescent="0.25">
      <c r="U42" t="s">
        <v>645</v>
      </c>
    </row>
    <row r="43" spans="20:21" x14ac:dyDescent="0.25">
      <c r="U43" t="s">
        <v>646</v>
      </c>
    </row>
    <row r="44" spans="20:21" x14ac:dyDescent="0.25">
      <c r="U44" t="s">
        <v>647</v>
      </c>
    </row>
    <row r="45" spans="20:21" x14ac:dyDescent="0.25">
      <c r="U45" t="s">
        <v>648</v>
      </c>
    </row>
    <row r="46" spans="20:21" x14ac:dyDescent="0.25">
      <c r="U46" t="s">
        <v>649</v>
      </c>
    </row>
    <row r="47" spans="20:21" x14ac:dyDescent="0.25">
      <c r="U47" t="s">
        <v>650</v>
      </c>
    </row>
    <row r="48" spans="20:21" x14ac:dyDescent="0.25">
      <c r="U48" t="s">
        <v>651</v>
      </c>
    </row>
  </sheetData>
  <mergeCells count="1">
    <mergeCell ref="M2:M3"/>
  </mergeCells>
  <conditionalFormatting sqref="A1:A8">
    <cfRule type="cellIs" dxfId="10" priority="1" operator="equal">
      <formula>"**Error**"</formula>
    </cfRule>
  </conditionalFormatting>
  <conditionalFormatting sqref="C1:D8">
    <cfRule type="cellIs" dxfId="9" priority="2" operator="equal">
      <formula>"***Error de Fecha***"</formula>
    </cfRule>
  </conditionalFormatting>
  <conditionalFormatting sqref="E2:F4">
    <cfRule type="cellIs" dxfId="8" priority="8" operator="equal">
      <formula>0</formula>
    </cfRule>
  </conditionalFormatting>
  <conditionalFormatting sqref="F5:F7 E5:E8">
    <cfRule type="cellIs" dxfId="7" priority="4" operator="equal">
      <formula>0</formula>
    </cfRule>
  </conditionalFormatting>
  <pageMargins left="0.7" right="0.7" top="0.75" bottom="0.75" header="0.3" footer="0.3"/>
  <pageSetup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A074CF"/>
  </sheetPr>
  <dimension ref="A1:F205"/>
  <sheetViews>
    <sheetView workbookViewId="0">
      <selection activeCell="N10" sqref="N10"/>
    </sheetView>
  </sheetViews>
  <sheetFormatPr defaultColWidth="9.140625" defaultRowHeight="15" x14ac:dyDescent="0.25"/>
  <cols>
    <col min="1" max="1" width="2.7109375" customWidth="1"/>
    <col min="2" max="2" width="21.7109375" bestFit="1" customWidth="1"/>
    <col min="4" max="4" width="12.5703125" style="68" bestFit="1" customWidth="1"/>
    <col min="5" max="5" width="22" bestFit="1" customWidth="1"/>
    <col min="6" max="6" width="44.42578125" customWidth="1"/>
  </cols>
  <sheetData>
    <row r="1" spans="1:5" x14ac:dyDescent="0.25">
      <c r="A1" s="138" t="s">
        <v>488</v>
      </c>
      <c r="B1" s="7" t="s">
        <v>6</v>
      </c>
      <c r="C1" s="7" t="s">
        <v>490</v>
      </c>
      <c r="D1" s="7" t="s">
        <v>652</v>
      </c>
      <c r="E1" s="7" t="s">
        <v>653</v>
      </c>
    </row>
    <row r="2" spans="1:5" x14ac:dyDescent="0.25">
      <c r="B2" t="s">
        <v>654</v>
      </c>
      <c r="C2" s="2">
        <v>1</v>
      </c>
      <c r="D2" s="2"/>
    </row>
    <row r="3" spans="1:5" x14ac:dyDescent="0.25">
      <c r="A3" t="s">
        <v>655</v>
      </c>
      <c r="B3" t="s">
        <v>54</v>
      </c>
      <c r="C3" s="2">
        <v>2</v>
      </c>
      <c r="D3" s="2"/>
    </row>
    <row r="4" spans="1:5" x14ac:dyDescent="0.25">
      <c r="B4" t="s">
        <v>656</v>
      </c>
      <c r="C4" s="2">
        <v>5</v>
      </c>
      <c r="D4" s="2"/>
    </row>
    <row r="5" spans="1:5" x14ac:dyDescent="0.25">
      <c r="A5" t="s">
        <v>655</v>
      </c>
      <c r="B5" t="s">
        <v>44</v>
      </c>
      <c r="C5" s="2">
        <v>6</v>
      </c>
      <c r="D5" s="2"/>
    </row>
    <row r="6" spans="1:5" x14ac:dyDescent="0.25">
      <c r="B6" t="s">
        <v>657</v>
      </c>
      <c r="C6" s="2">
        <v>7</v>
      </c>
      <c r="D6" s="2"/>
    </row>
    <row r="7" spans="1:5" x14ac:dyDescent="0.25">
      <c r="A7" t="s">
        <v>658</v>
      </c>
      <c r="B7" t="s">
        <v>226</v>
      </c>
      <c r="C7" s="2">
        <v>8</v>
      </c>
      <c r="D7" s="2" t="s">
        <v>659</v>
      </c>
    </row>
    <row r="8" spans="1:5" x14ac:dyDescent="0.25">
      <c r="B8" t="s">
        <v>660</v>
      </c>
      <c r="C8" s="2">
        <v>12</v>
      </c>
      <c r="D8" s="2"/>
    </row>
    <row r="9" spans="1:5" x14ac:dyDescent="0.25">
      <c r="B9" t="s">
        <v>661</v>
      </c>
      <c r="C9" s="2">
        <v>13</v>
      </c>
      <c r="D9" s="2"/>
    </row>
    <row r="10" spans="1:5" x14ac:dyDescent="0.25">
      <c r="B10" t="s">
        <v>662</v>
      </c>
      <c r="C10" s="2">
        <v>14</v>
      </c>
      <c r="D10" s="2"/>
    </row>
    <row r="11" spans="1:5" x14ac:dyDescent="0.25">
      <c r="B11" t="s">
        <v>663</v>
      </c>
      <c r="C11" s="2">
        <v>15</v>
      </c>
      <c r="D11" s="2"/>
    </row>
    <row r="12" spans="1:5" x14ac:dyDescent="0.25">
      <c r="A12" t="s">
        <v>655</v>
      </c>
      <c r="B12" t="s">
        <v>117</v>
      </c>
      <c r="C12" s="2">
        <v>16</v>
      </c>
      <c r="D12" s="2"/>
    </row>
    <row r="13" spans="1:5" x14ac:dyDescent="0.25">
      <c r="B13" t="s">
        <v>664</v>
      </c>
      <c r="C13" s="2">
        <v>17</v>
      </c>
      <c r="D13" s="2"/>
    </row>
    <row r="14" spans="1:5" x14ac:dyDescent="0.25">
      <c r="B14" t="s">
        <v>665</v>
      </c>
      <c r="C14" s="2">
        <v>18</v>
      </c>
      <c r="D14" s="2"/>
    </row>
    <row r="15" spans="1:5" x14ac:dyDescent="0.25">
      <c r="B15" t="s">
        <v>666</v>
      </c>
      <c r="C15" s="2">
        <v>19</v>
      </c>
      <c r="D15" s="2"/>
    </row>
    <row r="16" spans="1:5" x14ac:dyDescent="0.25">
      <c r="B16" t="s">
        <v>667</v>
      </c>
      <c r="C16" s="2">
        <v>20</v>
      </c>
      <c r="D16" s="2"/>
    </row>
    <row r="17" spans="1:4" x14ac:dyDescent="0.25">
      <c r="B17" t="s">
        <v>668</v>
      </c>
      <c r="C17" s="2">
        <v>21</v>
      </c>
      <c r="D17" s="2"/>
    </row>
    <row r="18" spans="1:4" x14ac:dyDescent="0.25">
      <c r="B18" t="s">
        <v>669</v>
      </c>
      <c r="C18" s="2">
        <v>22</v>
      </c>
      <c r="D18" s="2"/>
    </row>
    <row r="19" spans="1:4" x14ac:dyDescent="0.25">
      <c r="A19" t="s">
        <v>655</v>
      </c>
      <c r="B19" t="s">
        <v>208</v>
      </c>
      <c r="C19" s="2">
        <v>23</v>
      </c>
      <c r="D19" s="2"/>
    </row>
    <row r="20" spans="1:4" x14ac:dyDescent="0.25">
      <c r="A20" t="s">
        <v>655</v>
      </c>
      <c r="B20" t="s">
        <v>255</v>
      </c>
      <c r="C20" s="2">
        <v>24</v>
      </c>
      <c r="D20" s="2"/>
    </row>
    <row r="21" spans="1:4" x14ac:dyDescent="0.25">
      <c r="B21" t="s">
        <v>670</v>
      </c>
      <c r="C21" s="2">
        <v>25</v>
      </c>
      <c r="D21" s="2"/>
    </row>
    <row r="22" spans="1:4" x14ac:dyDescent="0.25">
      <c r="A22" t="s">
        <v>658</v>
      </c>
      <c r="B22" t="s">
        <v>671</v>
      </c>
      <c r="C22" s="2">
        <v>26</v>
      </c>
      <c r="D22" s="2" t="s">
        <v>659</v>
      </c>
    </row>
    <row r="23" spans="1:4" x14ac:dyDescent="0.25">
      <c r="B23" t="s">
        <v>672</v>
      </c>
      <c r="C23" s="2">
        <v>27</v>
      </c>
      <c r="D23" s="2"/>
    </row>
    <row r="24" spans="1:4" x14ac:dyDescent="0.25">
      <c r="B24" t="s">
        <v>673</v>
      </c>
      <c r="C24" s="2">
        <v>28</v>
      </c>
      <c r="D24" s="2"/>
    </row>
    <row r="25" spans="1:4" x14ac:dyDescent="0.25">
      <c r="B25" t="s">
        <v>221</v>
      </c>
      <c r="C25" s="2">
        <v>29</v>
      </c>
      <c r="D25" s="2"/>
    </row>
    <row r="26" spans="1:4" x14ac:dyDescent="0.25">
      <c r="B26" t="s">
        <v>674</v>
      </c>
      <c r="C26" s="2">
        <v>30</v>
      </c>
      <c r="D26" s="2"/>
    </row>
    <row r="27" spans="1:4" x14ac:dyDescent="0.25">
      <c r="B27" t="s">
        <v>675</v>
      </c>
      <c r="C27" s="2">
        <v>31</v>
      </c>
      <c r="D27" s="2"/>
    </row>
    <row r="28" spans="1:4" x14ac:dyDescent="0.25">
      <c r="B28" t="s">
        <v>676</v>
      </c>
      <c r="C28" s="2">
        <v>32</v>
      </c>
      <c r="D28" s="2"/>
    </row>
    <row r="29" spans="1:4" x14ac:dyDescent="0.25">
      <c r="B29" t="s">
        <v>677</v>
      </c>
      <c r="C29" s="2">
        <v>33</v>
      </c>
      <c r="D29" s="2"/>
    </row>
    <row r="30" spans="1:4" x14ac:dyDescent="0.25">
      <c r="B30" t="s">
        <v>120</v>
      </c>
      <c r="C30" s="2">
        <v>34</v>
      </c>
      <c r="D30" s="2"/>
    </row>
    <row r="31" spans="1:4" x14ac:dyDescent="0.25">
      <c r="A31" t="s">
        <v>658</v>
      </c>
      <c r="B31" t="s">
        <v>220</v>
      </c>
      <c r="C31" s="2">
        <v>35</v>
      </c>
      <c r="D31" s="2"/>
    </row>
    <row r="32" spans="1:4" x14ac:dyDescent="0.25">
      <c r="B32" t="s">
        <v>678</v>
      </c>
      <c r="C32" s="2">
        <v>36</v>
      </c>
      <c r="D32" s="2"/>
    </row>
    <row r="33" spans="1:4" x14ac:dyDescent="0.25">
      <c r="B33" t="s">
        <v>679</v>
      </c>
      <c r="C33" s="2">
        <v>37</v>
      </c>
      <c r="D33" s="2"/>
    </row>
    <row r="34" spans="1:4" x14ac:dyDescent="0.25">
      <c r="A34" t="s">
        <v>655</v>
      </c>
      <c r="B34" t="s">
        <v>85</v>
      </c>
      <c r="C34" s="2">
        <v>38</v>
      </c>
      <c r="D34" s="2"/>
    </row>
    <row r="35" spans="1:4" x14ac:dyDescent="0.25">
      <c r="B35" t="s">
        <v>680</v>
      </c>
      <c r="C35" s="2">
        <v>39</v>
      </c>
      <c r="D35" s="2"/>
    </row>
    <row r="36" spans="1:4" x14ac:dyDescent="0.25">
      <c r="A36" t="s">
        <v>33</v>
      </c>
      <c r="B36" t="s">
        <v>199</v>
      </c>
      <c r="C36" s="2">
        <v>40</v>
      </c>
      <c r="D36" s="2"/>
    </row>
    <row r="37" spans="1:4" x14ac:dyDescent="0.25">
      <c r="B37" t="s">
        <v>681</v>
      </c>
      <c r="C37" s="2">
        <v>41</v>
      </c>
      <c r="D37" s="2"/>
    </row>
    <row r="38" spans="1:4" x14ac:dyDescent="0.25">
      <c r="B38" t="s">
        <v>682</v>
      </c>
      <c r="C38" s="2">
        <v>42</v>
      </c>
      <c r="D38" s="2"/>
    </row>
    <row r="39" spans="1:4" x14ac:dyDescent="0.25">
      <c r="B39" t="s">
        <v>61</v>
      </c>
      <c r="C39" s="2">
        <v>43</v>
      </c>
      <c r="D39" s="2"/>
    </row>
    <row r="40" spans="1:4" x14ac:dyDescent="0.25">
      <c r="B40" t="s">
        <v>683</v>
      </c>
      <c r="C40" s="2">
        <v>44</v>
      </c>
      <c r="D40" s="2"/>
    </row>
    <row r="41" spans="1:4" x14ac:dyDescent="0.25">
      <c r="B41" t="s">
        <v>684</v>
      </c>
      <c r="C41" s="2">
        <v>45</v>
      </c>
      <c r="D41" s="2"/>
    </row>
    <row r="42" spans="1:4" x14ac:dyDescent="0.25">
      <c r="B42" t="s">
        <v>685</v>
      </c>
      <c r="C42" s="2">
        <v>46</v>
      </c>
      <c r="D42" s="2"/>
    </row>
    <row r="43" spans="1:4" x14ac:dyDescent="0.25">
      <c r="B43" t="s">
        <v>686</v>
      </c>
      <c r="C43" s="2">
        <v>47</v>
      </c>
      <c r="D43" s="2"/>
    </row>
    <row r="44" spans="1:4" x14ac:dyDescent="0.25">
      <c r="B44" t="s">
        <v>687</v>
      </c>
      <c r="C44" s="2">
        <v>48</v>
      </c>
      <c r="D44" s="2"/>
    </row>
    <row r="45" spans="1:4" x14ac:dyDescent="0.25">
      <c r="A45" t="s">
        <v>655</v>
      </c>
      <c r="B45" t="s">
        <v>34</v>
      </c>
      <c r="C45" s="2">
        <v>49</v>
      </c>
      <c r="D45" s="2"/>
    </row>
    <row r="46" spans="1:4" x14ac:dyDescent="0.25">
      <c r="B46" t="s">
        <v>688</v>
      </c>
      <c r="C46" s="2">
        <v>50</v>
      </c>
      <c r="D46" s="2"/>
    </row>
    <row r="47" spans="1:4" x14ac:dyDescent="0.25">
      <c r="A47" t="s">
        <v>655</v>
      </c>
      <c r="B47" t="s">
        <v>48</v>
      </c>
      <c r="C47" s="2">
        <v>51</v>
      </c>
      <c r="D47" s="2" t="s">
        <v>659</v>
      </c>
    </row>
    <row r="48" spans="1:4" x14ac:dyDescent="0.25">
      <c r="B48" t="s">
        <v>689</v>
      </c>
      <c r="C48" s="2">
        <v>52</v>
      </c>
      <c r="D48" s="2"/>
    </row>
    <row r="49" spans="1:5" x14ac:dyDescent="0.25">
      <c r="A49" t="s">
        <v>655</v>
      </c>
      <c r="B49" t="s">
        <v>30</v>
      </c>
      <c r="C49" s="2">
        <v>53</v>
      </c>
      <c r="D49" s="2"/>
    </row>
    <row r="50" spans="1:5" x14ac:dyDescent="0.25">
      <c r="B50" t="s">
        <v>690</v>
      </c>
      <c r="C50" s="2">
        <v>54</v>
      </c>
      <c r="D50" s="2"/>
    </row>
    <row r="51" spans="1:5" x14ac:dyDescent="0.25">
      <c r="B51" t="s">
        <v>691</v>
      </c>
      <c r="C51" s="2">
        <v>55</v>
      </c>
      <c r="D51" s="2"/>
    </row>
    <row r="52" spans="1:5" x14ac:dyDescent="0.25">
      <c r="B52" t="s">
        <v>692</v>
      </c>
      <c r="C52" s="2">
        <v>56</v>
      </c>
      <c r="D52" s="2"/>
    </row>
    <row r="53" spans="1:5" ht="15.75" thickBot="1" x14ac:dyDescent="0.3">
      <c r="B53" t="s">
        <v>693</v>
      </c>
      <c r="C53" s="2">
        <v>57</v>
      </c>
      <c r="D53" s="2"/>
    </row>
    <row r="54" spans="1:5" x14ac:dyDescent="0.25">
      <c r="A54" s="227" t="s">
        <v>655</v>
      </c>
      <c r="B54" s="228" t="s">
        <v>151</v>
      </c>
      <c r="C54" s="18">
        <v>58</v>
      </c>
      <c r="D54" s="18"/>
      <c r="E54" s="229"/>
    </row>
    <row r="55" spans="1:5" x14ac:dyDescent="0.25">
      <c r="A55" s="230" t="s">
        <v>655</v>
      </c>
      <c r="B55" t="s">
        <v>694</v>
      </c>
      <c r="C55" s="2">
        <v>58</v>
      </c>
      <c r="D55" s="2"/>
      <c r="E55" s="231"/>
    </row>
    <row r="56" spans="1:5" ht="15.75" thickBot="1" x14ac:dyDescent="0.3">
      <c r="A56" s="232" t="s">
        <v>655</v>
      </c>
      <c r="B56" s="233" t="s">
        <v>695</v>
      </c>
      <c r="C56" s="73">
        <v>58</v>
      </c>
      <c r="D56" s="73"/>
      <c r="E56" s="234"/>
    </row>
    <row r="57" spans="1:5" x14ac:dyDescent="0.25">
      <c r="B57" t="s">
        <v>696</v>
      </c>
      <c r="C57" s="2">
        <v>59</v>
      </c>
      <c r="D57" s="2"/>
    </row>
    <row r="58" spans="1:5" x14ac:dyDescent="0.25">
      <c r="B58" t="s">
        <v>697</v>
      </c>
      <c r="C58" s="2">
        <v>60</v>
      </c>
      <c r="D58" s="2"/>
    </row>
    <row r="59" spans="1:5" x14ac:dyDescent="0.25">
      <c r="A59" t="s">
        <v>658</v>
      </c>
      <c r="B59" t="s">
        <v>245</v>
      </c>
      <c r="C59" s="2">
        <v>61</v>
      </c>
      <c r="D59" s="2"/>
    </row>
    <row r="60" spans="1:5" x14ac:dyDescent="0.25">
      <c r="B60" t="s">
        <v>57</v>
      </c>
      <c r="C60" s="2">
        <v>62</v>
      </c>
      <c r="D60" s="2"/>
    </row>
    <row r="61" spans="1:5" x14ac:dyDescent="0.25">
      <c r="A61" t="s">
        <v>655</v>
      </c>
      <c r="B61" t="s">
        <v>698</v>
      </c>
      <c r="C61" s="2">
        <v>63</v>
      </c>
      <c r="D61" s="2"/>
    </row>
    <row r="62" spans="1:5" x14ac:dyDescent="0.25">
      <c r="A62" t="s">
        <v>655</v>
      </c>
      <c r="B62" t="s">
        <v>699</v>
      </c>
      <c r="C62" s="2">
        <v>64</v>
      </c>
      <c r="D62" s="2"/>
    </row>
    <row r="63" spans="1:5" x14ac:dyDescent="0.25">
      <c r="B63" t="s">
        <v>700</v>
      </c>
      <c r="C63" s="2">
        <v>65</v>
      </c>
      <c r="D63" s="2"/>
    </row>
    <row r="64" spans="1:5" x14ac:dyDescent="0.25">
      <c r="A64" t="s">
        <v>658</v>
      </c>
      <c r="B64" t="s">
        <v>197</v>
      </c>
      <c r="C64" s="2">
        <v>66</v>
      </c>
      <c r="D64" s="2"/>
    </row>
    <row r="65" spans="1:5" x14ac:dyDescent="0.25">
      <c r="B65" t="s">
        <v>701</v>
      </c>
      <c r="C65" s="2">
        <v>67</v>
      </c>
      <c r="D65" s="2"/>
    </row>
    <row r="66" spans="1:5" x14ac:dyDescent="0.25">
      <c r="B66" t="s">
        <v>702</v>
      </c>
      <c r="C66" s="2">
        <v>68</v>
      </c>
      <c r="D66" s="2"/>
    </row>
    <row r="67" spans="1:5" x14ac:dyDescent="0.25">
      <c r="B67" t="s">
        <v>703</v>
      </c>
      <c r="C67" s="2">
        <v>69</v>
      </c>
      <c r="D67" s="2"/>
    </row>
    <row r="68" spans="1:5" x14ac:dyDescent="0.25">
      <c r="A68" t="s">
        <v>655</v>
      </c>
      <c r="B68" t="s">
        <v>216</v>
      </c>
      <c r="C68" s="2">
        <v>70</v>
      </c>
      <c r="D68" s="2" t="s">
        <v>704</v>
      </c>
    </row>
    <row r="69" spans="1:5" x14ac:dyDescent="0.25">
      <c r="B69" t="s">
        <v>705</v>
      </c>
      <c r="C69" s="2">
        <v>71</v>
      </c>
      <c r="D69" s="2"/>
    </row>
    <row r="70" spans="1:5" x14ac:dyDescent="0.25">
      <c r="A70" t="s">
        <v>658</v>
      </c>
      <c r="B70" t="s">
        <v>126</v>
      </c>
      <c r="C70" s="2">
        <v>72</v>
      </c>
      <c r="D70" s="2" t="s">
        <v>704</v>
      </c>
    </row>
    <row r="71" spans="1:5" x14ac:dyDescent="0.25">
      <c r="B71" t="s">
        <v>706</v>
      </c>
      <c r="C71" s="2">
        <v>73</v>
      </c>
      <c r="D71" s="2"/>
    </row>
    <row r="72" spans="1:5" x14ac:dyDescent="0.25">
      <c r="A72" t="s">
        <v>655</v>
      </c>
      <c r="B72" t="s">
        <v>73</v>
      </c>
      <c r="C72" s="2">
        <v>74</v>
      </c>
      <c r="D72" s="2" t="s">
        <v>707</v>
      </c>
    </row>
    <row r="73" spans="1:5" ht="15.75" thickBot="1" x14ac:dyDescent="0.3">
      <c r="A73" t="s">
        <v>655</v>
      </c>
      <c r="B73" t="s">
        <v>51</v>
      </c>
      <c r="C73" s="2">
        <v>75</v>
      </c>
      <c r="D73" s="2" t="s">
        <v>707</v>
      </c>
    </row>
    <row r="74" spans="1:5" x14ac:dyDescent="0.25">
      <c r="A74" s="227" t="s">
        <v>655</v>
      </c>
      <c r="B74" s="228" t="s">
        <v>236</v>
      </c>
      <c r="C74" s="18">
        <v>76</v>
      </c>
      <c r="D74" s="18"/>
      <c r="E74" s="229"/>
    </row>
    <row r="75" spans="1:5" x14ac:dyDescent="0.25">
      <c r="A75" s="230" t="s">
        <v>655</v>
      </c>
      <c r="B75" t="s">
        <v>708</v>
      </c>
      <c r="C75" s="2">
        <v>76</v>
      </c>
      <c r="D75" s="2"/>
      <c r="E75" s="231"/>
    </row>
    <row r="76" spans="1:5" x14ac:dyDescent="0.25">
      <c r="A76" s="230" t="s">
        <v>655</v>
      </c>
      <c r="B76" t="s">
        <v>709</v>
      </c>
      <c r="C76" s="2">
        <v>76</v>
      </c>
      <c r="D76" s="2"/>
      <c r="E76" s="231"/>
    </row>
    <row r="77" spans="1:5" ht="15.75" thickBot="1" x14ac:dyDescent="0.3">
      <c r="A77" s="232" t="s">
        <v>655</v>
      </c>
      <c r="B77" s="233" t="s">
        <v>710</v>
      </c>
      <c r="C77" s="73">
        <v>76</v>
      </c>
      <c r="D77" s="73" t="s">
        <v>704</v>
      </c>
      <c r="E77" s="234"/>
    </row>
    <row r="78" spans="1:5" x14ac:dyDescent="0.25">
      <c r="A78" t="s">
        <v>658</v>
      </c>
      <c r="B78" t="s">
        <v>37</v>
      </c>
      <c r="C78" s="2">
        <v>77</v>
      </c>
      <c r="D78" s="2" t="s">
        <v>704</v>
      </c>
    </row>
    <row r="79" spans="1:5" x14ac:dyDescent="0.25">
      <c r="A79" t="s">
        <v>658</v>
      </c>
      <c r="B79" t="s">
        <v>711</v>
      </c>
      <c r="C79" s="2">
        <v>78</v>
      </c>
      <c r="D79" s="2" t="s">
        <v>707</v>
      </c>
    </row>
    <row r="80" spans="1:5" x14ac:dyDescent="0.25">
      <c r="A80" t="s">
        <v>655</v>
      </c>
      <c r="B80" t="s">
        <v>712</v>
      </c>
      <c r="C80" s="2">
        <v>80</v>
      </c>
      <c r="D80" s="2"/>
    </row>
    <row r="81" spans="1:6" x14ac:dyDescent="0.25">
      <c r="A81" t="s">
        <v>655</v>
      </c>
      <c r="B81" t="s">
        <v>713</v>
      </c>
      <c r="C81" s="2">
        <v>81</v>
      </c>
      <c r="D81" s="2" t="s">
        <v>707</v>
      </c>
      <c r="F81" t="s">
        <v>543</v>
      </c>
    </row>
    <row r="82" spans="1:6" x14ac:dyDescent="0.25">
      <c r="A82" t="s">
        <v>543</v>
      </c>
      <c r="B82" t="s">
        <v>205</v>
      </c>
      <c r="C82" s="2">
        <v>82</v>
      </c>
      <c r="D82" s="2" t="s">
        <v>707</v>
      </c>
    </row>
    <row r="83" spans="1:6" x14ac:dyDescent="0.25">
      <c r="A83" t="s">
        <v>655</v>
      </c>
      <c r="B83" t="s">
        <v>714</v>
      </c>
      <c r="C83" s="2">
        <v>83</v>
      </c>
      <c r="D83" s="2" t="s">
        <v>707</v>
      </c>
    </row>
    <row r="84" spans="1:6" x14ac:dyDescent="0.25">
      <c r="A84" t="s">
        <v>655</v>
      </c>
      <c r="B84" t="s">
        <v>715</v>
      </c>
      <c r="C84" s="2">
        <v>84</v>
      </c>
      <c r="D84" s="2" t="s">
        <v>707</v>
      </c>
    </row>
    <row r="85" spans="1:6" x14ac:dyDescent="0.25">
      <c r="A85" t="s">
        <v>655</v>
      </c>
      <c r="B85" t="s">
        <v>716</v>
      </c>
      <c r="C85" s="2">
        <v>88</v>
      </c>
      <c r="D85" s="2" t="s">
        <v>707</v>
      </c>
    </row>
    <row r="86" spans="1:6" x14ac:dyDescent="0.25">
      <c r="A86" t="s">
        <v>655</v>
      </c>
      <c r="B86" t="s">
        <v>717</v>
      </c>
      <c r="C86" s="2">
        <v>89</v>
      </c>
      <c r="D86" s="2"/>
    </row>
    <row r="87" spans="1:6" x14ac:dyDescent="0.25">
      <c r="A87" t="s">
        <v>658</v>
      </c>
      <c r="B87" t="s">
        <v>718</v>
      </c>
      <c r="C87" s="2">
        <v>91</v>
      </c>
      <c r="D87" s="2" t="s">
        <v>707</v>
      </c>
    </row>
    <row r="88" spans="1:6" x14ac:dyDescent="0.25">
      <c r="B88" t="s">
        <v>719</v>
      </c>
      <c r="C88" s="2">
        <v>92</v>
      </c>
      <c r="D88" s="2"/>
      <c r="E88" t="s">
        <v>720</v>
      </c>
    </row>
    <row r="89" spans="1:6" x14ac:dyDescent="0.25">
      <c r="B89" s="68" t="s">
        <v>721</v>
      </c>
      <c r="C89" s="1">
        <v>93</v>
      </c>
      <c r="D89" s="2"/>
    </row>
    <row r="90" spans="1:6" x14ac:dyDescent="0.25">
      <c r="B90" t="s">
        <v>722</v>
      </c>
      <c r="C90" s="2">
        <v>94</v>
      </c>
      <c r="D90" s="2"/>
    </row>
    <row r="91" spans="1:6" x14ac:dyDescent="0.25">
      <c r="B91" t="s">
        <v>723</v>
      </c>
      <c r="C91" s="2">
        <v>95</v>
      </c>
      <c r="D91" s="2"/>
    </row>
    <row r="92" spans="1:6" x14ac:dyDescent="0.25">
      <c r="B92" t="s">
        <v>724</v>
      </c>
      <c r="C92" s="2">
        <v>96</v>
      </c>
      <c r="D92" s="2"/>
    </row>
    <row r="93" spans="1:6" x14ac:dyDescent="0.25">
      <c r="A93" t="s">
        <v>655</v>
      </c>
      <c r="B93" t="s">
        <v>725</v>
      </c>
      <c r="C93" s="2">
        <v>97</v>
      </c>
      <c r="D93" s="2"/>
    </row>
    <row r="94" spans="1:6" x14ac:dyDescent="0.25">
      <c r="A94" t="s">
        <v>658</v>
      </c>
      <c r="B94" t="s">
        <v>68</v>
      </c>
      <c r="C94" s="2">
        <v>98</v>
      </c>
      <c r="D94" s="2" t="s">
        <v>707</v>
      </c>
    </row>
    <row r="95" spans="1:6" x14ac:dyDescent="0.25">
      <c r="A95" t="s">
        <v>655</v>
      </c>
      <c r="B95" t="s">
        <v>726</v>
      </c>
      <c r="C95" s="2">
        <v>99</v>
      </c>
      <c r="D95" s="2" t="s">
        <v>707</v>
      </c>
    </row>
    <row r="96" spans="1:6" x14ac:dyDescent="0.25">
      <c r="A96" t="s">
        <v>543</v>
      </c>
      <c r="B96" t="s">
        <v>727</v>
      </c>
      <c r="C96" s="2">
        <v>100</v>
      </c>
      <c r="D96" s="2"/>
    </row>
    <row r="97" spans="1:4" x14ac:dyDescent="0.25">
      <c r="B97" t="s">
        <v>728</v>
      </c>
      <c r="C97" s="2">
        <v>101</v>
      </c>
      <c r="D97" s="2"/>
    </row>
    <row r="98" spans="1:4" x14ac:dyDescent="0.25">
      <c r="A98" t="s">
        <v>658</v>
      </c>
      <c r="B98" t="s">
        <v>729</v>
      </c>
      <c r="C98" s="2">
        <v>102</v>
      </c>
      <c r="D98" s="2" t="s">
        <v>704</v>
      </c>
    </row>
    <row r="99" spans="1:4" x14ac:dyDescent="0.25">
      <c r="A99" t="s">
        <v>655</v>
      </c>
      <c r="B99" t="s">
        <v>730</v>
      </c>
      <c r="C99" s="2">
        <v>103</v>
      </c>
      <c r="D99" s="2"/>
    </row>
    <row r="100" spans="1:4" x14ac:dyDescent="0.25">
      <c r="A100" t="s">
        <v>655</v>
      </c>
      <c r="B100" t="s">
        <v>731</v>
      </c>
      <c r="C100" s="2">
        <v>104</v>
      </c>
      <c r="D100" s="2"/>
    </row>
    <row r="101" spans="1:4" x14ac:dyDescent="0.25">
      <c r="A101" t="s">
        <v>655</v>
      </c>
      <c r="B101" t="s">
        <v>732</v>
      </c>
      <c r="C101" s="2">
        <v>105</v>
      </c>
      <c r="D101" s="2"/>
    </row>
    <row r="102" spans="1:4" x14ac:dyDescent="0.25">
      <c r="A102" t="s">
        <v>655</v>
      </c>
      <c r="B102" t="s">
        <v>71</v>
      </c>
      <c r="C102" s="2">
        <v>106</v>
      </c>
      <c r="D102" s="2"/>
    </row>
    <row r="103" spans="1:4" x14ac:dyDescent="0.25">
      <c r="B103" t="s">
        <v>733</v>
      </c>
      <c r="C103" s="2">
        <v>107</v>
      </c>
      <c r="D103" s="2"/>
    </row>
    <row r="104" spans="1:4" x14ac:dyDescent="0.25">
      <c r="C104" s="2"/>
      <c r="D104" s="2"/>
    </row>
    <row r="105" spans="1:4" x14ac:dyDescent="0.25">
      <c r="C105" s="2"/>
      <c r="D105" s="2"/>
    </row>
    <row r="106" spans="1:4" x14ac:dyDescent="0.25">
      <c r="C106" s="2"/>
      <c r="D106" s="2"/>
    </row>
    <row r="107" spans="1:4" x14ac:dyDescent="0.25">
      <c r="C107" s="2"/>
      <c r="D107" s="2"/>
    </row>
    <row r="108" spans="1:4" x14ac:dyDescent="0.25">
      <c r="C108" s="2"/>
      <c r="D108" s="2"/>
    </row>
    <row r="109" spans="1:4" x14ac:dyDescent="0.25">
      <c r="C109" s="2"/>
      <c r="D109" s="2"/>
    </row>
    <row r="110" spans="1:4" x14ac:dyDescent="0.25">
      <c r="C110" s="2"/>
      <c r="D110" s="2"/>
    </row>
    <row r="111" spans="1:4" x14ac:dyDescent="0.25">
      <c r="C111" s="2"/>
      <c r="D111" s="2"/>
    </row>
    <row r="112" spans="1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5" x14ac:dyDescent="0.25">
      <c r="C129" s="2"/>
      <c r="D129" s="2"/>
    </row>
    <row r="130" spans="3:5" x14ac:dyDescent="0.25">
      <c r="C130" s="2"/>
      <c r="D130" s="2"/>
    </row>
    <row r="131" spans="3:5" x14ac:dyDescent="0.25">
      <c r="C131" s="2"/>
      <c r="D131" s="2"/>
    </row>
    <row r="132" spans="3:5" x14ac:dyDescent="0.25">
      <c r="C132" s="2"/>
      <c r="D132" s="2"/>
    </row>
    <row r="133" spans="3:5" x14ac:dyDescent="0.25">
      <c r="C133" s="2"/>
      <c r="D133" s="2"/>
    </row>
    <row r="134" spans="3:5" x14ac:dyDescent="0.25">
      <c r="C134" s="2"/>
      <c r="D134" s="2"/>
    </row>
    <row r="135" spans="3:5" x14ac:dyDescent="0.25">
      <c r="C135" s="2"/>
      <c r="D135" s="2"/>
    </row>
    <row r="136" spans="3:5" x14ac:dyDescent="0.25">
      <c r="C136" s="2"/>
      <c r="D136" s="1"/>
      <c r="E136" s="2"/>
    </row>
    <row r="137" spans="3:5" x14ac:dyDescent="0.25">
      <c r="C137" s="2"/>
      <c r="D137" s="1"/>
      <c r="E137" s="2"/>
    </row>
    <row r="138" spans="3:5" x14ac:dyDescent="0.25">
      <c r="C138" s="2"/>
      <c r="D138" s="1"/>
      <c r="E138" s="2"/>
    </row>
    <row r="139" spans="3:5" x14ac:dyDescent="0.25">
      <c r="C139" s="2"/>
      <c r="D139" s="1"/>
      <c r="E139" s="2"/>
    </row>
    <row r="140" spans="3:5" x14ac:dyDescent="0.25">
      <c r="C140" s="2"/>
      <c r="D140" s="1"/>
      <c r="E140" s="2"/>
    </row>
    <row r="141" spans="3:5" x14ac:dyDescent="0.25">
      <c r="C141" s="2"/>
      <c r="D141" s="1"/>
      <c r="E141" s="2"/>
    </row>
    <row r="142" spans="3:5" x14ac:dyDescent="0.25">
      <c r="C142" s="2"/>
      <c r="D142" s="1"/>
      <c r="E142" s="2"/>
    </row>
    <row r="143" spans="3:5" x14ac:dyDescent="0.25">
      <c r="C143" s="2"/>
      <c r="D143" s="1"/>
      <c r="E143" s="2"/>
    </row>
    <row r="144" spans="3:5" x14ac:dyDescent="0.25">
      <c r="C144" s="2"/>
      <c r="D144" s="1"/>
      <c r="E144" s="2"/>
    </row>
    <row r="145" spans="3:5" x14ac:dyDescent="0.25">
      <c r="C145" s="2"/>
      <c r="D145" s="1"/>
      <c r="E145" s="2"/>
    </row>
    <row r="146" spans="3:5" x14ac:dyDescent="0.25">
      <c r="C146" s="2"/>
      <c r="D146" s="1"/>
      <c r="E146" s="2"/>
    </row>
    <row r="147" spans="3:5" x14ac:dyDescent="0.25">
      <c r="C147" s="2"/>
      <c r="D147" s="1"/>
      <c r="E147" s="2"/>
    </row>
    <row r="148" spans="3:5" x14ac:dyDescent="0.25">
      <c r="C148" s="2"/>
      <c r="D148" s="1"/>
      <c r="E148" s="2"/>
    </row>
    <row r="149" spans="3:5" x14ac:dyDescent="0.25">
      <c r="C149" s="2"/>
      <c r="D149" s="1"/>
      <c r="E149" s="2"/>
    </row>
    <row r="150" spans="3:5" x14ac:dyDescent="0.25">
      <c r="C150" s="2"/>
      <c r="D150" s="1"/>
      <c r="E150" s="2"/>
    </row>
    <row r="151" spans="3:5" x14ac:dyDescent="0.25">
      <c r="C151" s="2"/>
      <c r="D151" s="1"/>
      <c r="E151" s="2"/>
    </row>
    <row r="152" spans="3:5" x14ac:dyDescent="0.25">
      <c r="C152" s="2"/>
      <c r="D152" s="1"/>
      <c r="E152" s="2"/>
    </row>
    <row r="153" spans="3:5" x14ac:dyDescent="0.25">
      <c r="C153" s="2"/>
      <c r="D153" s="1"/>
      <c r="E153" s="2"/>
    </row>
    <row r="154" spans="3:5" x14ac:dyDescent="0.25">
      <c r="C154" s="2"/>
      <c r="D154" s="1"/>
      <c r="E154" s="2"/>
    </row>
    <row r="155" spans="3:5" x14ac:dyDescent="0.25">
      <c r="C155" s="2"/>
      <c r="D155" s="1"/>
      <c r="E155" s="2"/>
    </row>
    <row r="156" spans="3:5" x14ac:dyDescent="0.25">
      <c r="C156" s="2"/>
      <c r="D156" s="1"/>
      <c r="E156" s="2"/>
    </row>
    <row r="157" spans="3:5" x14ac:dyDescent="0.25">
      <c r="C157" s="2"/>
      <c r="D157" s="1"/>
      <c r="E157" s="2"/>
    </row>
    <row r="158" spans="3:5" x14ac:dyDescent="0.25">
      <c r="C158" s="2"/>
      <c r="D158" s="1"/>
      <c r="E158" s="2"/>
    </row>
    <row r="159" spans="3:5" x14ac:dyDescent="0.25">
      <c r="C159" s="2"/>
      <c r="D159" s="1"/>
      <c r="E159" s="2"/>
    </row>
    <row r="160" spans="3:5" x14ac:dyDescent="0.25">
      <c r="C160" s="2"/>
      <c r="D160" s="1"/>
      <c r="E160" s="2"/>
    </row>
    <row r="161" spans="3:5" x14ac:dyDescent="0.25">
      <c r="C161" s="2"/>
      <c r="D161" s="1"/>
      <c r="E161" s="2"/>
    </row>
    <row r="162" spans="3:5" x14ac:dyDescent="0.25">
      <c r="C162" s="2"/>
      <c r="D162" s="1"/>
      <c r="E162" s="2"/>
    </row>
    <row r="163" spans="3:5" x14ac:dyDescent="0.25">
      <c r="C163" s="2"/>
      <c r="D163" s="1"/>
      <c r="E163" s="2"/>
    </row>
    <row r="164" spans="3:5" x14ac:dyDescent="0.25">
      <c r="C164" s="2"/>
      <c r="D164" s="1"/>
      <c r="E164" s="2"/>
    </row>
    <row r="165" spans="3:5" x14ac:dyDescent="0.25">
      <c r="C165" s="2"/>
      <c r="D165" s="1"/>
      <c r="E165" s="2"/>
    </row>
    <row r="166" spans="3:5" x14ac:dyDescent="0.25">
      <c r="C166" s="2"/>
      <c r="D166" s="1"/>
      <c r="E166" s="2"/>
    </row>
    <row r="167" spans="3:5" x14ac:dyDescent="0.25">
      <c r="C167" s="2"/>
      <c r="D167" s="1"/>
      <c r="E167" s="2"/>
    </row>
    <row r="168" spans="3:5" x14ac:dyDescent="0.25">
      <c r="C168" s="2"/>
      <c r="D168" s="1"/>
      <c r="E168" s="2"/>
    </row>
    <row r="169" spans="3:5" x14ac:dyDescent="0.25">
      <c r="C169" s="2"/>
      <c r="D169" s="1"/>
      <c r="E169" s="2"/>
    </row>
    <row r="170" spans="3:5" x14ac:dyDescent="0.25">
      <c r="C170" s="2"/>
      <c r="D170" s="1"/>
      <c r="E170" s="2"/>
    </row>
    <row r="171" spans="3:5" x14ac:dyDescent="0.25">
      <c r="C171" s="2"/>
      <c r="D171" s="1"/>
      <c r="E171" s="2"/>
    </row>
    <row r="172" spans="3:5" x14ac:dyDescent="0.25">
      <c r="C172" s="2"/>
      <c r="D172" s="1"/>
      <c r="E172" s="2"/>
    </row>
    <row r="173" spans="3:5" x14ac:dyDescent="0.25">
      <c r="C173" s="2"/>
      <c r="D173" s="1"/>
      <c r="E173" s="2"/>
    </row>
    <row r="174" spans="3:5" x14ac:dyDescent="0.25">
      <c r="C174" s="2"/>
      <c r="D174" s="1"/>
      <c r="E174" s="2"/>
    </row>
    <row r="175" spans="3:5" x14ac:dyDescent="0.25">
      <c r="C175" s="2"/>
      <c r="D175" s="1"/>
      <c r="E175" s="2"/>
    </row>
    <row r="176" spans="3:5" x14ac:dyDescent="0.25">
      <c r="C176" s="2"/>
      <c r="D176" s="1"/>
      <c r="E176" s="2"/>
    </row>
    <row r="177" spans="3:5" x14ac:dyDescent="0.25">
      <c r="C177" s="2"/>
      <c r="D177" s="1"/>
      <c r="E177" s="2"/>
    </row>
    <row r="178" spans="3:5" x14ac:dyDescent="0.25">
      <c r="C178" s="2"/>
      <c r="D178" s="1"/>
      <c r="E178" s="2"/>
    </row>
    <row r="179" spans="3:5" x14ac:dyDescent="0.25">
      <c r="C179" s="2"/>
      <c r="D179" s="1"/>
      <c r="E179" s="2"/>
    </row>
    <row r="180" spans="3:5" x14ac:dyDescent="0.25">
      <c r="C180" s="2"/>
      <c r="D180" s="1"/>
      <c r="E180" s="2"/>
    </row>
    <row r="181" spans="3:5" x14ac:dyDescent="0.25">
      <c r="C181" s="2"/>
      <c r="D181" s="1"/>
      <c r="E181" s="2"/>
    </row>
    <row r="182" spans="3:5" x14ac:dyDescent="0.25">
      <c r="C182" s="2"/>
      <c r="D182" s="1"/>
      <c r="E182" s="2"/>
    </row>
    <row r="183" spans="3:5" x14ac:dyDescent="0.25">
      <c r="C183" s="2"/>
      <c r="D183" s="1"/>
      <c r="E183" s="2"/>
    </row>
    <row r="184" spans="3:5" x14ac:dyDescent="0.25">
      <c r="C184" s="2"/>
      <c r="D184" s="1"/>
      <c r="E184" s="2"/>
    </row>
    <row r="185" spans="3:5" x14ac:dyDescent="0.25">
      <c r="C185" s="2"/>
      <c r="D185" s="1"/>
      <c r="E185" s="2"/>
    </row>
    <row r="186" spans="3:5" x14ac:dyDescent="0.25">
      <c r="C186" s="2"/>
      <c r="D186" s="1"/>
      <c r="E186" s="2"/>
    </row>
    <row r="187" spans="3:5" x14ac:dyDescent="0.25">
      <c r="C187" s="2"/>
      <c r="D187" s="1"/>
      <c r="E187" s="2"/>
    </row>
    <row r="188" spans="3:5" x14ac:dyDescent="0.25">
      <c r="C188" s="2"/>
      <c r="D188" s="1"/>
      <c r="E188" s="2"/>
    </row>
    <row r="189" spans="3:5" x14ac:dyDescent="0.25">
      <c r="C189" s="2"/>
      <c r="D189" s="1"/>
      <c r="E189" s="2"/>
    </row>
    <row r="190" spans="3:5" x14ac:dyDescent="0.25">
      <c r="C190" s="2"/>
      <c r="D190" s="1"/>
      <c r="E190" s="2"/>
    </row>
    <row r="191" spans="3:5" x14ac:dyDescent="0.25">
      <c r="C191" s="2"/>
      <c r="D191" s="1"/>
      <c r="E191" s="2"/>
    </row>
    <row r="192" spans="3:5" x14ac:dyDescent="0.25">
      <c r="C192" s="2"/>
      <c r="D192" s="1"/>
      <c r="E192" s="2"/>
    </row>
    <row r="193" spans="3:5" x14ac:dyDescent="0.25">
      <c r="C193" s="2"/>
      <c r="D193" s="1"/>
      <c r="E193" s="2"/>
    </row>
    <row r="194" spans="3:5" x14ac:dyDescent="0.25">
      <c r="C194" s="2"/>
      <c r="D194" s="1"/>
      <c r="E194" s="2"/>
    </row>
    <row r="195" spans="3:5" x14ac:dyDescent="0.25">
      <c r="C195" s="2"/>
      <c r="D195" s="1"/>
      <c r="E195" s="2"/>
    </row>
    <row r="196" spans="3:5" x14ac:dyDescent="0.25">
      <c r="C196" s="2"/>
      <c r="D196" s="1"/>
      <c r="E196" s="2"/>
    </row>
    <row r="197" spans="3:5" x14ac:dyDescent="0.25">
      <c r="C197" s="2"/>
      <c r="D197" s="1"/>
      <c r="E197" s="2"/>
    </row>
    <row r="198" spans="3:5" x14ac:dyDescent="0.25">
      <c r="C198" s="2"/>
      <c r="D198" s="1"/>
      <c r="E198" s="2"/>
    </row>
    <row r="199" spans="3:5" x14ac:dyDescent="0.25">
      <c r="C199" s="2"/>
      <c r="D199" s="1"/>
      <c r="E199" s="2"/>
    </row>
    <row r="200" spans="3:5" x14ac:dyDescent="0.25">
      <c r="C200" s="2"/>
      <c r="D200" s="1"/>
      <c r="E200" s="2"/>
    </row>
    <row r="201" spans="3:5" x14ac:dyDescent="0.25">
      <c r="C201" s="2"/>
      <c r="D201" s="1"/>
      <c r="E201" s="2"/>
    </row>
    <row r="202" spans="3:5" x14ac:dyDescent="0.25">
      <c r="C202" s="2"/>
      <c r="D202" s="1"/>
      <c r="E202" s="2"/>
    </row>
    <row r="203" spans="3:5" x14ac:dyDescent="0.25">
      <c r="C203" s="2"/>
      <c r="D203" s="1"/>
      <c r="E203" s="2"/>
    </row>
    <row r="204" spans="3:5" x14ac:dyDescent="0.25">
      <c r="C204" s="2"/>
      <c r="D204" s="1"/>
      <c r="E204" s="2"/>
    </row>
    <row r="205" spans="3:5" x14ac:dyDescent="0.25">
      <c r="C205" s="2"/>
      <c r="D205" s="1"/>
      <c r="E205" s="2"/>
    </row>
  </sheetData>
  <sortState xmlns:xlrd2="http://schemas.microsoft.com/office/spreadsheetml/2017/richdata2" ref="B2:C84">
    <sortCondition ref="B2:B84"/>
  </sortState>
  <conditionalFormatting sqref="A1:A1048576">
    <cfRule type="cellIs" dxfId="6" priority="1" operator="equal">
      <formula>"-"</formula>
    </cfRule>
    <cfRule type="cellIs" dxfId="5" priority="2" operator="equal">
      <formula>"N"</formula>
    </cfRule>
    <cfRule type="cellIs" dxfId="4" priority="3" operator="equal">
      <formula>"Y"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3B4F-AD50-4F15-8D74-CE1963FBE927}">
  <sheetPr>
    <tabColor rgb="FFFF9966"/>
  </sheetPr>
  <dimension ref="A1:V981"/>
  <sheetViews>
    <sheetView topLeftCell="A821" workbookViewId="0">
      <selection activeCell="H990" sqref="H990"/>
    </sheetView>
  </sheetViews>
  <sheetFormatPr defaultRowHeight="15" x14ac:dyDescent="0.25"/>
  <cols>
    <col min="1" max="1" width="19.140625" bestFit="1" customWidth="1"/>
    <col min="2" max="2" width="3.7109375" style="68" customWidth="1"/>
    <col min="3" max="3" width="17.28515625" customWidth="1"/>
    <col min="4" max="4" width="15.5703125" bestFit="1" customWidth="1"/>
    <col min="5" max="5" width="21" customWidth="1"/>
    <col min="6" max="7" width="11.7109375" bestFit="1" customWidth="1"/>
    <col min="8" max="8" width="11.7109375" customWidth="1"/>
    <col min="9" max="9" width="10.28515625" style="272" bestFit="1" customWidth="1"/>
    <col min="10" max="10" width="3.28515625" style="272" customWidth="1"/>
    <col min="11" max="11" width="9.42578125" style="68" customWidth="1"/>
    <col min="12" max="12" width="2.85546875" customWidth="1"/>
    <col min="13" max="13" width="23.85546875" customWidth="1"/>
    <col min="14" max="14" width="15.5703125" bestFit="1" customWidth="1"/>
    <col min="15" max="15" width="12.42578125" style="273" bestFit="1" customWidth="1"/>
    <col min="16" max="16" width="12.42578125" style="254" bestFit="1" customWidth="1"/>
    <col min="17" max="17" width="10.85546875" style="273" bestFit="1" customWidth="1"/>
    <col min="18" max="18" width="10.85546875" style="273" customWidth="1"/>
    <col min="19" max="19" width="2.85546875" style="273" customWidth="1"/>
    <col min="20" max="20" width="13" style="273" customWidth="1"/>
    <col min="21" max="21" width="12.85546875" style="1" customWidth="1"/>
    <col min="22" max="22" width="11.85546875" style="274" customWidth="1"/>
    <col min="23" max="23" width="10.140625" bestFit="1" customWidth="1"/>
    <col min="24" max="24" width="11.140625" bestFit="1" customWidth="1"/>
  </cols>
  <sheetData>
    <row r="1" spans="1:22" x14ac:dyDescent="0.25">
      <c r="A1" s="474" t="s">
        <v>734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2"/>
      <c r="S1" s="2"/>
      <c r="T1" s="2"/>
    </row>
    <row r="2" spans="1:22" ht="15.75" thickBot="1" x14ac:dyDescent="0.3">
      <c r="A2" s="313" t="s">
        <v>0</v>
      </c>
      <c r="B2" s="313" t="s">
        <v>490</v>
      </c>
      <c r="C2" s="313" t="s">
        <v>735</v>
      </c>
      <c r="D2" s="313" t="s">
        <v>524</v>
      </c>
      <c r="E2" s="313" t="s">
        <v>736</v>
      </c>
      <c r="F2" s="313" t="s">
        <v>737</v>
      </c>
      <c r="G2" s="313" t="s">
        <v>738</v>
      </c>
      <c r="H2" s="313" t="s">
        <v>494</v>
      </c>
      <c r="I2" s="314" t="s">
        <v>739</v>
      </c>
      <c r="J2" s="312" t="s">
        <v>740</v>
      </c>
      <c r="K2" s="315" t="s">
        <v>741</v>
      </c>
      <c r="L2" s="305" t="s">
        <v>742</v>
      </c>
      <c r="M2" s="305" t="s">
        <v>743</v>
      </c>
      <c r="N2" s="305" t="s">
        <v>744</v>
      </c>
      <c r="O2" s="307" t="s">
        <v>745</v>
      </c>
      <c r="P2" s="306" t="s">
        <v>9</v>
      </c>
      <c r="Q2" s="307" t="s">
        <v>746</v>
      </c>
      <c r="R2" s="298" t="s">
        <v>747</v>
      </c>
      <c r="S2" s="298" t="s">
        <v>748</v>
      </c>
      <c r="T2" s="299" t="s">
        <v>749</v>
      </c>
      <c r="U2" s="301" t="s">
        <v>750</v>
      </c>
      <c r="V2" s="300" t="s">
        <v>751</v>
      </c>
    </row>
    <row r="3" spans="1:22" x14ac:dyDescent="0.25">
      <c r="A3" s="281" t="s">
        <v>54</v>
      </c>
      <c r="B3" s="282">
        <f>_xlfn.XLOOKUP(Catalogo[[#This Row],[Finca]], Fincas[Nombre], Fincas[ID])</f>
        <v>2</v>
      </c>
      <c r="C3" s="281" t="s">
        <v>646</v>
      </c>
      <c r="D3" s="281" t="s">
        <v>752</v>
      </c>
      <c r="E3" s="281"/>
      <c r="F3" s="281" t="s">
        <v>570</v>
      </c>
      <c r="G3" s="281" t="s">
        <v>503</v>
      </c>
      <c r="H3" s="281"/>
      <c r="I3" s="283" t="s">
        <v>273</v>
      </c>
      <c r="J3" s="308"/>
      <c r="K3" s="302" t="s">
        <v>31</v>
      </c>
      <c r="L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" s="283" t="s">
        <v>345</v>
      </c>
      <c r="N3" s="283">
        <v>50</v>
      </c>
      <c r="O3" s="285">
        <v>0.2</v>
      </c>
      <c r="P3" s="284">
        <f>IFERROR(_xlfn.LET(_xlpm.boxType, K3, _xlpm.tallos, N3, _xlpm.cost, O3, _xlpm.precio, Q3,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" s="295">
        <v>1.39</v>
      </c>
      <c r="R3" s="285" t="s">
        <v>283</v>
      </c>
      <c r="S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" s="285">
        <v>0.2</v>
      </c>
      <c r="U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0.3127147766323024</v>
      </c>
      <c r="V3" s="287">
        <v>0.75</v>
      </c>
    </row>
    <row r="4" spans="1:22" x14ac:dyDescent="0.25">
      <c r="A4" s="277" t="s">
        <v>54</v>
      </c>
      <c r="B4" s="278">
        <f>_xlfn.XLOOKUP(Catalogo[[#This Row],[Finca]], Fincas[Nombre], Fincas[ID])</f>
        <v>2</v>
      </c>
      <c r="C4" s="277" t="s">
        <v>646</v>
      </c>
      <c r="D4" s="277" t="s">
        <v>752</v>
      </c>
      <c r="E4" s="277"/>
      <c r="F4" s="277" t="s">
        <v>570</v>
      </c>
      <c r="G4" s="277" t="s">
        <v>503</v>
      </c>
      <c r="H4" s="277"/>
      <c r="I4" s="279" t="s">
        <v>273</v>
      </c>
      <c r="J4" s="309"/>
      <c r="K4" s="303" t="s">
        <v>35</v>
      </c>
      <c r="L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4" s="279" t="s">
        <v>347</v>
      </c>
      <c r="N4" s="279">
        <v>125</v>
      </c>
      <c r="O4" s="276">
        <v>0.2</v>
      </c>
      <c r="P4" s="280">
        <f>IFERROR(_xlfn.LET(_xlpm.boxType, K4, _xlpm.tallos, N4, _xlpm.cost, O4, _xlpm.precio, Q4,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0.37822997416020665</v>
      </c>
      <c r="Q4" s="296">
        <v>1.29</v>
      </c>
      <c r="R4" s="276" t="s">
        <v>284</v>
      </c>
      <c r="S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" s="276">
        <v>0.2</v>
      </c>
      <c r="U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0.43424691978878538</v>
      </c>
      <c r="V4" s="274">
        <v>0.82</v>
      </c>
    </row>
    <row r="5" spans="1:22" ht="15.75" thickBot="1" x14ac:dyDescent="0.3">
      <c r="A5" s="288" t="s">
        <v>54</v>
      </c>
      <c r="B5" s="289">
        <f>_xlfn.XLOOKUP(Catalogo[[#This Row],[Finca]], Fincas[Nombre], Fincas[ID])</f>
        <v>2</v>
      </c>
      <c r="C5" s="288" t="s">
        <v>646</v>
      </c>
      <c r="D5" s="288" t="s">
        <v>752</v>
      </c>
      <c r="E5" s="288"/>
      <c r="F5" s="288" t="s">
        <v>570</v>
      </c>
      <c r="G5" s="288" t="s">
        <v>503</v>
      </c>
      <c r="H5" s="288"/>
      <c r="I5" s="290" t="s">
        <v>273</v>
      </c>
      <c r="J5" s="310"/>
      <c r="K5" s="304" t="s">
        <v>93</v>
      </c>
      <c r="L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" s="290" t="s">
        <v>350</v>
      </c>
      <c r="N5" s="290">
        <f>12*25</f>
        <v>300</v>
      </c>
      <c r="O5" s="292">
        <v>0.2</v>
      </c>
      <c r="P5" s="291">
        <f>IFERROR(_xlfn.LET(_xlpm.boxType, K5, _xlpm.tallos, N5, _xlpm.cost, O5, _xlpm.precio, Q5,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0.36099439775910358</v>
      </c>
      <c r="Q5" s="297">
        <v>1.19</v>
      </c>
      <c r="R5" s="292" t="s">
        <v>285</v>
      </c>
      <c r="S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" s="292">
        <v>0.2</v>
      </c>
      <c r="U5" s="29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5" s="294"/>
    </row>
    <row r="6" spans="1:22" x14ac:dyDescent="0.25">
      <c r="A6" s="277" t="s">
        <v>54</v>
      </c>
      <c r="B6" s="278">
        <f>_xlfn.XLOOKUP(Catalogo[[#This Row],[Finca]], Fincas[Nombre], Fincas[ID])</f>
        <v>2</v>
      </c>
      <c r="C6" s="277" t="s">
        <v>646</v>
      </c>
      <c r="D6" s="277" t="s">
        <v>752</v>
      </c>
      <c r="E6" s="277"/>
      <c r="F6" s="277" t="s">
        <v>570</v>
      </c>
      <c r="G6" s="277" t="s">
        <v>503</v>
      </c>
      <c r="H6" s="277"/>
      <c r="I6" s="279" t="s">
        <v>274</v>
      </c>
      <c r="J6" s="309"/>
      <c r="K6" s="303" t="s">
        <v>31</v>
      </c>
      <c r="L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" s="279" t="s">
        <v>345</v>
      </c>
      <c r="N6" s="279">
        <v>50</v>
      </c>
      <c r="O6" s="276">
        <v>0.28000000000000003</v>
      </c>
      <c r="P6" s="280">
        <f>IFERROR(_xlfn.LET(_xlpm.boxType, K6, _xlpm.tallos, N6, _xlpm.cost, O6, _xlpm.precio, Q6,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0.20563549160671446</v>
      </c>
      <c r="Q6" s="296">
        <v>1.39</v>
      </c>
      <c r="R6" s="276" t="s">
        <v>283</v>
      </c>
      <c r="S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" s="276">
        <v>0.28000000000000003</v>
      </c>
      <c r="U6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7" spans="1:22" x14ac:dyDescent="0.25">
      <c r="A7" s="277" t="s">
        <v>54</v>
      </c>
      <c r="B7" s="278">
        <f>_xlfn.XLOOKUP(Catalogo[[#This Row],[Finca]], Fincas[Nombre], Fincas[ID])</f>
        <v>2</v>
      </c>
      <c r="C7" s="277" t="s">
        <v>646</v>
      </c>
      <c r="D7" s="277" t="s">
        <v>752</v>
      </c>
      <c r="E7" s="277"/>
      <c r="F7" s="277" t="s">
        <v>570</v>
      </c>
      <c r="G7" s="277" t="s">
        <v>503</v>
      </c>
      <c r="H7" s="277"/>
      <c r="I7" s="279" t="s">
        <v>274</v>
      </c>
      <c r="J7" s="309"/>
      <c r="K7" s="303" t="s">
        <v>35</v>
      </c>
      <c r="L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7" s="279" t="s">
        <v>347</v>
      </c>
      <c r="N7" s="279">
        <v>125</v>
      </c>
      <c r="O7" s="276">
        <v>0.28000000000000003</v>
      </c>
      <c r="P7" s="280">
        <f>IFERROR(_xlfn.LET(_xlpm.boxType, K7, _xlpm.tallos, N7, _xlpm.cost, O7, _xlpm.precio, Q7,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0.30555555555555547</v>
      </c>
      <c r="Q7" s="296">
        <v>1.29</v>
      </c>
      <c r="R7" s="276" t="s">
        <v>284</v>
      </c>
      <c r="S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" s="276">
        <v>0.28000000000000003</v>
      </c>
      <c r="U7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8" spans="1:22" ht="15.75" thickBot="1" x14ac:dyDescent="0.3">
      <c r="A8" s="277" t="s">
        <v>54</v>
      </c>
      <c r="B8" s="278">
        <f>_xlfn.XLOOKUP(Catalogo[[#This Row],[Finca]], Fincas[Nombre], Fincas[ID])</f>
        <v>2</v>
      </c>
      <c r="C8" s="277" t="s">
        <v>646</v>
      </c>
      <c r="D8" s="277" t="s">
        <v>752</v>
      </c>
      <c r="E8" s="277"/>
      <c r="F8" s="277" t="s">
        <v>570</v>
      </c>
      <c r="G8" s="277" t="s">
        <v>503</v>
      </c>
      <c r="H8" s="277"/>
      <c r="I8" s="279" t="s">
        <v>274</v>
      </c>
      <c r="J8" s="309"/>
      <c r="K8" s="303" t="s">
        <v>93</v>
      </c>
      <c r="L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" s="279" t="s">
        <v>350</v>
      </c>
      <c r="N8" s="279">
        <v>250</v>
      </c>
      <c r="O8" s="276">
        <v>0.28000000000000003</v>
      </c>
      <c r="P8" s="280">
        <f>IFERROR(_xlfn.LET(_xlpm.boxType, K8, _xlpm.tallos, N8, _xlpm.cost, O8, _xlpm.precio, Q8,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0.26518087855297157</v>
      </c>
      <c r="Q8" s="296">
        <v>1.29</v>
      </c>
      <c r="R8" s="276" t="s">
        <v>285</v>
      </c>
      <c r="S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" s="276">
        <v>0.28000000000000003</v>
      </c>
      <c r="U8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9" spans="1:22" x14ac:dyDescent="0.25">
      <c r="A9" s="281" t="s">
        <v>54</v>
      </c>
      <c r="B9" s="282">
        <f>_xlfn.XLOOKUP(Catalogo[[#This Row],[Finca]], Fincas[Nombre], Fincas[ID])</f>
        <v>2</v>
      </c>
      <c r="C9" s="281" t="s">
        <v>646</v>
      </c>
      <c r="D9" s="281" t="s">
        <v>752</v>
      </c>
      <c r="E9" s="281"/>
      <c r="F9" s="281" t="s">
        <v>570</v>
      </c>
      <c r="G9" s="281" t="s">
        <v>503</v>
      </c>
      <c r="H9" s="281"/>
      <c r="I9" s="283" t="s">
        <v>275</v>
      </c>
      <c r="J9" s="308"/>
      <c r="K9" s="302" t="s">
        <v>31</v>
      </c>
      <c r="L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" s="283" t="s">
        <v>345</v>
      </c>
      <c r="N9" s="283">
        <v>50</v>
      </c>
      <c r="O9" s="285">
        <v>0.35</v>
      </c>
      <c r="P9" s="284">
        <f>IFERROR(_xlfn.LET(_xlpm.boxType, K9, _xlpm.tallos, N9, _xlpm.cost, O9, _xlpm.precio, Q9,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0.20302013422818788</v>
      </c>
      <c r="Q9" s="295">
        <v>1.49</v>
      </c>
      <c r="R9" s="285" t="s">
        <v>283</v>
      </c>
      <c r="S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" s="285">
        <v>0.35</v>
      </c>
      <c r="U9" s="286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9" s="287"/>
    </row>
    <row r="10" spans="1:22" x14ac:dyDescent="0.25">
      <c r="A10" s="277" t="s">
        <v>54</v>
      </c>
      <c r="B10" s="278">
        <f>_xlfn.XLOOKUP(Catalogo[[#This Row],[Finca]], Fincas[Nombre], Fincas[ID])</f>
        <v>2</v>
      </c>
      <c r="C10" s="277" t="s">
        <v>646</v>
      </c>
      <c r="D10" s="277" t="s">
        <v>752</v>
      </c>
      <c r="E10" s="277"/>
      <c r="F10" s="277" t="s">
        <v>570</v>
      </c>
      <c r="G10" s="277" t="s">
        <v>503</v>
      </c>
      <c r="H10" s="277"/>
      <c r="I10" s="279" t="s">
        <v>275</v>
      </c>
      <c r="J10" s="309"/>
      <c r="K10" s="303" t="s">
        <v>35</v>
      </c>
      <c r="L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0" s="279" t="s">
        <v>347</v>
      </c>
      <c r="N10" s="279">
        <v>100</v>
      </c>
      <c r="O10" s="276">
        <v>0.35</v>
      </c>
      <c r="P10" s="280">
        <f>IFERROR(_xlfn.LET(_xlpm.boxType, K10, _xlpm.tallos, N10, _xlpm.cost, O10, _xlpm.precio, Q10,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0.25195749440715876</v>
      </c>
      <c r="Q10" s="296">
        <v>1.49</v>
      </c>
      <c r="R10" s="276" t="s">
        <v>284</v>
      </c>
      <c r="S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" s="276">
        <v>0.35</v>
      </c>
      <c r="U10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1" spans="1:22" x14ac:dyDescent="0.25">
      <c r="A11" s="277" t="s">
        <v>54</v>
      </c>
      <c r="B11" s="278">
        <f>_xlfn.XLOOKUP(Catalogo[[#This Row],[Finca]], Fincas[Nombre], Fincas[ID])</f>
        <v>2</v>
      </c>
      <c r="C11" s="277" t="s">
        <v>646</v>
      </c>
      <c r="D11" s="277" t="s">
        <v>752</v>
      </c>
      <c r="E11" s="277"/>
      <c r="F11" s="277" t="s">
        <v>570</v>
      </c>
      <c r="G11" s="277" t="s">
        <v>503</v>
      </c>
      <c r="H11" s="277"/>
      <c r="I11" s="279" t="s">
        <v>275</v>
      </c>
      <c r="J11" s="309"/>
      <c r="K11" s="303" t="s">
        <v>35</v>
      </c>
      <c r="L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1" s="279" t="s">
        <v>348</v>
      </c>
      <c r="N11" s="279">
        <v>125</v>
      </c>
      <c r="O11" s="276">
        <v>0.35</v>
      </c>
      <c r="P11" s="280">
        <f>IFERROR(_xlfn.LET(_xlpm.boxType, K11, _xlpm.tallos, N11, _xlpm.cost, O11, _xlpm.precio, Q11,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0.2955635491606714</v>
      </c>
      <c r="Q11" s="296">
        <v>1.39</v>
      </c>
      <c r="R11" s="276" t="s">
        <v>284</v>
      </c>
      <c r="S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1" s="276">
        <v>0.35</v>
      </c>
      <c r="U11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2" spans="1:22" ht="15.75" thickBot="1" x14ac:dyDescent="0.3">
      <c r="A12" s="288" t="s">
        <v>54</v>
      </c>
      <c r="B12" s="289">
        <f>_xlfn.XLOOKUP(Catalogo[[#This Row],[Finca]], Fincas[Nombre], Fincas[ID])</f>
        <v>2</v>
      </c>
      <c r="C12" s="288" t="s">
        <v>646</v>
      </c>
      <c r="D12" s="288" t="s">
        <v>752</v>
      </c>
      <c r="E12" s="288"/>
      <c r="F12" s="288" t="s">
        <v>570</v>
      </c>
      <c r="G12" s="288" t="s">
        <v>503</v>
      </c>
      <c r="H12" s="288"/>
      <c r="I12" s="290" t="s">
        <v>275</v>
      </c>
      <c r="J12" s="310"/>
      <c r="K12" s="304" t="s">
        <v>93</v>
      </c>
      <c r="L1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" s="290" t="s">
        <v>350</v>
      </c>
      <c r="N12" s="290">
        <f>25*10</f>
        <v>250</v>
      </c>
      <c r="O12" s="292">
        <v>0.35</v>
      </c>
      <c r="P12" s="291">
        <f>IFERROR(_xlfn.LET(_xlpm.boxType, K12, _xlpm.tallos, N12, _xlpm.cost, O12, _xlpm.precio, Q12,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0.25809352517985606</v>
      </c>
      <c r="Q12" s="297">
        <v>1.39</v>
      </c>
      <c r="R12" s="292" t="s">
        <v>285</v>
      </c>
      <c r="S1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" s="292">
        <v>0.35</v>
      </c>
      <c r="U12" s="29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12" s="294"/>
    </row>
    <row r="13" spans="1:22" x14ac:dyDescent="0.25">
      <c r="A13" s="277" t="s">
        <v>54</v>
      </c>
      <c r="B13" s="278">
        <f>_xlfn.XLOOKUP(Catalogo[[#This Row],[Finca]], Fincas[Nombre], Fincas[ID])</f>
        <v>2</v>
      </c>
      <c r="C13" s="277" t="s">
        <v>646</v>
      </c>
      <c r="D13" s="277" t="s">
        <v>752</v>
      </c>
      <c r="E13" s="277"/>
      <c r="F13" s="277" t="s">
        <v>570</v>
      </c>
      <c r="G13" s="277" t="s">
        <v>503</v>
      </c>
      <c r="H13" s="277"/>
      <c r="I13" s="279" t="s">
        <v>276</v>
      </c>
      <c r="J13" s="309"/>
      <c r="K13" s="303" t="s">
        <v>35</v>
      </c>
      <c r="L1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3" s="279" t="s">
        <v>348</v>
      </c>
      <c r="N13" s="279">
        <v>100</v>
      </c>
      <c r="O13" s="276">
        <v>0.4</v>
      </c>
      <c r="P13" s="280">
        <f>IFERROR(_xlfn.LET(_xlpm.boxType, K13, _xlpm.tallos, N13, _xlpm.cost, O13, _xlpm.precio, Q13,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0.34241154562383602</v>
      </c>
      <c r="Q13" s="296">
        <v>1.79</v>
      </c>
      <c r="R13" s="276" t="s">
        <v>284</v>
      </c>
      <c r="S1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3" s="276">
        <v>0.4</v>
      </c>
      <c r="U13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4" spans="1:22" x14ac:dyDescent="0.25">
      <c r="A14" s="277" t="s">
        <v>54</v>
      </c>
      <c r="B14" s="278">
        <f>_xlfn.XLOOKUP(Catalogo[[#This Row],[Finca]], Fincas[Nombre], Fincas[ID])</f>
        <v>2</v>
      </c>
      <c r="C14" s="277" t="s">
        <v>646</v>
      </c>
      <c r="D14" s="277" t="s">
        <v>752</v>
      </c>
      <c r="E14" s="277"/>
      <c r="F14" s="277" t="s">
        <v>570</v>
      </c>
      <c r="G14" s="277" t="s">
        <v>503</v>
      </c>
      <c r="H14" s="277"/>
      <c r="I14" s="279" t="s">
        <v>276</v>
      </c>
      <c r="J14" s="309"/>
      <c r="K14" s="303" t="s">
        <v>35</v>
      </c>
      <c r="L1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4" s="279" t="s">
        <v>349</v>
      </c>
      <c r="N14" s="279">
        <v>125</v>
      </c>
      <c r="O14" s="276">
        <v>0.4</v>
      </c>
      <c r="P14" s="280">
        <f>IFERROR(_xlfn.LET(_xlpm.boxType, K14, _xlpm.tallos, N14, _xlpm.cost, O14, _xlpm.precio, Q14,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0.41806331471135938</v>
      </c>
      <c r="Q14" s="296">
        <v>1.79</v>
      </c>
      <c r="R14" s="276" t="s">
        <v>284</v>
      </c>
      <c r="S1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4" s="276">
        <v>0.4</v>
      </c>
      <c r="U14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5" spans="1:22" ht="15.75" thickBot="1" x14ac:dyDescent="0.3">
      <c r="A15" s="277" t="s">
        <v>54</v>
      </c>
      <c r="B15" s="278">
        <f>_xlfn.XLOOKUP(Catalogo[[#This Row],[Finca]], Fincas[Nombre], Fincas[ID])</f>
        <v>2</v>
      </c>
      <c r="C15" s="277" t="s">
        <v>646</v>
      </c>
      <c r="D15" s="277" t="s">
        <v>752</v>
      </c>
      <c r="E15" s="277"/>
      <c r="F15" s="277" t="s">
        <v>570</v>
      </c>
      <c r="G15" s="277" t="s">
        <v>503</v>
      </c>
      <c r="H15" s="277"/>
      <c r="I15" s="279" t="s">
        <v>276</v>
      </c>
      <c r="J15" s="309"/>
      <c r="K15" s="303" t="s">
        <v>93</v>
      </c>
      <c r="L1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" s="279" t="s">
        <v>350</v>
      </c>
      <c r="N15" s="279">
        <v>250</v>
      </c>
      <c r="O15" s="276">
        <v>0.4</v>
      </c>
      <c r="P15" s="280">
        <f>IFERROR(_xlfn.LET(_xlpm.boxType, K15, _xlpm.tallos, N15, _xlpm.cost, O15, _xlpm.precio, Q15,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0.38896648044692728</v>
      </c>
      <c r="Q15" s="296">
        <v>1.79</v>
      </c>
      <c r="R15" s="276" t="s">
        <v>285</v>
      </c>
      <c r="S1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" s="276">
        <v>0.4</v>
      </c>
      <c r="U15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6" spans="1:22" x14ac:dyDescent="0.25">
      <c r="A16" s="281" t="s">
        <v>54</v>
      </c>
      <c r="B16" s="282">
        <f>_xlfn.XLOOKUP(Catalogo[[#This Row],[Finca]], Fincas[Nombre], Fincas[ID])</f>
        <v>2</v>
      </c>
      <c r="C16" s="281" t="s">
        <v>646</v>
      </c>
      <c r="D16" s="281" t="s">
        <v>752</v>
      </c>
      <c r="E16" s="281"/>
      <c r="F16" s="281" t="s">
        <v>570</v>
      </c>
      <c r="G16" s="281" t="s">
        <v>503</v>
      </c>
      <c r="H16" s="281"/>
      <c r="I16" s="283" t="s">
        <v>277</v>
      </c>
      <c r="J16" s="308"/>
      <c r="K16" s="302" t="s">
        <v>35</v>
      </c>
      <c r="L1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6" s="283" t="s">
        <v>348</v>
      </c>
      <c r="N16" s="283">
        <v>100</v>
      </c>
      <c r="O16" s="285">
        <v>0.45</v>
      </c>
      <c r="P16" s="284">
        <f>IFERROR(_xlfn.LET(_xlpm.boxType, K16, _xlpm.tallos, N16, _xlpm.cost, O16, _xlpm.precio, Q16,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0.34413580246913578</v>
      </c>
      <c r="Q16" s="295">
        <v>1.89</v>
      </c>
      <c r="R16" s="285" t="s">
        <v>284</v>
      </c>
      <c r="S1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6" s="285">
        <v>0.45</v>
      </c>
      <c r="U16" s="286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16" s="287"/>
    </row>
    <row r="17" spans="1:22" x14ac:dyDescent="0.25">
      <c r="A17" s="277" t="s">
        <v>54</v>
      </c>
      <c r="B17" s="278">
        <f>_xlfn.XLOOKUP(Catalogo[[#This Row],[Finca]], Fincas[Nombre], Fincas[ID])</f>
        <v>2</v>
      </c>
      <c r="C17" s="277" t="s">
        <v>646</v>
      </c>
      <c r="D17" s="277" t="s">
        <v>752</v>
      </c>
      <c r="E17" s="277"/>
      <c r="F17" s="277" t="s">
        <v>570</v>
      </c>
      <c r="G17" s="277" t="s">
        <v>503</v>
      </c>
      <c r="H17" s="277"/>
      <c r="I17" s="279" t="s">
        <v>277</v>
      </c>
      <c r="J17" s="309"/>
      <c r="K17" s="303" t="s">
        <v>35</v>
      </c>
      <c r="L1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7" s="279" t="s">
        <v>349</v>
      </c>
      <c r="N17" s="279">
        <v>125</v>
      </c>
      <c r="O17" s="276">
        <v>0.45</v>
      </c>
      <c r="P17" s="280">
        <f>IFERROR(_xlfn.LET(_xlpm.boxType, K17, _xlpm.tallos, N17, _xlpm.cost, O17, _xlpm.precio, Q17,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0.415784832451499</v>
      </c>
      <c r="Q17" s="296">
        <v>1.89</v>
      </c>
      <c r="R17" s="276" t="s">
        <v>284</v>
      </c>
      <c r="S1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7" s="276">
        <v>0.45</v>
      </c>
      <c r="U17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8" spans="1:22" ht="15.75" thickBot="1" x14ac:dyDescent="0.3">
      <c r="A18" s="288" t="s">
        <v>54</v>
      </c>
      <c r="B18" s="289">
        <f>_xlfn.XLOOKUP(Catalogo[[#This Row],[Finca]], Fincas[Nombre], Fincas[ID])</f>
        <v>2</v>
      </c>
      <c r="C18" s="288" t="s">
        <v>646</v>
      </c>
      <c r="D18" s="288" t="s">
        <v>752</v>
      </c>
      <c r="E18" s="288"/>
      <c r="F18" s="288" t="s">
        <v>570</v>
      </c>
      <c r="G18" s="288" t="s">
        <v>503</v>
      </c>
      <c r="H18" s="288"/>
      <c r="I18" s="290" t="s">
        <v>277</v>
      </c>
      <c r="J18" s="310"/>
      <c r="K18" s="304" t="s">
        <v>93</v>
      </c>
      <c r="L1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" s="290" t="s">
        <v>350</v>
      </c>
      <c r="N18" s="290">
        <v>250</v>
      </c>
      <c r="O18" s="292">
        <v>0.45</v>
      </c>
      <c r="P18" s="291">
        <f>IFERROR(_xlfn.LET(_xlpm.boxType, K18, _xlpm.tallos, N18, _xlpm.cost, O18, _xlpm.precio, Q18,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0.38822751322751325</v>
      </c>
      <c r="Q18" s="297">
        <v>1.89</v>
      </c>
      <c r="R18" s="292" t="s">
        <v>285</v>
      </c>
      <c r="S1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" s="292">
        <v>0.45</v>
      </c>
      <c r="U18" s="29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18" s="294"/>
    </row>
    <row r="19" spans="1:22" x14ac:dyDescent="0.25">
      <c r="A19" s="277" t="s">
        <v>54</v>
      </c>
      <c r="B19" s="278">
        <f>_xlfn.XLOOKUP(Catalogo[[#This Row],[Finca]], Fincas[Nombre], Fincas[ID])</f>
        <v>2</v>
      </c>
      <c r="C19" s="277" t="s">
        <v>646</v>
      </c>
      <c r="D19" s="277" t="s">
        <v>752</v>
      </c>
      <c r="E19" s="277"/>
      <c r="F19" s="277" t="s">
        <v>570</v>
      </c>
      <c r="G19" s="277" t="s">
        <v>503</v>
      </c>
      <c r="H19" s="277"/>
      <c r="I19" s="279" t="s">
        <v>278</v>
      </c>
      <c r="J19" s="309"/>
      <c r="K19" s="303" t="s">
        <v>35</v>
      </c>
      <c r="L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19" s="279" t="s">
        <v>349</v>
      </c>
      <c r="N19" s="279">
        <v>100</v>
      </c>
      <c r="O19" s="276">
        <v>0.5</v>
      </c>
      <c r="P19" s="280">
        <f>IFERROR(_xlfn.LET(_xlpm.boxType, K19, _xlpm.tallos, N19, _xlpm.cost, O19, _xlpm.precio, Q19,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0.41019786910197864</v>
      </c>
      <c r="Q19" s="296">
        <v>2.19</v>
      </c>
      <c r="R19" s="276" t="s">
        <v>284</v>
      </c>
      <c r="S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19" s="276">
        <v>0.5</v>
      </c>
      <c r="U19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20" spans="1:22" x14ac:dyDescent="0.25">
      <c r="A20" s="277" t="s">
        <v>54</v>
      </c>
      <c r="B20" s="278">
        <f>_xlfn.XLOOKUP(Catalogo[[#This Row],[Finca]], Fincas[Nombre], Fincas[ID])</f>
        <v>2</v>
      </c>
      <c r="C20" s="277" t="s">
        <v>646</v>
      </c>
      <c r="D20" s="277" t="s">
        <v>752</v>
      </c>
      <c r="E20" s="277"/>
      <c r="F20" s="277" t="s">
        <v>570</v>
      </c>
      <c r="G20" s="277" t="s">
        <v>503</v>
      </c>
      <c r="H20" s="277"/>
      <c r="I20" s="279" t="s">
        <v>278</v>
      </c>
      <c r="J20" s="309"/>
      <c r="K20" s="303" t="s">
        <v>93</v>
      </c>
      <c r="L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n</v>
      </c>
      <c r="M20" s="279" t="s">
        <v>351</v>
      </c>
      <c r="N20" s="279">
        <f>8*25</f>
        <v>200</v>
      </c>
      <c r="O20" s="276">
        <v>0.5</v>
      </c>
      <c r="P20" s="280">
        <f>IFERROR(_xlfn.LET(_xlpm.boxType, K20, _xlpm.tallos, N20, _xlpm.cost, O20, _xlpm.precio, Q20,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0.37690258751902583</v>
      </c>
      <c r="Q20" s="296">
        <v>2.19</v>
      </c>
      <c r="R20" s="276" t="s">
        <v>285</v>
      </c>
      <c r="S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n</v>
      </c>
      <c r="T20" s="276">
        <v>0.5</v>
      </c>
      <c r="U20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21" spans="1:22" ht="15.75" thickBot="1" x14ac:dyDescent="0.3">
      <c r="A21" s="288" t="s">
        <v>54</v>
      </c>
      <c r="B21" s="289">
        <f>_xlfn.XLOOKUP(Catalogo[[#This Row],[Finca]], Fincas[Nombre], Fincas[ID])</f>
        <v>2</v>
      </c>
      <c r="C21" s="288" t="s">
        <v>646</v>
      </c>
      <c r="D21" s="288" t="s">
        <v>752</v>
      </c>
      <c r="E21" s="288"/>
      <c r="F21" s="288" t="s">
        <v>570</v>
      </c>
      <c r="G21" s="288" t="s">
        <v>503</v>
      </c>
      <c r="H21" s="288"/>
      <c r="I21" s="290" t="s">
        <v>278</v>
      </c>
      <c r="J21" s="310"/>
      <c r="K21" s="289" t="s">
        <v>93</v>
      </c>
      <c r="L2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" s="290" t="s">
        <v>350</v>
      </c>
      <c r="N21" s="290">
        <v>250</v>
      </c>
      <c r="O21" s="292">
        <v>0.5</v>
      </c>
      <c r="P21" s="291">
        <f>IFERROR(_xlfn.LET(_xlpm.boxType, K21, _xlpm.tallos, N21, _xlpm.cost, O21, _xlpm.precio, Q21,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0.4482496194824962</v>
      </c>
      <c r="Q21" s="297">
        <v>2.19</v>
      </c>
      <c r="R21" s="292" t="s">
        <v>285</v>
      </c>
      <c r="S2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" s="292">
        <v>0.5</v>
      </c>
      <c r="U21" s="293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  <c r="V21" s="294"/>
    </row>
    <row r="22" spans="1:22" x14ac:dyDescent="0.25">
      <c r="A22" s="277"/>
      <c r="B22" s="278">
        <f>_xlfn.XLOOKUP(Catalogo[[#This Row],[Finca]], Fincas[Nombre], Fincas[ID])</f>
        <v>0</v>
      </c>
      <c r="C22" s="277"/>
      <c r="D22" s="277"/>
      <c r="E22" s="277"/>
      <c r="F22" s="277"/>
      <c r="G22" s="277"/>
      <c r="H22" s="277"/>
      <c r="I22" s="311"/>
      <c r="J22" s="309"/>
      <c r="K22" s="278"/>
      <c r="L2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2" s="279"/>
      <c r="N22" s="279"/>
      <c r="O22" s="276"/>
      <c r="P22" s="280" t="str">
        <f>IFERROR(_xlfn.LET(_xlpm.boxType, K22, _xlpm.tallos, N22, _xlpm.cost, O22, _xlpm.precio, Q22,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2" s="296"/>
      <c r="R22" s="276"/>
      <c r="S2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2" s="276"/>
      <c r="U22" s="69"/>
    </row>
    <row r="23" spans="1:22" ht="15.75" thickBot="1" x14ac:dyDescent="0.3">
      <c r="A23" s="277"/>
      <c r="B23" s="278">
        <f>_xlfn.XLOOKUP(Catalogo[[#This Row],[Finca]], Fincas[Nombre], Fincas[ID])</f>
        <v>0</v>
      </c>
      <c r="C23" s="277"/>
      <c r="D23" s="277"/>
      <c r="E23" s="277"/>
      <c r="F23" s="277"/>
      <c r="G23" s="277"/>
      <c r="H23" s="277"/>
      <c r="I23" s="311"/>
      <c r="J23" s="309"/>
      <c r="K23" s="278"/>
      <c r="L2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3" s="279"/>
      <c r="N23" s="279"/>
      <c r="O23" s="276"/>
      <c r="P23" s="280" t="str">
        <f>IFERROR(_xlfn.LET(_xlpm.boxType, K23, _xlpm.tallos, N23, _xlpm.cost, O23, _xlpm.precio, Q23,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3" s="296"/>
      <c r="R23" s="276"/>
      <c r="S2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3" s="276"/>
      <c r="U23" s="69"/>
    </row>
    <row r="24" spans="1:22" x14ac:dyDescent="0.25">
      <c r="A24" s="281" t="s">
        <v>57</v>
      </c>
      <c r="B24" s="282">
        <f>_xlfn.XLOOKUP(Catalogo[[#This Row],[Finca]], Fincas[Nombre], Fincas[ID])</f>
        <v>62</v>
      </c>
      <c r="C24" s="281" t="s">
        <v>647</v>
      </c>
      <c r="D24" s="281" t="s">
        <v>503</v>
      </c>
      <c r="E24" s="281"/>
      <c r="F24" s="281" t="s">
        <v>503</v>
      </c>
      <c r="G24" s="281"/>
      <c r="H24" s="281"/>
      <c r="I24" s="316" t="s">
        <v>276</v>
      </c>
      <c r="J24" s="308"/>
      <c r="K24" s="282" t="s">
        <v>31</v>
      </c>
      <c r="L2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" s="283" t="s">
        <v>340</v>
      </c>
      <c r="N24" s="283">
        <v>50</v>
      </c>
      <c r="O24" s="285">
        <v>0.26</v>
      </c>
      <c r="P24" s="284">
        <f>IFERROR(_xlfn.LET(_xlpm.boxType, K24, _xlpm.tallos, N24, _xlpm.cost, O24, _xlpm.precio, Q24,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24" s="295">
        <v>1.39</v>
      </c>
      <c r="R24" s="285" t="s">
        <v>283</v>
      </c>
      <c r="S2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" s="285">
        <v>0.26</v>
      </c>
      <c r="U2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" s="287">
        <v>0.77</v>
      </c>
    </row>
    <row r="25" spans="1:22" ht="15.75" thickBot="1" x14ac:dyDescent="0.3">
      <c r="A25" s="288" t="s">
        <v>57</v>
      </c>
      <c r="B25" s="289">
        <f>_xlfn.XLOOKUP(Catalogo[[#This Row],[Finca]], Fincas[Nombre], Fincas[ID])</f>
        <v>62</v>
      </c>
      <c r="C25" s="288" t="s">
        <v>647</v>
      </c>
      <c r="D25" s="288" t="s">
        <v>503</v>
      </c>
      <c r="E25" s="288"/>
      <c r="F25" s="288" t="s">
        <v>503</v>
      </c>
      <c r="G25" s="288"/>
      <c r="H25" s="288"/>
      <c r="I25" s="317" t="s">
        <v>276</v>
      </c>
      <c r="J25" s="310"/>
      <c r="K25" s="289" t="s">
        <v>35</v>
      </c>
      <c r="L2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" s="290" t="s">
        <v>341</v>
      </c>
      <c r="N25" s="290">
        <v>100</v>
      </c>
      <c r="O25" s="292">
        <v>0.26</v>
      </c>
      <c r="P25" s="291">
        <f>IFERROR(_xlfn.LET(_xlpm.boxType, K25, _xlpm.tallos, N25, _xlpm.cost, O25, _xlpm.precio, Q25,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25" s="297">
        <v>1.39</v>
      </c>
      <c r="R25" s="292" t="s">
        <v>284</v>
      </c>
      <c r="S2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" s="292">
        <v>0.26</v>
      </c>
      <c r="U2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25" s="294">
        <v>0.77</v>
      </c>
    </row>
    <row r="26" spans="1:22" x14ac:dyDescent="0.25">
      <c r="A26" s="277" t="s">
        <v>57</v>
      </c>
      <c r="B26" s="278">
        <f>_xlfn.XLOOKUP(Catalogo[[#This Row],[Finca]], Fincas[Nombre], Fincas[ID])</f>
        <v>62</v>
      </c>
      <c r="C26" s="277" t="s">
        <v>647</v>
      </c>
      <c r="D26" s="277" t="s">
        <v>612</v>
      </c>
      <c r="E26" s="277"/>
      <c r="F26" s="277" t="s">
        <v>612</v>
      </c>
      <c r="G26" s="277"/>
      <c r="H26" s="277"/>
      <c r="I26" s="311" t="s">
        <v>276</v>
      </c>
      <c r="J26" s="309"/>
      <c r="K26" s="278" t="s">
        <v>31</v>
      </c>
      <c r="L2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" s="279" t="s">
        <v>340</v>
      </c>
      <c r="N26" s="279">
        <v>50</v>
      </c>
      <c r="O26" s="276">
        <v>0.26</v>
      </c>
      <c r="P26" s="280">
        <f>IFERROR(_xlfn.LET(_xlpm.boxType, K26, _xlpm.tallos, N26, _xlpm.cost, O26, _xlpm.precio, Q26,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26" s="296">
        <v>1.39</v>
      </c>
      <c r="R26" s="276" t="s">
        <v>283</v>
      </c>
      <c r="S2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" s="276">
        <v>0.26</v>
      </c>
      <c r="U2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6" s="274">
        <v>0.77</v>
      </c>
    </row>
    <row r="27" spans="1:22" ht="15.75" thickBot="1" x14ac:dyDescent="0.3">
      <c r="A27" s="277" t="s">
        <v>57</v>
      </c>
      <c r="B27" s="278">
        <f>_xlfn.XLOOKUP(Catalogo[[#This Row],[Finca]], Fincas[Nombre], Fincas[ID])</f>
        <v>62</v>
      </c>
      <c r="C27" s="277" t="s">
        <v>647</v>
      </c>
      <c r="D27" s="277" t="s">
        <v>612</v>
      </c>
      <c r="E27" s="277"/>
      <c r="F27" s="277" t="s">
        <v>612</v>
      </c>
      <c r="G27" s="277"/>
      <c r="H27" s="277"/>
      <c r="I27" s="311" t="s">
        <v>276</v>
      </c>
      <c r="J27" s="309"/>
      <c r="K27" s="278" t="s">
        <v>35</v>
      </c>
      <c r="L2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" s="279" t="s">
        <v>341</v>
      </c>
      <c r="N27" s="279">
        <v>100</v>
      </c>
      <c r="O27" s="276">
        <v>0.26</v>
      </c>
      <c r="P27" s="280">
        <f>IFERROR(_xlfn.LET(_xlpm.boxType, K27, _xlpm.tallos, N27, _xlpm.cost, O27, _xlpm.precio, Q27,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27" s="296">
        <v>1.39</v>
      </c>
      <c r="R27" s="276" t="s">
        <v>284</v>
      </c>
      <c r="S2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" s="276">
        <v>0.26</v>
      </c>
      <c r="U2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27" s="274">
        <v>0.77</v>
      </c>
    </row>
    <row r="28" spans="1:22" x14ac:dyDescent="0.25">
      <c r="A28" s="281" t="s">
        <v>57</v>
      </c>
      <c r="B28" s="282">
        <f>_xlfn.XLOOKUP(Catalogo[[#This Row],[Finca]], Fincas[Nombre], Fincas[ID])</f>
        <v>62</v>
      </c>
      <c r="C28" s="281" t="s">
        <v>647</v>
      </c>
      <c r="D28" s="281" t="s">
        <v>638</v>
      </c>
      <c r="E28" s="281"/>
      <c r="F28" s="281" t="s">
        <v>638</v>
      </c>
      <c r="G28" s="281"/>
      <c r="H28" s="281"/>
      <c r="I28" s="316" t="s">
        <v>276</v>
      </c>
      <c r="J28" s="308"/>
      <c r="K28" s="282" t="s">
        <v>31</v>
      </c>
      <c r="L2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" s="283" t="s">
        <v>340</v>
      </c>
      <c r="N28" s="283">
        <v>50</v>
      </c>
      <c r="O28" s="285">
        <v>0.26</v>
      </c>
      <c r="P28" s="284">
        <f>IFERROR(_xlfn.LET(_xlpm.boxType, K28, _xlpm.tallos, N28, _xlpm.cost, O28, _xlpm.precio, Q28,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28" s="295">
        <v>1.39</v>
      </c>
      <c r="R28" s="285" t="s">
        <v>283</v>
      </c>
      <c r="S2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" s="285">
        <v>0.26</v>
      </c>
      <c r="U2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8" s="287">
        <v>0.77</v>
      </c>
    </row>
    <row r="29" spans="1:22" ht="15.75" thickBot="1" x14ac:dyDescent="0.3">
      <c r="A29" s="288" t="s">
        <v>57</v>
      </c>
      <c r="B29" s="289">
        <f>_xlfn.XLOOKUP(Catalogo[[#This Row],[Finca]], Fincas[Nombre], Fincas[ID])</f>
        <v>62</v>
      </c>
      <c r="C29" s="288" t="s">
        <v>647</v>
      </c>
      <c r="D29" s="288" t="s">
        <v>638</v>
      </c>
      <c r="E29" s="288"/>
      <c r="F29" s="288" t="s">
        <v>638</v>
      </c>
      <c r="G29" s="288"/>
      <c r="H29" s="288"/>
      <c r="I29" s="317" t="s">
        <v>276</v>
      </c>
      <c r="J29" s="310"/>
      <c r="K29" s="289" t="s">
        <v>35</v>
      </c>
      <c r="L2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" s="290" t="s">
        <v>341</v>
      </c>
      <c r="N29" s="290">
        <v>100</v>
      </c>
      <c r="O29" s="292">
        <v>0.26</v>
      </c>
      <c r="P29" s="291">
        <f>IFERROR(_xlfn.LET(_xlpm.boxType, K29, _xlpm.tallos, N29, _xlpm.cost, O29, _xlpm.precio, Q29,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29" s="297">
        <v>1.39</v>
      </c>
      <c r="R29" s="292" t="s">
        <v>284</v>
      </c>
      <c r="S2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" s="292">
        <v>0.26</v>
      </c>
      <c r="U2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29" s="294">
        <v>0.77</v>
      </c>
    </row>
    <row r="30" spans="1:22" x14ac:dyDescent="0.25">
      <c r="A30" s="277" t="s">
        <v>57</v>
      </c>
      <c r="B30" s="278">
        <f>_xlfn.XLOOKUP(Catalogo[[#This Row],[Finca]], Fincas[Nombre], Fincas[ID])</f>
        <v>62</v>
      </c>
      <c r="C30" s="277" t="s">
        <v>647</v>
      </c>
      <c r="D30" s="277" t="s">
        <v>526</v>
      </c>
      <c r="E30" s="277"/>
      <c r="F30" s="277" t="s">
        <v>526</v>
      </c>
      <c r="G30" s="277"/>
      <c r="H30" s="277"/>
      <c r="I30" s="311" t="s">
        <v>276</v>
      </c>
      <c r="J30" s="309"/>
      <c r="K30" s="278" t="s">
        <v>31</v>
      </c>
      <c r="L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" s="279" t="s">
        <v>340</v>
      </c>
      <c r="N30" s="279">
        <v>50</v>
      </c>
      <c r="O30" s="276">
        <v>0.26</v>
      </c>
      <c r="P30" s="280">
        <f>IFERROR(_xlfn.LET(_xlpm.boxType, K30, _xlpm.tallos, N30, _xlpm.cost, O30, _xlpm.precio, Q30,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0" s="296">
        <v>1.39</v>
      </c>
      <c r="R30" s="276" t="s">
        <v>283</v>
      </c>
      <c r="S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" s="276">
        <v>0.26</v>
      </c>
      <c r="U3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0" s="274">
        <v>0.77</v>
      </c>
    </row>
    <row r="31" spans="1:22" ht="15.75" thickBot="1" x14ac:dyDescent="0.3">
      <c r="A31" s="277" t="s">
        <v>57</v>
      </c>
      <c r="B31" s="278">
        <f>_xlfn.XLOOKUP(Catalogo[[#This Row],[Finca]], Fincas[Nombre], Fincas[ID])</f>
        <v>62</v>
      </c>
      <c r="C31" s="277" t="s">
        <v>647</v>
      </c>
      <c r="D31" s="277" t="s">
        <v>526</v>
      </c>
      <c r="E31" s="277"/>
      <c r="F31" s="277" t="s">
        <v>526</v>
      </c>
      <c r="G31" s="277"/>
      <c r="H31" s="277"/>
      <c r="I31" s="311" t="s">
        <v>276</v>
      </c>
      <c r="J31" s="309"/>
      <c r="K31" s="278" t="s">
        <v>35</v>
      </c>
      <c r="L3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" s="279" t="s">
        <v>341</v>
      </c>
      <c r="N31" s="279">
        <v>100</v>
      </c>
      <c r="O31" s="276">
        <v>0.26</v>
      </c>
      <c r="P31" s="280">
        <f>IFERROR(_xlfn.LET(_xlpm.boxType, K31, _xlpm.tallos, N31, _xlpm.cost, O31, _xlpm.precio, Q31,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1" s="296">
        <v>1.39</v>
      </c>
      <c r="R31" s="276" t="s">
        <v>284</v>
      </c>
      <c r="S3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" s="276">
        <v>0.26</v>
      </c>
      <c r="U3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1" s="274">
        <v>0.77</v>
      </c>
    </row>
    <row r="32" spans="1:22" x14ac:dyDescent="0.25">
      <c r="A32" s="281" t="s">
        <v>57</v>
      </c>
      <c r="B32" s="282">
        <f>_xlfn.XLOOKUP(Catalogo[[#This Row],[Finca]], Fincas[Nombre], Fincas[ID])</f>
        <v>62</v>
      </c>
      <c r="C32" s="281" t="s">
        <v>647</v>
      </c>
      <c r="D32" s="281" t="s">
        <v>583</v>
      </c>
      <c r="E32" s="281"/>
      <c r="F32" s="281" t="s">
        <v>583</v>
      </c>
      <c r="G32" s="281"/>
      <c r="H32" s="281"/>
      <c r="I32" s="316" t="s">
        <v>276</v>
      </c>
      <c r="J32" s="308"/>
      <c r="K32" s="282" t="s">
        <v>31</v>
      </c>
      <c r="L3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" s="283" t="s">
        <v>340</v>
      </c>
      <c r="N32" s="283">
        <v>50</v>
      </c>
      <c r="O32" s="285">
        <v>0.26</v>
      </c>
      <c r="P32" s="284">
        <f>IFERROR(_xlfn.LET(_xlpm.boxType, K32, _xlpm.tallos, N32, _xlpm.cost, O32, _xlpm.precio, Q32,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2" s="295">
        <v>1.39</v>
      </c>
      <c r="R32" s="285" t="s">
        <v>283</v>
      </c>
      <c r="S3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" s="285">
        <v>0.26</v>
      </c>
      <c r="U3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2" s="287">
        <v>0.77</v>
      </c>
    </row>
    <row r="33" spans="1:22" ht="15.75" thickBot="1" x14ac:dyDescent="0.3">
      <c r="A33" s="288" t="s">
        <v>57</v>
      </c>
      <c r="B33" s="289">
        <f>_xlfn.XLOOKUP(Catalogo[[#This Row],[Finca]], Fincas[Nombre], Fincas[ID])</f>
        <v>62</v>
      </c>
      <c r="C33" s="288" t="s">
        <v>647</v>
      </c>
      <c r="D33" s="288" t="s">
        <v>583</v>
      </c>
      <c r="E33" s="288"/>
      <c r="F33" s="288" t="s">
        <v>583</v>
      </c>
      <c r="G33" s="288"/>
      <c r="H33" s="288"/>
      <c r="I33" s="317" t="s">
        <v>276</v>
      </c>
      <c r="J33" s="310"/>
      <c r="K33" s="289" t="s">
        <v>35</v>
      </c>
      <c r="L3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" s="290" t="s">
        <v>341</v>
      </c>
      <c r="N33" s="290">
        <v>100</v>
      </c>
      <c r="O33" s="292">
        <v>0.26</v>
      </c>
      <c r="P33" s="291">
        <f>IFERROR(_xlfn.LET(_xlpm.boxType, K33, _xlpm.tallos, N33, _xlpm.cost, O33, _xlpm.precio, Q33,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3" s="297">
        <v>1.39</v>
      </c>
      <c r="R33" s="292" t="s">
        <v>284</v>
      </c>
      <c r="S3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" s="292">
        <v>0.26</v>
      </c>
      <c r="U3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3" s="294">
        <v>0.77</v>
      </c>
    </row>
    <row r="34" spans="1:22" x14ac:dyDescent="0.25">
      <c r="A34" s="277" t="s">
        <v>57</v>
      </c>
      <c r="B34" s="278">
        <f>_xlfn.XLOOKUP(Catalogo[[#This Row],[Finca]], Fincas[Nombre], Fincas[ID])</f>
        <v>62</v>
      </c>
      <c r="C34" s="277" t="s">
        <v>647</v>
      </c>
      <c r="D34" s="277" t="s">
        <v>600</v>
      </c>
      <c r="E34" s="277"/>
      <c r="F34" s="277" t="s">
        <v>600</v>
      </c>
      <c r="G34" s="277"/>
      <c r="H34" s="277"/>
      <c r="I34" s="311" t="s">
        <v>276</v>
      </c>
      <c r="J34" s="309"/>
      <c r="K34" s="278" t="s">
        <v>31</v>
      </c>
      <c r="L3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" s="279" t="s">
        <v>340</v>
      </c>
      <c r="N34" s="279">
        <v>50</v>
      </c>
      <c r="O34" s="276">
        <v>0.26</v>
      </c>
      <c r="P34" s="280">
        <f>IFERROR(_xlfn.LET(_xlpm.boxType, K34, _xlpm.tallos, N34, _xlpm.cost, O34, _xlpm.precio, Q34,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4" s="296">
        <v>1.39</v>
      </c>
      <c r="R34" s="276" t="s">
        <v>283</v>
      </c>
      <c r="S3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" s="276">
        <v>0.26</v>
      </c>
      <c r="U3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4" s="274">
        <v>0.77</v>
      </c>
    </row>
    <row r="35" spans="1:22" ht="15.75" thickBot="1" x14ac:dyDescent="0.3">
      <c r="A35" s="277" t="s">
        <v>57</v>
      </c>
      <c r="B35" s="278">
        <f>_xlfn.XLOOKUP(Catalogo[[#This Row],[Finca]], Fincas[Nombre], Fincas[ID])</f>
        <v>62</v>
      </c>
      <c r="C35" s="277" t="s">
        <v>647</v>
      </c>
      <c r="D35" s="277" t="s">
        <v>600</v>
      </c>
      <c r="E35" s="277"/>
      <c r="F35" s="277" t="s">
        <v>600</v>
      </c>
      <c r="G35" s="277"/>
      <c r="H35" s="277"/>
      <c r="I35" s="311" t="s">
        <v>276</v>
      </c>
      <c r="J35" s="309"/>
      <c r="K35" s="278" t="s">
        <v>35</v>
      </c>
      <c r="L3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" s="279" t="s">
        <v>341</v>
      </c>
      <c r="N35" s="279">
        <v>100</v>
      </c>
      <c r="O35" s="276">
        <v>0.26</v>
      </c>
      <c r="P35" s="280">
        <f>IFERROR(_xlfn.LET(_xlpm.boxType, K35, _xlpm.tallos, N35, _xlpm.cost, O35, _xlpm.precio, Q35,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5" s="296">
        <v>1.39</v>
      </c>
      <c r="R35" s="276" t="s">
        <v>284</v>
      </c>
      <c r="S3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" s="276">
        <v>0.26</v>
      </c>
      <c r="U3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5" s="274">
        <v>0.77</v>
      </c>
    </row>
    <row r="36" spans="1:22" x14ac:dyDescent="0.25">
      <c r="A36" s="281" t="s">
        <v>57</v>
      </c>
      <c r="B36" s="282">
        <f>_xlfn.XLOOKUP(Catalogo[[#This Row],[Finca]], Fincas[Nombre], Fincas[ID])</f>
        <v>62</v>
      </c>
      <c r="C36" s="281" t="s">
        <v>647</v>
      </c>
      <c r="D36" s="281" t="s">
        <v>541</v>
      </c>
      <c r="E36" s="281"/>
      <c r="F36" s="281" t="s">
        <v>541</v>
      </c>
      <c r="G36" s="281"/>
      <c r="H36" s="281"/>
      <c r="I36" s="316" t="s">
        <v>276</v>
      </c>
      <c r="J36" s="308"/>
      <c r="K36" s="282" t="s">
        <v>31</v>
      </c>
      <c r="L3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" s="283" t="s">
        <v>340</v>
      </c>
      <c r="N36" s="283">
        <v>50</v>
      </c>
      <c r="O36" s="285">
        <v>0.26</v>
      </c>
      <c r="P36" s="284">
        <f>IFERROR(_xlfn.LET(_xlpm.boxType, K36, _xlpm.tallos, N36, _xlpm.cost, O36, _xlpm.precio, Q36,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6" s="295">
        <v>1.39</v>
      </c>
      <c r="R36" s="285" t="s">
        <v>283</v>
      </c>
      <c r="S3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" s="285">
        <v>0.26</v>
      </c>
      <c r="U3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6" s="287">
        <v>0.77</v>
      </c>
    </row>
    <row r="37" spans="1:22" ht="15.75" thickBot="1" x14ac:dyDescent="0.3">
      <c r="A37" s="288" t="s">
        <v>57</v>
      </c>
      <c r="B37" s="289">
        <f>_xlfn.XLOOKUP(Catalogo[[#This Row],[Finca]], Fincas[Nombre], Fincas[ID])</f>
        <v>62</v>
      </c>
      <c r="C37" s="288" t="s">
        <v>647</v>
      </c>
      <c r="D37" s="288" t="s">
        <v>541</v>
      </c>
      <c r="E37" s="288"/>
      <c r="F37" s="288" t="s">
        <v>541</v>
      </c>
      <c r="G37" s="288"/>
      <c r="H37" s="288"/>
      <c r="I37" s="317" t="s">
        <v>276</v>
      </c>
      <c r="J37" s="310"/>
      <c r="K37" s="289" t="s">
        <v>35</v>
      </c>
      <c r="L3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" s="290" t="s">
        <v>341</v>
      </c>
      <c r="N37" s="290">
        <v>100</v>
      </c>
      <c r="O37" s="292">
        <v>0.26</v>
      </c>
      <c r="P37" s="291">
        <f>IFERROR(_xlfn.LET(_xlpm.boxType, K37, _xlpm.tallos, N37, _xlpm.cost, O37, _xlpm.precio, Q37,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7" s="297">
        <v>1.39</v>
      </c>
      <c r="R37" s="292" t="s">
        <v>284</v>
      </c>
      <c r="S3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" s="292">
        <v>0.26</v>
      </c>
      <c r="U3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7" s="294">
        <v>0.77</v>
      </c>
    </row>
    <row r="38" spans="1:22" x14ac:dyDescent="0.25">
      <c r="A38" s="277" t="s">
        <v>57</v>
      </c>
      <c r="B38" s="278">
        <f>_xlfn.XLOOKUP(Catalogo[[#This Row],[Finca]], Fincas[Nombre], Fincas[ID])</f>
        <v>62</v>
      </c>
      <c r="C38" s="277" t="s">
        <v>647</v>
      </c>
      <c r="D38" s="277" t="s">
        <v>534</v>
      </c>
      <c r="E38" s="277"/>
      <c r="F38" s="277" t="s">
        <v>534</v>
      </c>
      <c r="G38" s="277"/>
      <c r="H38" s="277"/>
      <c r="I38" s="311" t="s">
        <v>276</v>
      </c>
      <c r="J38" s="309"/>
      <c r="K38" s="278" t="s">
        <v>31</v>
      </c>
      <c r="L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" s="279" t="s">
        <v>340</v>
      </c>
      <c r="N38" s="279">
        <v>50</v>
      </c>
      <c r="O38" s="276">
        <v>0.26</v>
      </c>
      <c r="P38" s="280">
        <f>IFERROR(_xlfn.LET(_xlpm.boxType, K38, _xlpm.tallos, N38, _xlpm.cost, O38, _xlpm.precio, Q38,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38" s="296">
        <v>1.39</v>
      </c>
      <c r="R38" s="276" t="s">
        <v>283</v>
      </c>
      <c r="S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" s="276">
        <v>0.26</v>
      </c>
      <c r="U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38" s="274">
        <v>0.77</v>
      </c>
    </row>
    <row r="39" spans="1:22" ht="15.75" thickBot="1" x14ac:dyDescent="0.3">
      <c r="A39" s="277" t="s">
        <v>57</v>
      </c>
      <c r="B39" s="278">
        <f>_xlfn.XLOOKUP(Catalogo[[#This Row],[Finca]], Fincas[Nombre], Fincas[ID])</f>
        <v>62</v>
      </c>
      <c r="C39" s="277" t="s">
        <v>647</v>
      </c>
      <c r="D39" s="277" t="s">
        <v>534</v>
      </c>
      <c r="E39" s="277"/>
      <c r="F39" s="277" t="s">
        <v>534</v>
      </c>
      <c r="G39" s="277"/>
      <c r="H39" s="277"/>
      <c r="I39" s="311" t="s">
        <v>276</v>
      </c>
      <c r="J39" s="309"/>
      <c r="K39" s="278" t="s">
        <v>35</v>
      </c>
      <c r="L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" s="279" t="s">
        <v>341</v>
      </c>
      <c r="N39" s="279">
        <v>100</v>
      </c>
      <c r="O39" s="276">
        <v>0.26</v>
      </c>
      <c r="P39" s="280">
        <f>IFERROR(_xlfn.LET(_xlpm.boxType, K39, _xlpm.tallos, N39, _xlpm.cost, O39, _xlpm.precio, Q39,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39" s="296">
        <v>1.39</v>
      </c>
      <c r="R39" s="276" t="s">
        <v>284</v>
      </c>
      <c r="S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" s="276">
        <v>0.26</v>
      </c>
      <c r="U3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39" s="274">
        <v>0.77</v>
      </c>
    </row>
    <row r="40" spans="1:22" x14ac:dyDescent="0.25">
      <c r="A40" s="281" t="s">
        <v>57</v>
      </c>
      <c r="B40" s="282">
        <f>_xlfn.XLOOKUP(Catalogo[[#This Row],[Finca]], Fincas[Nombre], Fincas[ID])</f>
        <v>62</v>
      </c>
      <c r="C40" s="281" t="s">
        <v>647</v>
      </c>
      <c r="D40" s="281" t="s">
        <v>614</v>
      </c>
      <c r="E40" s="281"/>
      <c r="F40" s="281" t="s">
        <v>614</v>
      </c>
      <c r="G40" s="281"/>
      <c r="H40" s="281"/>
      <c r="I40" s="316" t="s">
        <v>276</v>
      </c>
      <c r="J40" s="308"/>
      <c r="K40" s="282" t="s">
        <v>31</v>
      </c>
      <c r="L4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" s="283" t="s">
        <v>340</v>
      </c>
      <c r="N40" s="283">
        <v>50</v>
      </c>
      <c r="O40" s="285">
        <v>0.26</v>
      </c>
      <c r="P40" s="284">
        <f>IFERROR(_xlfn.LET(_xlpm.boxType, K40, _xlpm.tallos, N40, _xlpm.cost, O40, _xlpm.precio, Q40,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0" s="295">
        <v>1.39</v>
      </c>
      <c r="R40" s="285" t="s">
        <v>283</v>
      </c>
      <c r="S4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" s="285">
        <v>0.26</v>
      </c>
      <c r="U4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0" s="287">
        <v>0.77</v>
      </c>
    </row>
    <row r="41" spans="1:22" ht="15.75" thickBot="1" x14ac:dyDescent="0.3">
      <c r="A41" s="288" t="s">
        <v>57</v>
      </c>
      <c r="B41" s="289">
        <f>_xlfn.XLOOKUP(Catalogo[[#This Row],[Finca]], Fincas[Nombre], Fincas[ID])</f>
        <v>62</v>
      </c>
      <c r="C41" s="288" t="s">
        <v>647</v>
      </c>
      <c r="D41" s="288" t="s">
        <v>614</v>
      </c>
      <c r="E41" s="288"/>
      <c r="F41" s="288" t="s">
        <v>614</v>
      </c>
      <c r="G41" s="288"/>
      <c r="H41" s="288"/>
      <c r="I41" s="317" t="s">
        <v>276</v>
      </c>
      <c r="J41" s="310"/>
      <c r="K41" s="289" t="s">
        <v>35</v>
      </c>
      <c r="L4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" s="290" t="s">
        <v>341</v>
      </c>
      <c r="N41" s="290">
        <v>100</v>
      </c>
      <c r="O41" s="292">
        <v>0.26</v>
      </c>
      <c r="P41" s="291">
        <f>IFERROR(_xlfn.LET(_xlpm.boxType, K41, _xlpm.tallos, N41, _xlpm.cost, O41, _xlpm.precio, Q41,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1" s="297">
        <v>1.39</v>
      </c>
      <c r="R41" s="292" t="s">
        <v>284</v>
      </c>
      <c r="S4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" s="292">
        <v>0.26</v>
      </c>
      <c r="U4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1" s="294">
        <v>0.77</v>
      </c>
    </row>
    <row r="42" spans="1:22" x14ac:dyDescent="0.25">
      <c r="A42" s="277" t="s">
        <v>57</v>
      </c>
      <c r="B42" s="278">
        <f>_xlfn.XLOOKUP(Catalogo[[#This Row],[Finca]], Fincas[Nombre], Fincas[ID])</f>
        <v>62</v>
      </c>
      <c r="C42" s="277" t="s">
        <v>647</v>
      </c>
      <c r="D42" s="277" t="s">
        <v>636</v>
      </c>
      <c r="E42" s="277"/>
      <c r="F42" s="277" t="s">
        <v>636</v>
      </c>
      <c r="G42" s="277"/>
      <c r="H42" s="277"/>
      <c r="I42" s="311" t="s">
        <v>276</v>
      </c>
      <c r="J42" s="309"/>
      <c r="K42" s="278" t="s">
        <v>31</v>
      </c>
      <c r="L4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" s="279" t="s">
        <v>340</v>
      </c>
      <c r="N42" s="279">
        <v>50</v>
      </c>
      <c r="O42" s="276">
        <v>0.26</v>
      </c>
      <c r="P42" s="280">
        <f>IFERROR(_xlfn.LET(_xlpm.boxType, K42, _xlpm.tallos, N42, _xlpm.cost, O42, _xlpm.precio, Q42,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2" s="296">
        <v>1.39</v>
      </c>
      <c r="R42" s="276" t="s">
        <v>283</v>
      </c>
      <c r="S4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" s="276">
        <v>0.26</v>
      </c>
      <c r="U4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2" s="274">
        <v>0.77</v>
      </c>
    </row>
    <row r="43" spans="1:22" ht="15.75" thickBot="1" x14ac:dyDescent="0.3">
      <c r="A43" s="277" t="s">
        <v>57</v>
      </c>
      <c r="B43" s="278">
        <f>_xlfn.XLOOKUP(Catalogo[[#This Row],[Finca]], Fincas[Nombre], Fincas[ID])</f>
        <v>62</v>
      </c>
      <c r="C43" s="277" t="s">
        <v>647</v>
      </c>
      <c r="D43" s="277" t="s">
        <v>636</v>
      </c>
      <c r="E43" s="277"/>
      <c r="F43" s="277" t="s">
        <v>636</v>
      </c>
      <c r="G43" s="277"/>
      <c r="H43" s="277"/>
      <c r="I43" s="311" t="s">
        <v>276</v>
      </c>
      <c r="J43" s="309"/>
      <c r="K43" s="278" t="s">
        <v>35</v>
      </c>
      <c r="L4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" s="279" t="s">
        <v>341</v>
      </c>
      <c r="N43" s="279">
        <v>100</v>
      </c>
      <c r="O43" s="276">
        <v>0.26</v>
      </c>
      <c r="P43" s="280">
        <f>IFERROR(_xlfn.LET(_xlpm.boxType, K43, _xlpm.tallos, N43, _xlpm.cost, O43, _xlpm.precio, Q43,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3" s="296">
        <v>1.39</v>
      </c>
      <c r="R43" s="276" t="s">
        <v>284</v>
      </c>
      <c r="S4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" s="276">
        <v>0.26</v>
      </c>
      <c r="U4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3" s="274">
        <v>0.77</v>
      </c>
    </row>
    <row r="44" spans="1:22" x14ac:dyDescent="0.25">
      <c r="A44" s="281" t="s">
        <v>57</v>
      </c>
      <c r="B44" s="282">
        <f>_xlfn.XLOOKUP(Catalogo[[#This Row],[Finca]], Fincas[Nombre], Fincas[ID])</f>
        <v>62</v>
      </c>
      <c r="C44" s="281" t="s">
        <v>647</v>
      </c>
      <c r="D44" s="281" t="s">
        <v>753</v>
      </c>
      <c r="E44" s="281"/>
      <c r="F44" s="281" t="s">
        <v>612</v>
      </c>
      <c r="G44" s="281"/>
      <c r="H44" s="281"/>
      <c r="I44" s="316" t="s">
        <v>276</v>
      </c>
      <c r="J44" s="308"/>
      <c r="K44" s="282" t="s">
        <v>31</v>
      </c>
      <c r="L4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" s="283" t="s">
        <v>340</v>
      </c>
      <c r="N44" s="283">
        <v>50</v>
      </c>
      <c r="O44" s="285">
        <v>0.26</v>
      </c>
      <c r="P44" s="284">
        <f>IFERROR(_xlfn.LET(_xlpm.boxType, K44, _xlpm.tallos, N44, _xlpm.cost, O44, _xlpm.precio, Q44,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4" s="295">
        <v>1.39</v>
      </c>
      <c r="R44" s="285" t="s">
        <v>283</v>
      </c>
      <c r="S4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" s="285">
        <v>0.26</v>
      </c>
      <c r="U4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4" s="287">
        <v>0.77</v>
      </c>
    </row>
    <row r="45" spans="1:22" ht="15.75" thickBot="1" x14ac:dyDescent="0.3">
      <c r="A45" s="288" t="s">
        <v>57</v>
      </c>
      <c r="B45" s="289">
        <f>_xlfn.XLOOKUP(Catalogo[[#This Row],[Finca]], Fincas[Nombre], Fincas[ID])</f>
        <v>62</v>
      </c>
      <c r="C45" s="288" t="s">
        <v>647</v>
      </c>
      <c r="D45" s="288" t="s">
        <v>753</v>
      </c>
      <c r="E45" s="288"/>
      <c r="F45" s="288" t="s">
        <v>612</v>
      </c>
      <c r="G45" s="288"/>
      <c r="H45" s="288"/>
      <c r="I45" s="317" t="s">
        <v>276</v>
      </c>
      <c r="J45" s="310"/>
      <c r="K45" s="289" t="s">
        <v>35</v>
      </c>
      <c r="L4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" s="290" t="s">
        <v>341</v>
      </c>
      <c r="N45" s="290">
        <v>100</v>
      </c>
      <c r="O45" s="292">
        <v>0.26</v>
      </c>
      <c r="P45" s="291">
        <f>IFERROR(_xlfn.LET(_xlpm.boxType, K45, _xlpm.tallos, N45, _xlpm.cost, O45, _xlpm.precio, Q45,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5" s="297">
        <v>1.39</v>
      </c>
      <c r="R45" s="292" t="s">
        <v>284</v>
      </c>
      <c r="S4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" s="292">
        <v>0.26</v>
      </c>
      <c r="U4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5" s="294">
        <v>0.77</v>
      </c>
    </row>
    <row r="46" spans="1:22" x14ac:dyDescent="0.25">
      <c r="A46" s="277" t="s">
        <v>57</v>
      </c>
      <c r="B46" s="278">
        <f>_xlfn.XLOOKUP(Catalogo[[#This Row],[Finca]], Fincas[Nombre], Fincas[ID])</f>
        <v>62</v>
      </c>
      <c r="C46" s="277" t="s">
        <v>647</v>
      </c>
      <c r="D46" s="277" t="s">
        <v>608</v>
      </c>
      <c r="E46" s="277"/>
      <c r="F46" s="277" t="s">
        <v>608</v>
      </c>
      <c r="G46" s="277"/>
      <c r="H46" s="277"/>
      <c r="I46" s="311" t="s">
        <v>276</v>
      </c>
      <c r="J46" s="309"/>
      <c r="K46" s="278" t="s">
        <v>31</v>
      </c>
      <c r="L4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" s="279" t="s">
        <v>340</v>
      </c>
      <c r="N46" s="279">
        <v>50</v>
      </c>
      <c r="O46" s="276">
        <v>0.26</v>
      </c>
      <c r="P46" s="280">
        <f>IFERROR(_xlfn.LET(_xlpm.boxType, K46, _xlpm.tallos, N46, _xlpm.cost, O46, _xlpm.precio, Q46,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0.22062350119904062</v>
      </c>
      <c r="Q46" s="296">
        <v>1.39</v>
      </c>
      <c r="R46" s="276" t="s">
        <v>283</v>
      </c>
      <c r="S4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" s="276">
        <v>0.26</v>
      </c>
      <c r="U4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46" s="274">
        <v>0.77</v>
      </c>
    </row>
    <row r="47" spans="1:22" ht="15.75" thickBot="1" x14ac:dyDescent="0.3">
      <c r="A47" s="277" t="s">
        <v>57</v>
      </c>
      <c r="B47" s="278">
        <f>_xlfn.XLOOKUP(Catalogo[[#This Row],[Finca]], Fincas[Nombre], Fincas[ID])</f>
        <v>62</v>
      </c>
      <c r="C47" s="277" t="s">
        <v>647</v>
      </c>
      <c r="D47" s="277" t="s">
        <v>608</v>
      </c>
      <c r="E47" s="277"/>
      <c r="F47" s="277" t="s">
        <v>608</v>
      </c>
      <c r="G47" s="277"/>
      <c r="H47" s="277"/>
      <c r="I47" s="311" t="s">
        <v>276</v>
      </c>
      <c r="J47" s="309"/>
      <c r="K47" s="278" t="s">
        <v>35</v>
      </c>
      <c r="L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" s="279" t="s">
        <v>341</v>
      </c>
      <c r="N47" s="279">
        <v>100</v>
      </c>
      <c r="O47" s="276">
        <v>0.26</v>
      </c>
      <c r="P47" s="280">
        <f>IFERROR(_xlfn.LET(_xlpm.boxType, K47, _xlpm.tallos, N47, _xlpm.cost, O47, _xlpm.precio, Q47,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0.27308153477218222</v>
      </c>
      <c r="Q47" s="296">
        <v>1.39</v>
      </c>
      <c r="R47" s="276" t="s">
        <v>284</v>
      </c>
      <c r="S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" s="276">
        <v>0.26</v>
      </c>
      <c r="U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7" s="274">
        <v>0.77</v>
      </c>
    </row>
    <row r="48" spans="1:22" x14ac:dyDescent="0.25">
      <c r="A48" s="281" t="s">
        <v>57</v>
      </c>
      <c r="B48" s="282">
        <f>_xlfn.XLOOKUP(Catalogo[[#This Row],[Finca]], Fincas[Nombre], Fincas[ID])</f>
        <v>62</v>
      </c>
      <c r="C48" s="281" t="s">
        <v>551</v>
      </c>
      <c r="D48" s="281" t="s">
        <v>754</v>
      </c>
      <c r="E48" s="281"/>
      <c r="F48" s="281" t="s">
        <v>594</v>
      </c>
      <c r="G48" s="281"/>
      <c r="H48" s="281"/>
      <c r="I48" s="316" t="s">
        <v>277</v>
      </c>
      <c r="J48" s="308"/>
      <c r="K48" s="282" t="s">
        <v>31</v>
      </c>
      <c r="L4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" s="283" t="s">
        <v>340</v>
      </c>
      <c r="N48" s="283">
        <v>50</v>
      </c>
      <c r="O48" s="285">
        <v>0.28000000000000003</v>
      </c>
      <c r="P48" s="284">
        <f>IFERROR(_xlfn.LET(_xlpm.boxType, K48, _xlpm.tallos, N48, _xlpm.cost, O48, _xlpm.precio, Q48,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0.23850574712643668</v>
      </c>
      <c r="Q48" s="295">
        <v>1.45</v>
      </c>
      <c r="R48" s="285" t="s">
        <v>283</v>
      </c>
      <c r="S4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" s="285">
        <v>0.28000000000000003</v>
      </c>
      <c r="U4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0.23684562859820579</v>
      </c>
      <c r="V48" s="287">
        <v>0.77</v>
      </c>
    </row>
    <row r="49" spans="1:22" ht="15.75" thickBot="1" x14ac:dyDescent="0.3">
      <c r="A49" s="288" t="s">
        <v>57</v>
      </c>
      <c r="B49" s="289">
        <f>_xlfn.XLOOKUP(Catalogo[[#This Row],[Finca]], Fincas[Nombre], Fincas[ID])</f>
        <v>62</v>
      </c>
      <c r="C49" s="288" t="s">
        <v>551</v>
      </c>
      <c r="D49" s="288" t="s">
        <v>754</v>
      </c>
      <c r="E49" s="288"/>
      <c r="F49" s="288" t="s">
        <v>594</v>
      </c>
      <c r="G49" s="288"/>
      <c r="H49" s="288"/>
      <c r="I49" s="317" t="s">
        <v>277</v>
      </c>
      <c r="J49" s="310"/>
      <c r="K49" s="289" t="s">
        <v>35</v>
      </c>
      <c r="L4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" s="290" t="s">
        <v>341</v>
      </c>
      <c r="N49" s="290">
        <v>100</v>
      </c>
      <c r="O49" s="292">
        <v>0.28000000000000003</v>
      </c>
      <c r="P49" s="291">
        <f>IFERROR(_xlfn.LET(_xlpm.boxType, K49, _xlpm.tallos, N49, _xlpm.cost, O49, _xlpm.precio, Q49,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0.2887931034482758</v>
      </c>
      <c r="Q49" s="297">
        <v>1.45</v>
      </c>
      <c r="R49" s="292" t="s">
        <v>284</v>
      </c>
      <c r="S4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" s="292">
        <v>0.28000000000000003</v>
      </c>
      <c r="U4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0.21006828223323071</v>
      </c>
      <c r="V49" s="294">
        <v>0.77</v>
      </c>
    </row>
    <row r="50" spans="1:22" x14ac:dyDescent="0.25">
      <c r="A50" s="277"/>
      <c r="B50" s="278">
        <f>_xlfn.XLOOKUP(Catalogo[[#This Row],[Finca]], Fincas[Nombre], Fincas[ID])</f>
        <v>0</v>
      </c>
      <c r="C50" s="277"/>
      <c r="D50" s="277"/>
      <c r="E50" s="277"/>
      <c r="F50" s="277"/>
      <c r="G50" s="277"/>
      <c r="H50" s="277"/>
      <c r="I50" s="311"/>
      <c r="J50" s="309"/>
      <c r="K50" s="278"/>
      <c r="L5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50" s="279"/>
      <c r="N50" s="279"/>
      <c r="O50" s="276"/>
      <c r="P50" s="280" t="str">
        <f>IFERROR(_xlfn.LET(_xlpm.boxType, K50, _xlpm.tallos, N50, _xlpm.cost, O50, _xlpm.precio, Q50,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50" s="296"/>
      <c r="R50" s="276"/>
      <c r="S5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0" s="276"/>
      <c r="U50" s="69"/>
    </row>
    <row r="51" spans="1:22" ht="15.75" thickBot="1" x14ac:dyDescent="0.3">
      <c r="A51" s="277"/>
      <c r="B51" s="278">
        <f>_xlfn.XLOOKUP(Catalogo[[#This Row],[Finca]], Fincas[Nombre], Fincas[ID])</f>
        <v>0</v>
      </c>
      <c r="C51" s="277"/>
      <c r="D51" s="277"/>
      <c r="E51" s="277"/>
      <c r="F51" s="277"/>
      <c r="G51" s="277"/>
      <c r="H51" s="277"/>
      <c r="I51" s="311"/>
      <c r="J51" s="309"/>
      <c r="K51" s="278"/>
      <c r="L5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51" s="279"/>
      <c r="N51" s="279"/>
      <c r="O51" s="276"/>
      <c r="P51" s="280" t="str">
        <f>IFERROR(_xlfn.LET(_xlpm.boxType, K51, _xlpm.tallos, N51, _xlpm.cost, O51, _xlpm.precio, Q51,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51" s="296"/>
      <c r="R51" s="276"/>
      <c r="S5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1" s="276"/>
      <c r="U51" s="69"/>
    </row>
    <row r="52" spans="1:22" ht="15.75" thickTop="1" x14ac:dyDescent="0.25">
      <c r="A52" s="318" t="s">
        <v>68</v>
      </c>
      <c r="B52" s="319">
        <f>_xlfn.XLOOKUP(Catalogo[[#This Row],[Finca]], Fincas[Nombre], Fincas[ID])</f>
        <v>98</v>
      </c>
      <c r="C52" s="318" t="s">
        <v>606</v>
      </c>
      <c r="D52" s="318" t="s">
        <v>755</v>
      </c>
      <c r="E52" s="318"/>
      <c r="F52" s="318" t="s">
        <v>503</v>
      </c>
      <c r="G52" s="318"/>
      <c r="H52" s="318"/>
      <c r="I52" s="320" t="s">
        <v>276</v>
      </c>
      <c r="J52" s="321"/>
      <c r="K52" s="319" t="s">
        <v>69</v>
      </c>
      <c r="L52" s="32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" s="322" t="s">
        <v>342</v>
      </c>
      <c r="N52" s="322">
        <v>140</v>
      </c>
      <c r="O52" s="323">
        <v>0.2</v>
      </c>
      <c r="P52" s="324">
        <f>IFERROR(_xlfn.LET(_xlpm.boxType, K52, _xlpm.tallos, N52, _xlpm.cost, O52, _xlpm.precio, Q52,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2" s="325">
        <v>1.19</v>
      </c>
      <c r="R52" s="276"/>
      <c r="S5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2" s="276"/>
      <c r="U52" s="69"/>
    </row>
    <row r="53" spans="1:22" x14ac:dyDescent="0.25">
      <c r="A53" s="277" t="s">
        <v>68</v>
      </c>
      <c r="B53" s="278">
        <f>_xlfn.XLOOKUP(Catalogo[[#This Row],[Finca]], Fincas[Nombre], Fincas[ID])</f>
        <v>98</v>
      </c>
      <c r="C53" s="277" t="s">
        <v>606</v>
      </c>
      <c r="D53" s="277" t="s">
        <v>756</v>
      </c>
      <c r="E53" s="277"/>
      <c r="F53" s="277" t="s">
        <v>526</v>
      </c>
      <c r="G53" s="277"/>
      <c r="H53" s="277"/>
      <c r="I53" s="311" t="s">
        <v>276</v>
      </c>
      <c r="J53" s="309"/>
      <c r="K53" s="278" t="s">
        <v>69</v>
      </c>
      <c r="L5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" s="279" t="s">
        <v>342</v>
      </c>
      <c r="N53" s="279">
        <v>140</v>
      </c>
      <c r="O53" s="276">
        <v>0.2</v>
      </c>
      <c r="P53" s="280">
        <f>IFERROR(_xlfn.LET(_xlpm.boxType, K53, _xlpm.tallos, N53, _xlpm.cost, O53, _xlpm.precio, Q53,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3" s="296">
        <v>1.19</v>
      </c>
      <c r="R53" s="276"/>
      <c r="S5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3" s="276"/>
      <c r="U53" s="69"/>
    </row>
    <row r="54" spans="1:22" x14ac:dyDescent="0.25">
      <c r="A54" s="277" t="s">
        <v>68</v>
      </c>
      <c r="B54" s="278">
        <f>_xlfn.XLOOKUP(Catalogo[[#This Row],[Finca]], Fincas[Nombre], Fincas[ID])</f>
        <v>98</v>
      </c>
      <c r="C54" s="277" t="s">
        <v>606</v>
      </c>
      <c r="D54" s="277" t="s">
        <v>757</v>
      </c>
      <c r="E54" s="277"/>
      <c r="F54" s="277" t="s">
        <v>526</v>
      </c>
      <c r="G54" s="277"/>
      <c r="H54" s="277"/>
      <c r="I54" s="311" t="s">
        <v>276</v>
      </c>
      <c r="J54" s="309"/>
      <c r="K54" s="278" t="s">
        <v>69</v>
      </c>
      <c r="L5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" s="279" t="s">
        <v>342</v>
      </c>
      <c r="N54" s="279">
        <v>140</v>
      </c>
      <c r="O54" s="276">
        <v>0.2</v>
      </c>
      <c r="P54" s="280">
        <f>IFERROR(_xlfn.LET(_xlpm.boxType, K54, _xlpm.tallos, N54, _xlpm.cost, O54, _xlpm.precio, Q54,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4" s="296">
        <v>1.19</v>
      </c>
      <c r="R54" s="276"/>
      <c r="S5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4" s="276"/>
      <c r="U54" s="69"/>
    </row>
    <row r="55" spans="1:22" x14ac:dyDescent="0.25">
      <c r="A55" s="277" t="s">
        <v>68</v>
      </c>
      <c r="B55" s="278">
        <f>_xlfn.XLOOKUP(Catalogo[[#This Row],[Finca]], Fincas[Nombre], Fincas[ID])</f>
        <v>98</v>
      </c>
      <c r="C55" s="277" t="s">
        <v>606</v>
      </c>
      <c r="D55" s="277" t="s">
        <v>758</v>
      </c>
      <c r="E55" s="277"/>
      <c r="F55" s="277" t="s">
        <v>576</v>
      </c>
      <c r="G55" s="277"/>
      <c r="H55" s="277"/>
      <c r="I55" s="311" t="s">
        <v>276</v>
      </c>
      <c r="J55" s="309"/>
      <c r="K55" s="278" t="s">
        <v>69</v>
      </c>
      <c r="L5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" s="279" t="s">
        <v>342</v>
      </c>
      <c r="N55" s="279">
        <v>140</v>
      </c>
      <c r="O55" s="276">
        <v>0.2</v>
      </c>
      <c r="P55" s="280">
        <f>IFERROR(_xlfn.LET(_xlpm.boxType, K55, _xlpm.tallos, N55, _xlpm.cost, O55, _xlpm.precio, Q55,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5" s="296">
        <v>1.19</v>
      </c>
      <c r="R55" s="276"/>
      <c r="S5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5" s="276"/>
      <c r="U55" s="69"/>
    </row>
    <row r="56" spans="1:22" x14ac:dyDescent="0.25">
      <c r="A56" s="277" t="s">
        <v>68</v>
      </c>
      <c r="B56" s="278">
        <f>_xlfn.XLOOKUP(Catalogo[[#This Row],[Finca]], Fincas[Nombre], Fincas[ID])</f>
        <v>98</v>
      </c>
      <c r="C56" s="277" t="s">
        <v>606</v>
      </c>
      <c r="D56" s="277" t="s">
        <v>759</v>
      </c>
      <c r="E56" s="277"/>
      <c r="F56" s="277" t="s">
        <v>608</v>
      </c>
      <c r="G56" s="277"/>
      <c r="H56" s="277"/>
      <c r="I56" s="311" t="s">
        <v>276</v>
      </c>
      <c r="J56" s="309"/>
      <c r="K56" s="278" t="s">
        <v>69</v>
      </c>
      <c r="L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" s="279" t="s">
        <v>342</v>
      </c>
      <c r="N56" s="279">
        <v>140</v>
      </c>
      <c r="O56" s="276">
        <v>0.2</v>
      </c>
      <c r="P56" s="280">
        <f>IFERROR(_xlfn.LET(_xlpm.boxType, K56, _xlpm.tallos, N56, _xlpm.cost, O56, _xlpm.precio, Q56,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6" s="296">
        <v>1.19</v>
      </c>
      <c r="R56" s="276"/>
      <c r="S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6" s="276"/>
      <c r="U56" s="69"/>
    </row>
    <row r="57" spans="1:22" x14ac:dyDescent="0.25">
      <c r="A57" s="277" t="s">
        <v>68</v>
      </c>
      <c r="B57" s="278">
        <f>_xlfn.XLOOKUP(Catalogo[[#This Row],[Finca]], Fincas[Nombre], Fincas[ID])</f>
        <v>98</v>
      </c>
      <c r="C57" s="277" t="s">
        <v>606</v>
      </c>
      <c r="D57" s="277" t="s">
        <v>760</v>
      </c>
      <c r="E57" s="277"/>
      <c r="F57" s="277" t="s">
        <v>526</v>
      </c>
      <c r="G57" s="277" t="s">
        <v>503</v>
      </c>
      <c r="H57" s="277"/>
      <c r="I57" s="311" t="s">
        <v>276</v>
      </c>
      <c r="J57" s="309"/>
      <c r="K57" s="278" t="s">
        <v>69</v>
      </c>
      <c r="L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" s="279" t="s">
        <v>342</v>
      </c>
      <c r="N57" s="279">
        <v>140</v>
      </c>
      <c r="O57" s="276">
        <v>0.2</v>
      </c>
      <c r="P57" s="280">
        <f>IFERROR(_xlfn.LET(_xlpm.boxType, K57, _xlpm.tallos, N57, _xlpm.cost, O57, _xlpm.precio, Q57,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7" s="296">
        <v>1.19</v>
      </c>
      <c r="R57" s="276"/>
      <c r="S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7" s="276"/>
      <c r="U57" s="69"/>
    </row>
    <row r="58" spans="1:22" x14ac:dyDescent="0.25">
      <c r="A58" s="277" t="s">
        <v>68</v>
      </c>
      <c r="B58" s="278">
        <f>_xlfn.XLOOKUP(Catalogo[[#This Row],[Finca]], Fincas[Nombre], Fincas[ID])</f>
        <v>98</v>
      </c>
      <c r="C58" s="277" t="s">
        <v>606</v>
      </c>
      <c r="D58" s="277" t="s">
        <v>761</v>
      </c>
      <c r="E58" s="277"/>
      <c r="F58" s="277" t="s">
        <v>570</v>
      </c>
      <c r="G58" s="277"/>
      <c r="H58" s="277" t="s">
        <v>563</v>
      </c>
      <c r="I58" s="311" t="s">
        <v>276</v>
      </c>
      <c r="J58" s="309"/>
      <c r="K58" s="278" t="s">
        <v>69</v>
      </c>
      <c r="L5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" s="279" t="s">
        <v>342</v>
      </c>
      <c r="N58" s="279">
        <v>140</v>
      </c>
      <c r="O58" s="276">
        <v>0.2</v>
      </c>
      <c r="P58" s="280">
        <f>IFERROR(_xlfn.LET(_xlpm.boxType, K58, _xlpm.tallos, N58, _xlpm.cost, O58, _xlpm.precio, Q58,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8" s="296">
        <v>1.19</v>
      </c>
      <c r="R58" s="276"/>
      <c r="S5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8" s="276"/>
      <c r="U58" s="69"/>
    </row>
    <row r="59" spans="1:22" ht="15.75" thickBot="1" x14ac:dyDescent="0.3">
      <c r="A59" s="326" t="s">
        <v>68</v>
      </c>
      <c r="B59" s="327">
        <f>_xlfn.XLOOKUP(Catalogo[[#This Row],[Finca]], Fincas[Nombre], Fincas[ID])</f>
        <v>98</v>
      </c>
      <c r="C59" s="326" t="s">
        <v>606</v>
      </c>
      <c r="D59" s="326" t="s">
        <v>762</v>
      </c>
      <c r="E59" s="326"/>
      <c r="F59" s="326" t="s">
        <v>570</v>
      </c>
      <c r="G59" s="326"/>
      <c r="H59" s="326" t="s">
        <v>563</v>
      </c>
      <c r="I59" s="328" t="s">
        <v>276</v>
      </c>
      <c r="J59" s="329"/>
      <c r="K59" s="327" t="s">
        <v>69</v>
      </c>
      <c r="L59" s="33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" s="330" t="s">
        <v>342</v>
      </c>
      <c r="N59" s="330">
        <v>140</v>
      </c>
      <c r="O59" s="331">
        <v>0.2</v>
      </c>
      <c r="P59" s="332">
        <f>IFERROR(_xlfn.LET(_xlpm.boxType, K59, _xlpm.tallos, N59, _xlpm.cost, O59, _xlpm.precio, Q59,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59" s="333">
        <v>1.19</v>
      </c>
      <c r="R59" s="276"/>
      <c r="S5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59" s="276"/>
      <c r="U59" s="69"/>
    </row>
    <row r="60" spans="1:22" ht="15.75" thickTop="1" x14ac:dyDescent="0.25">
      <c r="A60" s="277" t="s">
        <v>68</v>
      </c>
      <c r="B60" s="278">
        <f>_xlfn.XLOOKUP(Catalogo[[#This Row],[Finca]], Fincas[Nombre], Fincas[ID])</f>
        <v>98</v>
      </c>
      <c r="C60" s="277" t="s">
        <v>601</v>
      </c>
      <c r="D60" s="277" t="s">
        <v>763</v>
      </c>
      <c r="E60" s="277"/>
      <c r="F60" s="277" t="s">
        <v>503</v>
      </c>
      <c r="G60" s="277"/>
      <c r="H60" s="277"/>
      <c r="I60" s="311" t="s">
        <v>276</v>
      </c>
      <c r="J60" s="309"/>
      <c r="K60" s="278" t="s">
        <v>69</v>
      </c>
      <c r="L6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" s="279" t="s">
        <v>342</v>
      </c>
      <c r="N60" s="279">
        <v>140</v>
      </c>
      <c r="O60" s="276">
        <v>0.2</v>
      </c>
      <c r="P60" s="280">
        <f>IFERROR(_xlfn.LET(_xlpm.boxType, K60, _xlpm.tallos, N60, _xlpm.cost, O60, _xlpm.precio, Q60,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0" s="296">
        <v>1.19</v>
      </c>
      <c r="R60" s="276"/>
      <c r="S6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0" s="276"/>
      <c r="U60" s="69"/>
    </row>
    <row r="61" spans="1:22" x14ac:dyDescent="0.25">
      <c r="A61" s="277" t="s">
        <v>68</v>
      </c>
      <c r="B61" s="278">
        <f>_xlfn.XLOOKUP(Catalogo[[#This Row],[Finca]], Fincas[Nombre], Fincas[ID])</f>
        <v>98</v>
      </c>
      <c r="C61" s="277" t="s">
        <v>601</v>
      </c>
      <c r="D61" s="277" t="s">
        <v>764</v>
      </c>
      <c r="E61" s="277"/>
      <c r="F61" s="277" t="s">
        <v>526</v>
      </c>
      <c r="G61" s="277"/>
      <c r="H61" s="277"/>
      <c r="I61" s="311" t="s">
        <v>276</v>
      </c>
      <c r="J61" s="309"/>
      <c r="K61" s="278" t="s">
        <v>69</v>
      </c>
      <c r="L6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" s="279" t="s">
        <v>342</v>
      </c>
      <c r="N61" s="279">
        <v>140</v>
      </c>
      <c r="O61" s="276">
        <v>0.2</v>
      </c>
      <c r="P61" s="280">
        <f>IFERROR(_xlfn.LET(_xlpm.boxType, K61, _xlpm.tallos, N61, _xlpm.cost, O61, _xlpm.precio, Q61,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1" s="296">
        <v>1.19</v>
      </c>
      <c r="R61" s="276"/>
      <c r="S6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1" s="276"/>
      <c r="U61" s="69"/>
    </row>
    <row r="62" spans="1:22" x14ac:dyDescent="0.25">
      <c r="A62" s="277" t="s">
        <v>68</v>
      </c>
      <c r="B62" s="278">
        <f>_xlfn.XLOOKUP(Catalogo[[#This Row],[Finca]], Fincas[Nombre], Fincas[ID])</f>
        <v>98</v>
      </c>
      <c r="C62" s="277" t="s">
        <v>601</v>
      </c>
      <c r="D62" s="277" t="s">
        <v>765</v>
      </c>
      <c r="E62" s="277"/>
      <c r="F62" s="277" t="s">
        <v>600</v>
      </c>
      <c r="G62" s="277"/>
      <c r="H62" s="277"/>
      <c r="I62" s="311" t="s">
        <v>276</v>
      </c>
      <c r="J62" s="309"/>
      <c r="K62" s="278" t="s">
        <v>69</v>
      </c>
      <c r="L6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" s="279" t="s">
        <v>342</v>
      </c>
      <c r="N62" s="279">
        <v>140</v>
      </c>
      <c r="O62" s="276">
        <v>0.2</v>
      </c>
      <c r="P62" s="280">
        <f>IFERROR(_xlfn.LET(_xlpm.boxType, K62, _xlpm.tallos, N62, _xlpm.cost, O62, _xlpm.precio, Q62,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2" s="296">
        <v>1.19</v>
      </c>
      <c r="R62" s="276"/>
      <c r="S6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2" s="276"/>
      <c r="U62" s="69"/>
    </row>
    <row r="63" spans="1:22" x14ac:dyDescent="0.25">
      <c r="A63" s="277" t="s">
        <v>68</v>
      </c>
      <c r="B63" s="278">
        <f>_xlfn.XLOOKUP(Catalogo[[#This Row],[Finca]], Fincas[Nombre], Fincas[ID])</f>
        <v>98</v>
      </c>
      <c r="C63" s="277" t="s">
        <v>601</v>
      </c>
      <c r="D63" s="277" t="s">
        <v>766</v>
      </c>
      <c r="E63" s="277"/>
      <c r="F63" s="277" t="s">
        <v>608</v>
      </c>
      <c r="G63" s="277"/>
      <c r="H63" s="277"/>
      <c r="I63" s="311" t="s">
        <v>276</v>
      </c>
      <c r="J63" s="309"/>
      <c r="K63" s="278" t="s">
        <v>69</v>
      </c>
      <c r="L6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" s="279" t="s">
        <v>342</v>
      </c>
      <c r="N63" s="279">
        <v>140</v>
      </c>
      <c r="O63" s="276">
        <v>0.2</v>
      </c>
      <c r="P63" s="280">
        <f>IFERROR(_xlfn.LET(_xlpm.boxType, K63, _xlpm.tallos, N63, _xlpm.cost, O63, _xlpm.precio, Q63,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3" s="296">
        <v>1.19</v>
      </c>
      <c r="R63" s="276"/>
      <c r="S6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3" s="276"/>
      <c r="U63" s="69"/>
    </row>
    <row r="64" spans="1:22" x14ac:dyDescent="0.25">
      <c r="A64" s="277" t="s">
        <v>68</v>
      </c>
      <c r="B64" s="278">
        <f>_xlfn.XLOOKUP(Catalogo[[#This Row],[Finca]], Fincas[Nombre], Fincas[ID])</f>
        <v>98</v>
      </c>
      <c r="C64" s="277" t="s">
        <v>601</v>
      </c>
      <c r="D64" s="277" t="s">
        <v>767</v>
      </c>
      <c r="E64" s="277"/>
      <c r="F64" s="277" t="s">
        <v>576</v>
      </c>
      <c r="G64" s="277"/>
      <c r="H64" s="277"/>
      <c r="I64" s="311" t="s">
        <v>276</v>
      </c>
      <c r="J64" s="309"/>
      <c r="K64" s="278" t="s">
        <v>69</v>
      </c>
      <c r="L6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" s="279" t="s">
        <v>342</v>
      </c>
      <c r="N64" s="279">
        <v>140</v>
      </c>
      <c r="O64" s="276">
        <v>0.2</v>
      </c>
      <c r="P64" s="280">
        <f>IFERROR(_xlfn.LET(_xlpm.boxType, K64, _xlpm.tallos, N64, _xlpm.cost, O64, _xlpm.precio, Q64,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4" s="296">
        <v>1.19</v>
      </c>
      <c r="R64" s="276"/>
      <c r="S6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4" s="276"/>
      <c r="U64" s="69"/>
    </row>
    <row r="65" spans="1:21" x14ac:dyDescent="0.25">
      <c r="A65" s="277" t="s">
        <v>68</v>
      </c>
      <c r="B65" s="278">
        <f>_xlfn.XLOOKUP(Catalogo[[#This Row],[Finca]], Fincas[Nombre], Fincas[ID])</f>
        <v>98</v>
      </c>
      <c r="C65" s="277" t="s">
        <v>601</v>
      </c>
      <c r="D65" s="277" t="s">
        <v>768</v>
      </c>
      <c r="E65" s="277"/>
      <c r="F65" s="277" t="s">
        <v>576</v>
      </c>
      <c r="G65" s="277"/>
      <c r="H65" s="277"/>
      <c r="I65" s="311" t="s">
        <v>276</v>
      </c>
      <c r="J65" s="309"/>
      <c r="K65" s="278" t="s">
        <v>69</v>
      </c>
      <c r="L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" s="279" t="s">
        <v>342</v>
      </c>
      <c r="N65" s="279">
        <v>140</v>
      </c>
      <c r="O65" s="276">
        <v>0.2</v>
      </c>
      <c r="P65" s="280">
        <f>IFERROR(_xlfn.LET(_xlpm.boxType, K65, _xlpm.tallos, N65, _xlpm.cost, O65, _xlpm.precio, Q65,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5" s="296">
        <v>1.19</v>
      </c>
      <c r="R65" s="276"/>
      <c r="S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5" s="276"/>
      <c r="U65" s="69"/>
    </row>
    <row r="66" spans="1:21" x14ac:dyDescent="0.25">
      <c r="A66" s="277" t="s">
        <v>68</v>
      </c>
      <c r="B66" s="278">
        <f>_xlfn.XLOOKUP(Catalogo[[#This Row],[Finca]], Fincas[Nombre], Fincas[ID])</f>
        <v>98</v>
      </c>
      <c r="C66" s="277" t="s">
        <v>601</v>
      </c>
      <c r="D66" s="277" t="s">
        <v>769</v>
      </c>
      <c r="E66" s="277"/>
      <c r="F66" s="277" t="s">
        <v>576</v>
      </c>
      <c r="G66" s="277"/>
      <c r="H66" s="277"/>
      <c r="I66" s="311" t="s">
        <v>276</v>
      </c>
      <c r="J66" s="309"/>
      <c r="K66" s="278" t="s">
        <v>69</v>
      </c>
      <c r="L6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" s="279" t="s">
        <v>342</v>
      </c>
      <c r="N66" s="279">
        <v>140</v>
      </c>
      <c r="O66" s="276">
        <v>0.2</v>
      </c>
      <c r="P66" s="280">
        <f>IFERROR(_xlfn.LET(_xlpm.boxType, K66, _xlpm.tallos, N66, _xlpm.cost, O66, _xlpm.precio, Q66,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6" s="296">
        <v>1.19</v>
      </c>
      <c r="R66" s="276"/>
      <c r="S6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6" s="276"/>
      <c r="U66" s="69"/>
    </row>
    <row r="67" spans="1:21" x14ac:dyDescent="0.25">
      <c r="A67" s="277" t="s">
        <v>68</v>
      </c>
      <c r="B67" s="278">
        <f>_xlfn.XLOOKUP(Catalogo[[#This Row],[Finca]], Fincas[Nombre], Fincas[ID])</f>
        <v>98</v>
      </c>
      <c r="C67" s="277" t="s">
        <v>601</v>
      </c>
      <c r="D67" s="277" t="s">
        <v>770</v>
      </c>
      <c r="E67" s="277"/>
      <c r="F67" s="277" t="s">
        <v>534</v>
      </c>
      <c r="G67" s="277"/>
      <c r="H67" s="277"/>
      <c r="I67" s="311" t="s">
        <v>276</v>
      </c>
      <c r="J67" s="309"/>
      <c r="K67" s="278" t="s">
        <v>69</v>
      </c>
      <c r="L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" s="279" t="s">
        <v>342</v>
      </c>
      <c r="N67" s="279">
        <v>140</v>
      </c>
      <c r="O67" s="276">
        <v>0.2</v>
      </c>
      <c r="P67" s="280">
        <f>IFERROR(_xlfn.LET(_xlpm.boxType, K67, _xlpm.tallos, N67, _xlpm.cost, O67, _xlpm.precio, Q67,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7" s="296">
        <v>1.19</v>
      </c>
      <c r="R67" s="276"/>
      <c r="S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7" s="276"/>
      <c r="U67" s="69"/>
    </row>
    <row r="68" spans="1:21" x14ac:dyDescent="0.25">
      <c r="A68" s="277" t="s">
        <v>68</v>
      </c>
      <c r="B68" s="278">
        <f>_xlfn.XLOOKUP(Catalogo[[#This Row],[Finca]], Fincas[Nombre], Fincas[ID])</f>
        <v>98</v>
      </c>
      <c r="C68" s="277" t="s">
        <v>601</v>
      </c>
      <c r="D68" s="277" t="s">
        <v>771</v>
      </c>
      <c r="E68" s="277"/>
      <c r="F68" s="277" t="s">
        <v>605</v>
      </c>
      <c r="G68" s="277"/>
      <c r="H68" s="277"/>
      <c r="I68" s="311" t="s">
        <v>276</v>
      </c>
      <c r="J68" s="309"/>
      <c r="K68" s="278" t="s">
        <v>69</v>
      </c>
      <c r="L6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" s="279" t="s">
        <v>342</v>
      </c>
      <c r="N68" s="279">
        <v>140</v>
      </c>
      <c r="O68" s="276">
        <v>0.2</v>
      </c>
      <c r="P68" s="280">
        <f>IFERROR(_xlfn.LET(_xlpm.boxType, K68, _xlpm.tallos, N68, _xlpm.cost, O68, _xlpm.precio, Q68,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8" s="296">
        <v>1.19</v>
      </c>
      <c r="R68" s="276"/>
      <c r="S6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8" s="276"/>
      <c r="U68" s="69"/>
    </row>
    <row r="69" spans="1:21" x14ac:dyDescent="0.25">
      <c r="A69" s="277" t="s">
        <v>68</v>
      </c>
      <c r="B69" s="278">
        <f>_xlfn.XLOOKUP(Catalogo[[#This Row],[Finca]], Fincas[Nombre], Fincas[ID])</f>
        <v>98</v>
      </c>
      <c r="C69" s="277" t="s">
        <v>601</v>
      </c>
      <c r="D69" s="277" t="s">
        <v>772</v>
      </c>
      <c r="E69" s="277"/>
      <c r="F69" s="277" t="s">
        <v>570</v>
      </c>
      <c r="G69" s="277"/>
      <c r="H69" s="277" t="s">
        <v>563</v>
      </c>
      <c r="I69" s="311" t="s">
        <v>276</v>
      </c>
      <c r="J69" s="309"/>
      <c r="K69" s="278" t="s">
        <v>69</v>
      </c>
      <c r="L6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" s="279" t="s">
        <v>342</v>
      </c>
      <c r="N69" s="279">
        <v>140</v>
      </c>
      <c r="O69" s="276">
        <v>0.2</v>
      </c>
      <c r="P69" s="280">
        <f>IFERROR(_xlfn.LET(_xlpm.boxType, K69, _xlpm.tallos, N69, _xlpm.cost, O69, _xlpm.precio, Q69,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69" s="296">
        <v>1.19</v>
      </c>
      <c r="R69" s="276"/>
      <c r="S6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9" s="276"/>
      <c r="U69" s="69"/>
    </row>
    <row r="70" spans="1:21" ht="15.75" thickBot="1" x14ac:dyDescent="0.3">
      <c r="A70" s="277" t="s">
        <v>68</v>
      </c>
      <c r="B70" s="278">
        <f>_xlfn.XLOOKUP(Catalogo[[#This Row],[Finca]], Fincas[Nombre], Fincas[ID])</f>
        <v>98</v>
      </c>
      <c r="C70" s="277" t="s">
        <v>601</v>
      </c>
      <c r="D70" s="277" t="s">
        <v>773</v>
      </c>
      <c r="E70" s="277"/>
      <c r="F70" s="277" t="s">
        <v>610</v>
      </c>
      <c r="G70" s="277"/>
      <c r="H70" s="277" t="s">
        <v>563</v>
      </c>
      <c r="I70" s="311" t="s">
        <v>276</v>
      </c>
      <c r="J70" s="309"/>
      <c r="K70" s="278" t="s">
        <v>69</v>
      </c>
      <c r="L7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" s="279" t="s">
        <v>342</v>
      </c>
      <c r="N70" s="279">
        <v>140</v>
      </c>
      <c r="O70" s="276">
        <v>0.2</v>
      </c>
      <c r="P70" s="280">
        <f>IFERROR(_xlfn.LET(_xlpm.boxType, K70, _xlpm.tallos, N70, _xlpm.cost, O70, _xlpm.precio, Q70,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0" s="296">
        <v>1.19</v>
      </c>
      <c r="R70" s="276"/>
      <c r="S7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0" s="276"/>
      <c r="U70" s="69"/>
    </row>
    <row r="71" spans="1:21" ht="15.75" thickTop="1" x14ac:dyDescent="0.25">
      <c r="A71" s="318" t="s">
        <v>68</v>
      </c>
      <c r="B71" s="319">
        <f>_xlfn.XLOOKUP(Catalogo[[#This Row],[Finca]], Fincas[Nombre], Fincas[ID])</f>
        <v>98</v>
      </c>
      <c r="C71" s="318" t="s">
        <v>565</v>
      </c>
      <c r="D71" s="318" t="s">
        <v>774</v>
      </c>
      <c r="E71" s="318"/>
      <c r="F71" s="318" t="s">
        <v>503</v>
      </c>
      <c r="G71" s="318"/>
      <c r="H71" s="318"/>
      <c r="I71" s="320" t="s">
        <v>276</v>
      </c>
      <c r="J71" s="321"/>
      <c r="K71" s="319" t="s">
        <v>69</v>
      </c>
      <c r="L71" s="322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" s="322" t="s">
        <v>342</v>
      </c>
      <c r="N71" s="322">
        <v>140</v>
      </c>
      <c r="O71" s="323">
        <v>0.2</v>
      </c>
      <c r="P71" s="324">
        <f>IFERROR(_xlfn.LET(_xlpm.boxType, K71, _xlpm.tallos, N71, _xlpm.cost, O71, _xlpm.precio, Q71,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1" s="325">
        <v>1.19</v>
      </c>
      <c r="R71" s="276"/>
      <c r="S7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1" s="276"/>
      <c r="U71" s="69"/>
    </row>
    <row r="72" spans="1:21" x14ac:dyDescent="0.25">
      <c r="A72" s="277" t="s">
        <v>68</v>
      </c>
      <c r="B72" s="278">
        <f>_xlfn.XLOOKUP(Catalogo[[#This Row],[Finca]], Fincas[Nombre], Fincas[ID])</f>
        <v>98</v>
      </c>
      <c r="C72" s="277" t="s">
        <v>565</v>
      </c>
      <c r="D72" s="277" t="s">
        <v>775</v>
      </c>
      <c r="E72" s="277"/>
      <c r="F72" s="277" t="s">
        <v>526</v>
      </c>
      <c r="G72" s="277"/>
      <c r="H72" s="277"/>
      <c r="I72" s="311" t="s">
        <v>276</v>
      </c>
      <c r="J72" s="309"/>
      <c r="K72" s="278" t="s">
        <v>69</v>
      </c>
      <c r="L7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" s="279" t="s">
        <v>342</v>
      </c>
      <c r="N72" s="279">
        <v>140</v>
      </c>
      <c r="O72" s="276">
        <v>0.2</v>
      </c>
      <c r="P72" s="280">
        <f>IFERROR(_xlfn.LET(_xlpm.boxType, K72, _xlpm.tallos, N72, _xlpm.cost, O72, _xlpm.precio, Q72,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2" s="296">
        <v>1.19</v>
      </c>
      <c r="R72" s="276"/>
      <c r="S7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2" s="276"/>
      <c r="U72" s="69"/>
    </row>
    <row r="73" spans="1:21" x14ac:dyDescent="0.25">
      <c r="A73" s="277" t="s">
        <v>68</v>
      </c>
      <c r="B73" s="278">
        <f>_xlfn.XLOOKUP(Catalogo[[#This Row],[Finca]], Fincas[Nombre], Fincas[ID])</f>
        <v>98</v>
      </c>
      <c r="C73" s="277" t="s">
        <v>565</v>
      </c>
      <c r="D73" s="277" t="s">
        <v>776</v>
      </c>
      <c r="E73" s="277"/>
      <c r="F73" s="277" t="s">
        <v>576</v>
      </c>
      <c r="G73" s="277"/>
      <c r="H73" s="277"/>
      <c r="I73" s="311" t="s">
        <v>276</v>
      </c>
      <c r="J73" s="309"/>
      <c r="K73" s="278" t="s">
        <v>69</v>
      </c>
      <c r="L7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" s="279" t="s">
        <v>342</v>
      </c>
      <c r="N73" s="279">
        <v>140</v>
      </c>
      <c r="O73" s="276">
        <v>0.2</v>
      </c>
      <c r="P73" s="280">
        <f>IFERROR(_xlfn.LET(_xlpm.boxType, K73, _xlpm.tallos, N73, _xlpm.cost, O73, _xlpm.precio, Q73,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3" s="296">
        <v>1.19</v>
      </c>
      <c r="R73" s="276"/>
      <c r="S7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3" s="276"/>
      <c r="U73" s="69"/>
    </row>
    <row r="74" spans="1:21" x14ac:dyDescent="0.25">
      <c r="A74" s="277" t="s">
        <v>68</v>
      </c>
      <c r="B74" s="278">
        <f>_xlfn.XLOOKUP(Catalogo[[#This Row],[Finca]], Fincas[Nombre], Fincas[ID])</f>
        <v>98</v>
      </c>
      <c r="C74" s="277" t="s">
        <v>565</v>
      </c>
      <c r="D74" s="277" t="s">
        <v>777</v>
      </c>
      <c r="E74" s="277"/>
      <c r="F74" s="277" t="s">
        <v>594</v>
      </c>
      <c r="G74" s="277"/>
      <c r="H74" s="277"/>
      <c r="I74" s="311" t="s">
        <v>276</v>
      </c>
      <c r="J74" s="309"/>
      <c r="K74" s="278" t="s">
        <v>69</v>
      </c>
      <c r="L7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" s="279" t="s">
        <v>342</v>
      </c>
      <c r="N74" s="279">
        <v>140</v>
      </c>
      <c r="O74" s="276">
        <v>0.2</v>
      </c>
      <c r="P74" s="280">
        <f>IFERROR(_xlfn.LET(_xlpm.boxType, K74, _xlpm.tallos, N74, _xlpm.cost, O74, _xlpm.precio, Q74,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4" s="296">
        <v>1.19</v>
      </c>
      <c r="R74" s="276"/>
      <c r="S7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4" s="276"/>
      <c r="U74" s="69"/>
    </row>
    <row r="75" spans="1:21" x14ac:dyDescent="0.25">
      <c r="A75" s="277" t="s">
        <v>68</v>
      </c>
      <c r="B75" s="278">
        <f>_xlfn.XLOOKUP(Catalogo[[#This Row],[Finca]], Fincas[Nombre], Fincas[ID])</f>
        <v>98</v>
      </c>
      <c r="C75" s="277" t="s">
        <v>565</v>
      </c>
      <c r="D75" s="277" t="s">
        <v>778</v>
      </c>
      <c r="E75" s="277"/>
      <c r="F75" s="277" t="s">
        <v>594</v>
      </c>
      <c r="G75" s="277"/>
      <c r="H75" s="277"/>
      <c r="I75" s="311" t="s">
        <v>276</v>
      </c>
      <c r="J75" s="309"/>
      <c r="K75" s="278" t="s">
        <v>69</v>
      </c>
      <c r="L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" s="279" t="s">
        <v>342</v>
      </c>
      <c r="N75" s="279">
        <v>140</v>
      </c>
      <c r="O75" s="276">
        <v>0.2</v>
      </c>
      <c r="P75" s="280">
        <f>IFERROR(_xlfn.LET(_xlpm.boxType, K75, _xlpm.tallos, N75, _xlpm.cost, O75, _xlpm.precio, Q75,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5" s="296">
        <v>1.19</v>
      </c>
      <c r="R75" s="276"/>
      <c r="S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5" s="276"/>
      <c r="U75" s="69"/>
    </row>
    <row r="76" spans="1:21" x14ac:dyDescent="0.25">
      <c r="A76" s="277" t="s">
        <v>68</v>
      </c>
      <c r="B76" s="278">
        <f>_xlfn.XLOOKUP(Catalogo[[#This Row],[Finca]], Fincas[Nombre], Fincas[ID])</f>
        <v>98</v>
      </c>
      <c r="C76" s="277" t="s">
        <v>565</v>
      </c>
      <c r="D76" s="277" t="s">
        <v>779</v>
      </c>
      <c r="E76" s="277"/>
      <c r="F76" s="277" t="s">
        <v>605</v>
      </c>
      <c r="G76" s="277"/>
      <c r="H76" s="277" t="s">
        <v>563</v>
      </c>
      <c r="I76" s="311" t="s">
        <v>276</v>
      </c>
      <c r="J76" s="309"/>
      <c r="K76" s="278" t="s">
        <v>69</v>
      </c>
      <c r="L7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" s="279" t="s">
        <v>342</v>
      </c>
      <c r="N76" s="279">
        <v>140</v>
      </c>
      <c r="O76" s="276">
        <v>0.2</v>
      </c>
      <c r="P76" s="280">
        <f>IFERROR(_xlfn.LET(_xlpm.boxType, K76, _xlpm.tallos, N76, _xlpm.cost, O76, _xlpm.precio, Q76,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6" s="296">
        <v>1.19</v>
      </c>
      <c r="R76" s="276"/>
      <c r="S7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6" s="276"/>
      <c r="U76" s="69"/>
    </row>
    <row r="77" spans="1:21" ht="15.75" thickBot="1" x14ac:dyDescent="0.3">
      <c r="A77" s="326" t="s">
        <v>68</v>
      </c>
      <c r="B77" s="327">
        <f>_xlfn.XLOOKUP(Catalogo[[#This Row],[Finca]], Fincas[Nombre], Fincas[ID])</f>
        <v>98</v>
      </c>
      <c r="C77" s="326" t="s">
        <v>565</v>
      </c>
      <c r="D77" s="326" t="s">
        <v>780</v>
      </c>
      <c r="E77" s="326"/>
      <c r="F77" s="326" t="s">
        <v>610</v>
      </c>
      <c r="G77" s="326"/>
      <c r="H77" s="326" t="s">
        <v>563</v>
      </c>
      <c r="I77" s="328" t="s">
        <v>276</v>
      </c>
      <c r="J77" s="329"/>
      <c r="K77" s="327" t="s">
        <v>69</v>
      </c>
      <c r="L77" s="33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" s="330" t="s">
        <v>342</v>
      </c>
      <c r="N77" s="330">
        <v>140</v>
      </c>
      <c r="O77" s="331">
        <v>0.2</v>
      </c>
      <c r="P77" s="332">
        <f>IFERROR(_xlfn.LET(_xlpm.boxType, K77, _xlpm.tallos, N77, _xlpm.cost, O77, _xlpm.precio, Q77,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7" s="333">
        <v>1.19</v>
      </c>
      <c r="R77" s="276"/>
      <c r="S7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7" s="276"/>
      <c r="U77" s="69"/>
    </row>
    <row r="78" spans="1:21" ht="15.75" thickTop="1" x14ac:dyDescent="0.25">
      <c r="A78" s="277" t="s">
        <v>68</v>
      </c>
      <c r="B78" s="278">
        <f>_xlfn.XLOOKUP(Catalogo[[#This Row],[Finca]], Fincas[Nombre], Fincas[ID])</f>
        <v>98</v>
      </c>
      <c r="C78" s="277" t="s">
        <v>639</v>
      </c>
      <c r="D78" s="277" t="s">
        <v>781</v>
      </c>
      <c r="E78" s="277"/>
      <c r="F78" s="277" t="s">
        <v>503</v>
      </c>
      <c r="G78" s="277"/>
      <c r="H78" s="277"/>
      <c r="I78" s="311" t="s">
        <v>276</v>
      </c>
      <c r="J78" s="309"/>
      <c r="K78" s="278" t="s">
        <v>69</v>
      </c>
      <c r="L7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" s="279" t="s">
        <v>342</v>
      </c>
      <c r="N78" s="279">
        <v>140</v>
      </c>
      <c r="O78" s="276">
        <v>0.2</v>
      </c>
      <c r="P78" s="280">
        <f>IFERROR(_xlfn.LET(_xlpm.boxType, K78, _xlpm.tallos, N78, _xlpm.cost, O78, _xlpm.precio, Q78,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8" s="296">
        <v>1.19</v>
      </c>
      <c r="R78" s="276"/>
      <c r="S7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8" s="276"/>
      <c r="U78" s="69"/>
    </row>
    <row r="79" spans="1:21" x14ac:dyDescent="0.25">
      <c r="A79" s="277" t="s">
        <v>68</v>
      </c>
      <c r="B79" s="278">
        <f>_xlfn.XLOOKUP(Catalogo[[#This Row],[Finca]], Fincas[Nombre], Fincas[ID])</f>
        <v>98</v>
      </c>
      <c r="C79" s="277" t="s">
        <v>639</v>
      </c>
      <c r="D79" s="277" t="s">
        <v>782</v>
      </c>
      <c r="E79" s="277"/>
      <c r="F79" s="277" t="s">
        <v>503</v>
      </c>
      <c r="G79" s="277"/>
      <c r="H79" s="277"/>
      <c r="I79" s="311" t="s">
        <v>276</v>
      </c>
      <c r="J79" s="309"/>
      <c r="K79" s="278" t="s">
        <v>69</v>
      </c>
      <c r="L7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" s="279" t="s">
        <v>342</v>
      </c>
      <c r="N79" s="279">
        <v>140</v>
      </c>
      <c r="O79" s="276">
        <v>0.2</v>
      </c>
      <c r="P79" s="280">
        <f>IFERROR(_xlfn.LET(_xlpm.boxType, K79, _xlpm.tallos, N79, _xlpm.cost, O79, _xlpm.precio, Q79,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79" s="296">
        <v>1.19</v>
      </c>
      <c r="R79" s="276"/>
      <c r="S7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79" s="276"/>
      <c r="U79" s="69"/>
    </row>
    <row r="80" spans="1:21" x14ac:dyDescent="0.25">
      <c r="A80" s="277" t="s">
        <v>68</v>
      </c>
      <c r="B80" s="278">
        <f>_xlfn.XLOOKUP(Catalogo[[#This Row],[Finca]], Fincas[Nombre], Fincas[ID])</f>
        <v>98</v>
      </c>
      <c r="C80" s="277" t="s">
        <v>639</v>
      </c>
      <c r="D80" s="277" t="s">
        <v>783</v>
      </c>
      <c r="E80" s="277"/>
      <c r="F80" s="277" t="s">
        <v>526</v>
      </c>
      <c r="G80" s="277"/>
      <c r="H80" s="277"/>
      <c r="I80" s="311" t="s">
        <v>276</v>
      </c>
      <c r="J80" s="309"/>
      <c r="K80" s="278" t="s">
        <v>69</v>
      </c>
      <c r="L8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" s="279" t="s">
        <v>342</v>
      </c>
      <c r="N80" s="279">
        <v>140</v>
      </c>
      <c r="O80" s="276">
        <v>0.2</v>
      </c>
      <c r="P80" s="280">
        <f>IFERROR(_xlfn.LET(_xlpm.boxType, K80, _xlpm.tallos, N80, _xlpm.cost, O80, _xlpm.precio, Q80,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0" s="296">
        <v>1.19</v>
      </c>
      <c r="R80" s="276"/>
      <c r="S8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0" s="276"/>
      <c r="U80" s="69"/>
    </row>
    <row r="81" spans="1:21" x14ac:dyDescent="0.25">
      <c r="A81" s="277" t="s">
        <v>68</v>
      </c>
      <c r="B81" s="278">
        <f>_xlfn.XLOOKUP(Catalogo[[#This Row],[Finca]], Fincas[Nombre], Fincas[ID])</f>
        <v>98</v>
      </c>
      <c r="C81" s="277" t="s">
        <v>639</v>
      </c>
      <c r="D81" s="277" t="s">
        <v>784</v>
      </c>
      <c r="E81" s="277"/>
      <c r="F81" s="277" t="s">
        <v>503</v>
      </c>
      <c r="G81" s="277" t="s">
        <v>600</v>
      </c>
      <c r="H81" s="277"/>
      <c r="I81" s="311" t="s">
        <v>276</v>
      </c>
      <c r="J81" s="309"/>
      <c r="K81" s="278" t="s">
        <v>69</v>
      </c>
      <c r="L8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" s="279" t="s">
        <v>342</v>
      </c>
      <c r="N81" s="279">
        <v>140</v>
      </c>
      <c r="O81" s="276">
        <v>0.2</v>
      </c>
      <c r="P81" s="280">
        <f>IFERROR(_xlfn.LET(_xlpm.boxType, K81, _xlpm.tallos, N81, _xlpm.cost, O81, _xlpm.precio, Q81,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1" s="296">
        <v>1.19</v>
      </c>
      <c r="R81" s="276"/>
      <c r="S8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1" s="276"/>
      <c r="U81" s="69"/>
    </row>
    <row r="82" spans="1:21" x14ac:dyDescent="0.25">
      <c r="A82" s="277" t="s">
        <v>68</v>
      </c>
      <c r="B82" s="278">
        <f>_xlfn.XLOOKUP(Catalogo[[#This Row],[Finca]], Fincas[Nombre], Fincas[ID])</f>
        <v>98</v>
      </c>
      <c r="C82" s="277" t="s">
        <v>639</v>
      </c>
      <c r="D82" s="277" t="s">
        <v>785</v>
      </c>
      <c r="E82" s="277"/>
      <c r="F82" s="277" t="s">
        <v>576</v>
      </c>
      <c r="G82" s="277"/>
      <c r="H82" s="277"/>
      <c r="I82" s="311" t="s">
        <v>276</v>
      </c>
      <c r="J82" s="309"/>
      <c r="K82" s="278" t="s">
        <v>69</v>
      </c>
      <c r="L8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" s="279" t="s">
        <v>342</v>
      </c>
      <c r="N82" s="279">
        <v>140</v>
      </c>
      <c r="O82" s="276">
        <v>0.2</v>
      </c>
      <c r="P82" s="280">
        <f>IFERROR(_xlfn.LET(_xlpm.boxType, K82, _xlpm.tallos, N82, _xlpm.cost, O82, _xlpm.precio, Q82,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2" s="296">
        <v>1.19</v>
      </c>
      <c r="R82" s="276"/>
      <c r="S8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2" s="276"/>
      <c r="U82" s="69"/>
    </row>
    <row r="83" spans="1:21" x14ac:dyDescent="0.25">
      <c r="A83" s="277" t="s">
        <v>68</v>
      </c>
      <c r="B83" s="278">
        <f>_xlfn.XLOOKUP(Catalogo[[#This Row],[Finca]], Fincas[Nombre], Fincas[ID])</f>
        <v>98</v>
      </c>
      <c r="C83" s="277" t="s">
        <v>639</v>
      </c>
      <c r="D83" s="277" t="s">
        <v>786</v>
      </c>
      <c r="E83" s="277"/>
      <c r="F83" s="277" t="s">
        <v>605</v>
      </c>
      <c r="G83" s="277"/>
      <c r="H83" s="277" t="s">
        <v>563</v>
      </c>
      <c r="I83" s="311" t="s">
        <v>276</v>
      </c>
      <c r="J83" s="309"/>
      <c r="K83" s="278" t="s">
        <v>69</v>
      </c>
      <c r="L8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" s="279" t="s">
        <v>342</v>
      </c>
      <c r="N83" s="279">
        <v>140</v>
      </c>
      <c r="O83" s="276">
        <v>0.2</v>
      </c>
      <c r="P83" s="280">
        <f>IFERROR(_xlfn.LET(_xlpm.boxType, K83, _xlpm.tallos, N83, _xlpm.cost, O83, _xlpm.precio, Q83,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3" s="296">
        <v>1.19</v>
      </c>
      <c r="R83" s="276"/>
      <c r="S8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3" s="276"/>
      <c r="U83" s="69"/>
    </row>
    <row r="84" spans="1:21" ht="15.75" thickBot="1" x14ac:dyDescent="0.3">
      <c r="A84" s="326" t="s">
        <v>68</v>
      </c>
      <c r="B84" s="327">
        <f>_xlfn.XLOOKUP(Catalogo[[#This Row],[Finca]], Fincas[Nombre], Fincas[ID])</f>
        <v>98</v>
      </c>
      <c r="C84" s="326" t="s">
        <v>639</v>
      </c>
      <c r="D84" s="326" t="s">
        <v>787</v>
      </c>
      <c r="E84" s="326"/>
      <c r="F84" s="326" t="s">
        <v>605</v>
      </c>
      <c r="G84" s="326"/>
      <c r="H84" s="326" t="s">
        <v>563</v>
      </c>
      <c r="I84" s="328" t="s">
        <v>276</v>
      </c>
      <c r="J84" s="329"/>
      <c r="K84" s="327" t="s">
        <v>69</v>
      </c>
      <c r="L84" s="33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" s="330" t="s">
        <v>342</v>
      </c>
      <c r="N84" s="330">
        <v>140</v>
      </c>
      <c r="O84" s="331">
        <v>0.2</v>
      </c>
      <c r="P84" s="332">
        <f>IFERROR(_xlfn.LET(_xlpm.boxType, K84, _xlpm.tallos, N84, _xlpm.cost, O84, _xlpm.precio, Q84,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0.25595238095238093</v>
      </c>
      <c r="Q84" s="333">
        <v>1.19</v>
      </c>
      <c r="R84" s="276"/>
      <c r="S8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4" s="276"/>
      <c r="U84" s="69"/>
    </row>
    <row r="85" spans="1:21" ht="15.75" thickTop="1" x14ac:dyDescent="0.25">
      <c r="A85" s="277"/>
      <c r="B85" s="278">
        <f>_xlfn.XLOOKUP(Catalogo[[#This Row],[Finca]], Fincas[Nombre], Fincas[ID])</f>
        <v>0</v>
      </c>
      <c r="C85" s="277"/>
      <c r="D85" s="277"/>
      <c r="E85" s="277"/>
      <c r="F85" s="277"/>
      <c r="G85" s="277"/>
      <c r="H85" s="277"/>
      <c r="I85" s="311"/>
      <c r="J85" s="309"/>
      <c r="K85" s="278"/>
      <c r="L8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5" s="279"/>
      <c r="N85" s="279"/>
      <c r="O85" s="276"/>
      <c r="P85" s="280" t="str">
        <f>IFERROR(_xlfn.LET(_xlpm.boxType, K85, _xlpm.tallos, N85, _xlpm.cost, O85, _xlpm.precio, Q85,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5" s="296"/>
      <c r="R85" s="276"/>
      <c r="S8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5" s="276"/>
      <c r="U85" s="69"/>
    </row>
    <row r="86" spans="1:21" x14ac:dyDescent="0.25">
      <c r="A86" s="277"/>
      <c r="B86" s="278">
        <f>_xlfn.XLOOKUP(Catalogo[[#This Row],[Finca]], Fincas[Nombre], Fincas[ID])</f>
        <v>0</v>
      </c>
      <c r="C86" s="277"/>
      <c r="D86" s="277"/>
      <c r="E86" s="277"/>
      <c r="F86" s="277"/>
      <c r="G86" s="277"/>
      <c r="H86" s="277"/>
      <c r="I86" s="311"/>
      <c r="J86" s="309"/>
      <c r="K86" s="278"/>
      <c r="L8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6" s="279"/>
      <c r="N86" s="279"/>
      <c r="O86" s="276"/>
      <c r="P86" s="280" t="str">
        <f>IFERROR(_xlfn.LET(_xlpm.boxType, K86, _xlpm.tallos, N86, _xlpm.cost, O86, _xlpm.precio, Q86,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6" s="296"/>
      <c r="R86" s="276"/>
      <c r="S8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6" s="276"/>
      <c r="U86" s="69"/>
    </row>
    <row r="87" spans="1:21" x14ac:dyDescent="0.25">
      <c r="A87" s="277"/>
      <c r="B87" s="278">
        <f>_xlfn.XLOOKUP(Catalogo[[#This Row],[Finca]], Fincas[Nombre], Fincas[ID])</f>
        <v>0</v>
      </c>
      <c r="C87" s="277"/>
      <c r="D87" s="277"/>
      <c r="E87" s="277"/>
      <c r="F87" s="277"/>
      <c r="G87" s="277"/>
      <c r="H87" s="277"/>
      <c r="I87" s="311"/>
      <c r="J87" s="309"/>
      <c r="K87" s="278"/>
      <c r="L8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7" s="279"/>
      <c r="N87" s="279"/>
      <c r="O87" s="276"/>
      <c r="P87" s="280" t="str">
        <f>IFERROR(_xlfn.LET(_xlpm.boxType, K87, _xlpm.tallos, N87, _xlpm.cost, O87, _xlpm.precio, Q87,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7" s="296"/>
      <c r="R87" s="276"/>
      <c r="S8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7" s="276"/>
      <c r="U87" s="69"/>
    </row>
    <row r="88" spans="1:21" x14ac:dyDescent="0.25">
      <c r="A88" s="277"/>
      <c r="B88" s="278">
        <f>_xlfn.XLOOKUP(Catalogo[[#This Row],[Finca]], Fincas[Nombre], Fincas[ID])</f>
        <v>0</v>
      </c>
      <c r="C88" s="277"/>
      <c r="D88" s="277"/>
      <c r="E88" s="277"/>
      <c r="F88" s="277"/>
      <c r="G88" s="277"/>
      <c r="H88" s="277"/>
      <c r="I88" s="311"/>
      <c r="J88" s="309"/>
      <c r="K88" s="278"/>
      <c r="L8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8" s="279"/>
      <c r="N88" s="279"/>
      <c r="O88" s="276"/>
      <c r="P88" s="280" t="str">
        <f>IFERROR(_xlfn.LET(_xlpm.boxType, K88, _xlpm.tallos, N88, _xlpm.cost, O88, _xlpm.precio, Q88,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8" s="296"/>
      <c r="R88" s="276"/>
      <c r="S8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8" s="276"/>
      <c r="U88" s="69"/>
    </row>
    <row r="89" spans="1:21" x14ac:dyDescent="0.25">
      <c r="A89" s="277"/>
      <c r="B89" s="278">
        <f>_xlfn.XLOOKUP(Catalogo[[#This Row],[Finca]], Fincas[Nombre], Fincas[ID])</f>
        <v>0</v>
      </c>
      <c r="C89" s="277"/>
      <c r="D89" s="277"/>
      <c r="E89" s="277"/>
      <c r="F89" s="277"/>
      <c r="G89" s="277"/>
      <c r="H89" s="277"/>
      <c r="I89" s="311"/>
      <c r="J89" s="309"/>
      <c r="K89" s="278"/>
      <c r="L8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89" s="279"/>
      <c r="N89" s="279"/>
      <c r="O89" s="276"/>
      <c r="P89" s="280" t="str">
        <f>IFERROR(_xlfn.LET(_xlpm.boxType, K89, _xlpm.tallos, N89, _xlpm.cost, O89, _xlpm.precio, Q89,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89" s="296"/>
      <c r="R89" s="276"/>
      <c r="S8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89" s="276"/>
      <c r="U89" s="69"/>
    </row>
    <row r="90" spans="1:21" x14ac:dyDescent="0.25">
      <c r="A90" s="277"/>
      <c r="B90" s="278">
        <f>_xlfn.XLOOKUP(Catalogo[[#This Row],[Finca]], Fincas[Nombre], Fincas[ID])</f>
        <v>0</v>
      </c>
      <c r="C90" s="277"/>
      <c r="D90" s="277"/>
      <c r="E90" s="277"/>
      <c r="F90" s="277"/>
      <c r="G90" s="277"/>
      <c r="H90" s="277"/>
      <c r="I90" s="311"/>
      <c r="J90" s="309"/>
      <c r="K90" s="278"/>
      <c r="L9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0" s="279"/>
      <c r="N90" s="279"/>
      <c r="O90" s="276"/>
      <c r="P90" s="280" t="str">
        <f>IFERROR(_xlfn.LET(_xlpm.boxType, K90, _xlpm.tallos, N90, _xlpm.cost, O90, _xlpm.precio, Q90,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0" s="296"/>
      <c r="R90" s="276"/>
      <c r="S9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0" s="276"/>
      <c r="U90" s="69"/>
    </row>
    <row r="91" spans="1:21" x14ac:dyDescent="0.25">
      <c r="A91" s="277"/>
      <c r="B91" s="278">
        <f>_xlfn.XLOOKUP(Catalogo[[#This Row],[Finca]], Fincas[Nombre], Fincas[ID])</f>
        <v>0</v>
      </c>
      <c r="C91" s="277"/>
      <c r="D91" s="277"/>
      <c r="E91" s="277"/>
      <c r="F91" s="277"/>
      <c r="G91" s="277"/>
      <c r="H91" s="277"/>
      <c r="I91" s="311"/>
      <c r="J91" s="309"/>
      <c r="K91" s="278"/>
      <c r="L9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1" s="279"/>
      <c r="N91" s="279"/>
      <c r="O91" s="276"/>
      <c r="P91" s="280" t="str">
        <f>IFERROR(_xlfn.LET(_xlpm.boxType, K91, _xlpm.tallos, N91, _xlpm.cost, O91, _xlpm.precio, Q91,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1" s="296"/>
      <c r="R91" s="276"/>
      <c r="S9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1" s="276"/>
      <c r="U91" s="69"/>
    </row>
    <row r="92" spans="1:21" x14ac:dyDescent="0.25">
      <c r="A92" s="277"/>
      <c r="B92" s="278">
        <f>_xlfn.XLOOKUP(Catalogo[[#This Row],[Finca]], Fincas[Nombre], Fincas[ID])</f>
        <v>0</v>
      </c>
      <c r="C92" s="277"/>
      <c r="D92" s="277"/>
      <c r="E92" s="277"/>
      <c r="F92" s="277"/>
      <c r="G92" s="277"/>
      <c r="H92" s="277"/>
      <c r="I92" s="311"/>
      <c r="J92" s="309"/>
      <c r="K92" s="278"/>
      <c r="L9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" s="279"/>
      <c r="N92" s="279"/>
      <c r="O92" s="276"/>
      <c r="P92" s="280" t="str">
        <f>IFERROR(_xlfn.LET(_xlpm.boxType, K92, _xlpm.tallos, N92, _xlpm.cost, O92, _xlpm.precio, Q92,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" s="296"/>
      <c r="R92" s="276"/>
      <c r="S9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" s="276"/>
      <c r="U92" s="69"/>
    </row>
    <row r="93" spans="1:21" x14ac:dyDescent="0.25">
      <c r="A93" s="277"/>
      <c r="B93" s="278">
        <f>_xlfn.XLOOKUP(Catalogo[[#This Row],[Finca]], Fincas[Nombre], Fincas[ID])</f>
        <v>0</v>
      </c>
      <c r="C93" s="277"/>
      <c r="D93" s="277"/>
      <c r="E93" s="277"/>
      <c r="F93" s="277"/>
      <c r="G93" s="277"/>
      <c r="H93" s="277"/>
      <c r="I93" s="311"/>
      <c r="J93" s="309"/>
      <c r="K93" s="278"/>
      <c r="L9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" s="279"/>
      <c r="N93" s="279"/>
      <c r="O93" s="276"/>
      <c r="P93" s="280" t="str">
        <f>IFERROR(_xlfn.LET(_xlpm.boxType, K93, _xlpm.tallos, N93, _xlpm.cost, O93, _xlpm.precio, Q93,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" s="296"/>
      <c r="R93" s="276"/>
      <c r="S9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" s="276"/>
      <c r="U93" s="69"/>
    </row>
    <row r="94" spans="1:21" x14ac:dyDescent="0.25">
      <c r="A94" s="277"/>
      <c r="B94" s="278">
        <f>_xlfn.XLOOKUP(Catalogo[[#This Row],[Finca]], Fincas[Nombre], Fincas[ID])</f>
        <v>0</v>
      </c>
      <c r="C94" s="277"/>
      <c r="D94" s="277"/>
      <c r="E94" s="277"/>
      <c r="F94" s="277"/>
      <c r="G94" s="277"/>
      <c r="H94" s="277"/>
      <c r="I94" s="311"/>
      <c r="J94" s="309"/>
      <c r="K94" s="278"/>
      <c r="L9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4" s="279"/>
      <c r="N94" s="279"/>
      <c r="O94" s="276"/>
      <c r="P94" s="280" t="str">
        <f>IFERROR(_xlfn.LET(_xlpm.boxType, K94, _xlpm.tallos, N94, _xlpm.cost, O94, _xlpm.precio, Q94,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4" s="296"/>
      <c r="R94" s="276"/>
      <c r="S9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4" s="276"/>
      <c r="U94" s="69"/>
    </row>
    <row r="95" spans="1:21" x14ac:dyDescent="0.25">
      <c r="A95" s="277"/>
      <c r="B95" s="278">
        <f>_xlfn.XLOOKUP(Catalogo[[#This Row],[Finca]], Fincas[Nombre], Fincas[ID])</f>
        <v>0</v>
      </c>
      <c r="C95" s="277"/>
      <c r="D95" s="277"/>
      <c r="E95" s="277"/>
      <c r="F95" s="277"/>
      <c r="G95" s="277"/>
      <c r="H95" s="277"/>
      <c r="I95" s="311"/>
      <c r="J95" s="309"/>
      <c r="K95" s="278"/>
      <c r="L9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5" s="279"/>
      <c r="N95" s="279"/>
      <c r="O95" s="276"/>
      <c r="P95" s="280" t="str">
        <f>IFERROR(_xlfn.LET(_xlpm.boxType, K95, _xlpm.tallos, N95, _xlpm.cost, O95, _xlpm.precio, Q95,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5" s="296"/>
      <c r="R95" s="276"/>
      <c r="S9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5" s="276"/>
      <c r="U95" s="69"/>
    </row>
    <row r="96" spans="1:21" x14ac:dyDescent="0.25">
      <c r="A96" s="277"/>
      <c r="B96" s="278">
        <f>_xlfn.XLOOKUP(Catalogo[[#This Row],[Finca]], Fincas[Nombre], Fincas[ID])</f>
        <v>0</v>
      </c>
      <c r="C96" s="277"/>
      <c r="D96" s="277"/>
      <c r="E96" s="277"/>
      <c r="F96" s="277"/>
      <c r="G96" s="277"/>
      <c r="H96" s="277"/>
      <c r="I96" s="311"/>
      <c r="J96" s="309"/>
      <c r="K96" s="278"/>
      <c r="L9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6" s="279"/>
      <c r="N96" s="279"/>
      <c r="O96" s="276"/>
      <c r="P96" s="280" t="str">
        <f>IFERROR(_xlfn.LET(_xlpm.boxType, K96, _xlpm.tallos, N96, _xlpm.cost, O96, _xlpm.precio, Q96,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6" s="296"/>
      <c r="R96" s="276"/>
      <c r="S9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6" s="276"/>
      <c r="U96" s="69"/>
    </row>
    <row r="97" spans="1:22" x14ac:dyDescent="0.25">
      <c r="A97" s="277"/>
      <c r="B97" s="278">
        <f>_xlfn.XLOOKUP(Catalogo[[#This Row],[Finca]], Fincas[Nombre], Fincas[ID])</f>
        <v>0</v>
      </c>
      <c r="C97" s="277"/>
      <c r="D97" s="277"/>
      <c r="E97" s="277"/>
      <c r="F97" s="277"/>
      <c r="G97" s="277"/>
      <c r="H97" s="277"/>
      <c r="I97" s="311"/>
      <c r="J97" s="309"/>
      <c r="K97" s="278"/>
      <c r="L9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" s="279"/>
      <c r="N97" s="279"/>
      <c r="O97" s="276"/>
      <c r="P97" s="280" t="str">
        <f>IFERROR(_xlfn.LET(_xlpm.boxType, K97, _xlpm.tallos, N97, _xlpm.cost, O97, _xlpm.precio, Q97,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" s="296"/>
      <c r="R97" s="276"/>
      <c r="S9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" s="276"/>
      <c r="U97" s="69"/>
    </row>
    <row r="98" spans="1:22" x14ac:dyDescent="0.25">
      <c r="A98" s="277"/>
      <c r="B98" s="278">
        <f>_xlfn.XLOOKUP(Catalogo[[#This Row],[Finca]], Fincas[Nombre], Fincas[ID])</f>
        <v>0</v>
      </c>
      <c r="C98" s="277"/>
      <c r="D98" s="277"/>
      <c r="E98" s="277"/>
      <c r="F98" s="277"/>
      <c r="G98" s="277"/>
      <c r="H98" s="277"/>
      <c r="I98" s="311"/>
      <c r="J98" s="309"/>
      <c r="K98" s="278"/>
      <c r="L9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8" s="279"/>
      <c r="N98" s="279"/>
      <c r="O98" s="276"/>
      <c r="P98" s="280" t="str">
        <f>IFERROR(_xlfn.LET(_xlpm.boxType, K98, _xlpm.tallos, N98, _xlpm.cost, O98, _xlpm.precio, Q98,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8" s="296"/>
      <c r="R98" s="276"/>
      <c r="S9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8" s="276"/>
      <c r="U98" s="69"/>
    </row>
    <row r="99" spans="1:22" x14ac:dyDescent="0.25">
      <c r="A99" s="277"/>
      <c r="B99" s="278">
        <f>_xlfn.XLOOKUP(Catalogo[[#This Row],[Finca]], Fincas[Nombre], Fincas[ID])</f>
        <v>0</v>
      </c>
      <c r="C99" s="277"/>
      <c r="D99" s="277"/>
      <c r="E99" s="277"/>
      <c r="F99" s="277"/>
      <c r="G99" s="277"/>
      <c r="H99" s="277"/>
      <c r="I99" s="311"/>
      <c r="J99" s="309"/>
      <c r="K99" s="278"/>
      <c r="L9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9" s="279"/>
      <c r="N99" s="279"/>
      <c r="O99" s="276"/>
      <c r="P99" s="280" t="str">
        <f>IFERROR(_xlfn.LET(_xlpm.boxType, K99, _xlpm.tallos, N99, _xlpm.cost, O99, _xlpm.precio, Q99,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9" s="296"/>
      <c r="R99" s="276"/>
      <c r="S9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9" s="276"/>
      <c r="U99" s="69"/>
    </row>
    <row r="100" spans="1:22" x14ac:dyDescent="0.25">
      <c r="A100" s="277"/>
      <c r="B100" s="278">
        <f>_xlfn.XLOOKUP(Catalogo[[#This Row],[Finca]], Fincas[Nombre], Fincas[ID])</f>
        <v>0</v>
      </c>
      <c r="C100" s="277"/>
      <c r="D100" s="277"/>
      <c r="E100" s="277"/>
      <c r="F100" s="277"/>
      <c r="G100" s="277"/>
      <c r="H100" s="277"/>
      <c r="I100" s="311"/>
      <c r="J100" s="309"/>
      <c r="K100" s="278"/>
      <c r="L10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0" s="279"/>
      <c r="N100" s="279"/>
      <c r="O100" s="276"/>
      <c r="P100" s="280" t="str">
        <f>IFERROR(_xlfn.LET(_xlpm.boxType, K100, _xlpm.tallos, N100, _xlpm.cost, O100, _xlpm.precio, Q100,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0" s="296"/>
      <c r="R100" s="276"/>
      <c r="S10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0" s="276"/>
      <c r="U100" s="69"/>
    </row>
    <row r="101" spans="1:22" x14ac:dyDescent="0.25">
      <c r="A101" s="277"/>
      <c r="B101" s="278">
        <f>_xlfn.XLOOKUP(Catalogo[[#This Row],[Finca]], Fincas[Nombre], Fincas[ID])</f>
        <v>0</v>
      </c>
      <c r="C101" s="277"/>
      <c r="D101" s="277"/>
      <c r="E101" s="277"/>
      <c r="F101" s="277"/>
      <c r="G101" s="277"/>
      <c r="H101" s="277"/>
      <c r="I101" s="311"/>
      <c r="J101" s="309"/>
      <c r="K101" s="278"/>
      <c r="L10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1" s="279"/>
      <c r="N101" s="279"/>
      <c r="O101" s="276"/>
      <c r="P101" s="280" t="str">
        <f>IFERROR(_xlfn.LET(_xlpm.boxType, K101, _xlpm.tallos, N101, _xlpm.cost, O101, _xlpm.precio, Q101,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1" s="296"/>
      <c r="R101" s="276"/>
      <c r="S10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1" s="276"/>
      <c r="U101" s="69"/>
    </row>
    <row r="102" spans="1:22" x14ac:dyDescent="0.25">
      <c r="A102" s="277"/>
      <c r="B102" s="278">
        <f>_xlfn.XLOOKUP(Catalogo[[#This Row],[Finca]], Fincas[Nombre], Fincas[ID])</f>
        <v>0</v>
      </c>
      <c r="C102" s="277"/>
      <c r="D102" s="277"/>
      <c r="E102" s="277"/>
      <c r="F102" s="277"/>
      <c r="G102" s="277"/>
      <c r="H102" s="277"/>
      <c r="I102" s="311"/>
      <c r="J102" s="309"/>
      <c r="K102" s="278"/>
      <c r="L10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2" s="279"/>
      <c r="N102" s="279"/>
      <c r="O102" s="276"/>
      <c r="P102" s="280" t="str">
        <f>IFERROR(_xlfn.LET(_xlpm.boxType, K102, _xlpm.tallos, N102, _xlpm.cost, O102, _xlpm.precio, Q102,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2" s="296"/>
      <c r="R102" s="276"/>
      <c r="S10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2" s="276"/>
      <c r="U102" s="69"/>
    </row>
    <row r="103" spans="1:22" x14ac:dyDescent="0.25">
      <c r="A103" s="277"/>
      <c r="B103" s="278">
        <f>_xlfn.XLOOKUP(Catalogo[[#This Row],[Finca]], Fincas[Nombre], Fincas[ID])</f>
        <v>0</v>
      </c>
      <c r="C103" s="277"/>
      <c r="D103" s="277"/>
      <c r="E103" s="277"/>
      <c r="F103" s="277"/>
      <c r="G103" s="277"/>
      <c r="H103" s="277"/>
      <c r="I103" s="311"/>
      <c r="J103" s="309"/>
      <c r="K103" s="278"/>
      <c r="L10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3" s="279"/>
      <c r="N103" s="279"/>
      <c r="O103" s="276"/>
      <c r="P103" s="280" t="str">
        <f>IFERROR(_xlfn.LET(_xlpm.boxType, K103, _xlpm.tallos, N103, _xlpm.cost, O103, _xlpm.precio, Q103,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3" s="296"/>
      <c r="R103" s="276"/>
      <c r="S10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3" s="276"/>
      <c r="U103" s="69"/>
    </row>
    <row r="104" spans="1:22" x14ac:dyDescent="0.25">
      <c r="A104" s="277"/>
      <c r="B104" s="278">
        <f>_xlfn.XLOOKUP(Catalogo[[#This Row],[Finca]], Fincas[Nombre], Fincas[ID])</f>
        <v>0</v>
      </c>
      <c r="C104" s="277"/>
      <c r="D104" s="277"/>
      <c r="E104" s="277"/>
      <c r="F104" s="277"/>
      <c r="G104" s="277"/>
      <c r="H104" s="277"/>
      <c r="I104" s="311"/>
      <c r="J104" s="309"/>
      <c r="K104" s="278"/>
      <c r="L10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4" s="279"/>
      <c r="N104" s="279"/>
      <c r="O104" s="276"/>
      <c r="P104" s="280" t="str">
        <f>IFERROR(_xlfn.LET(_xlpm.boxType, K104, _xlpm.tallos, N104, _xlpm.cost, O104, _xlpm.precio, Q104,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4" s="296"/>
      <c r="R104" s="276"/>
      <c r="S10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4" s="276"/>
      <c r="U104" s="69"/>
    </row>
    <row r="105" spans="1:22" x14ac:dyDescent="0.25">
      <c r="A105" s="277"/>
      <c r="B105" s="278">
        <f>_xlfn.XLOOKUP(Catalogo[[#This Row],[Finca]], Fincas[Nombre], Fincas[ID])</f>
        <v>0</v>
      </c>
      <c r="C105" s="277"/>
      <c r="D105" s="277"/>
      <c r="E105" s="277"/>
      <c r="F105" s="277"/>
      <c r="G105" s="277"/>
      <c r="H105" s="277"/>
      <c r="I105" s="311"/>
      <c r="J105" s="309"/>
      <c r="K105" s="278"/>
      <c r="L10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5" s="279"/>
      <c r="N105" s="279"/>
      <c r="O105" s="276"/>
      <c r="P105" s="280" t="str">
        <f>IFERROR(_xlfn.LET(_xlpm.boxType, K105, _xlpm.tallos, N105, _xlpm.cost, O105, _xlpm.precio, Q105,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5" s="296"/>
      <c r="R105" s="276"/>
      <c r="S10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5" s="276"/>
      <c r="U105" s="69"/>
    </row>
    <row r="106" spans="1:22" ht="15.75" thickBot="1" x14ac:dyDescent="0.3">
      <c r="A106" s="277"/>
      <c r="B106" s="278">
        <f>_xlfn.XLOOKUP(Catalogo[[#This Row],[Finca]], Fincas[Nombre], Fincas[ID])</f>
        <v>0</v>
      </c>
      <c r="C106" s="277"/>
      <c r="D106" s="277"/>
      <c r="E106" s="277"/>
      <c r="F106" s="277"/>
      <c r="G106" s="277"/>
      <c r="H106" s="277"/>
      <c r="I106" s="311"/>
      <c r="J106" s="309"/>
      <c r="K106" s="278"/>
      <c r="L10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06" s="279"/>
      <c r="N106" s="279"/>
      <c r="O106" s="276"/>
      <c r="P106" s="280" t="str">
        <f>IFERROR(_xlfn.LET(_xlpm.boxType, K106, _xlpm.tallos, N106, _xlpm.cost, O106, _xlpm.precio, Q106,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06" s="296"/>
      <c r="R106" s="276"/>
      <c r="S10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06" s="276"/>
      <c r="U106" s="69"/>
    </row>
    <row r="107" spans="1:22" x14ac:dyDescent="0.25">
      <c r="A107" s="281" t="s">
        <v>85</v>
      </c>
      <c r="B107" s="282">
        <f>_xlfn.XLOOKUP(Catalogo[[#This Row],[Finca]], Fincas[Nombre], Fincas[ID])</f>
        <v>38</v>
      </c>
      <c r="C107" s="281" t="s">
        <v>646</v>
      </c>
      <c r="D107" s="281" t="s">
        <v>788</v>
      </c>
      <c r="E107" s="281"/>
      <c r="F107" s="281" t="s">
        <v>503</v>
      </c>
      <c r="G107" s="281"/>
      <c r="H107" s="281"/>
      <c r="I107" s="316" t="s">
        <v>273</v>
      </c>
      <c r="J107" s="308"/>
      <c r="K107" s="282" t="s">
        <v>31</v>
      </c>
      <c r="L10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07" s="283" t="s">
        <v>383</v>
      </c>
      <c r="N107" s="283">
        <v>50</v>
      </c>
      <c r="O107" s="285">
        <v>0.6</v>
      </c>
      <c r="P107" s="284">
        <f>IFERROR(_xlfn.LET(_xlpm.boxType, K107, _xlpm.tallos, N107, _xlpm.cost, O107, _xlpm.precio, Q107,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07" s="295">
        <v>1.89</v>
      </c>
      <c r="R107" s="285" t="s">
        <v>283</v>
      </c>
      <c r="S10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7" s="285">
        <v>0.6</v>
      </c>
      <c r="U10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07" s="287">
        <v>1.0900000000000001</v>
      </c>
    </row>
    <row r="108" spans="1:22" x14ac:dyDescent="0.25">
      <c r="A108" s="277" t="s">
        <v>85</v>
      </c>
      <c r="B108" s="278">
        <f>_xlfn.XLOOKUP(Catalogo[[#This Row],[Finca]], Fincas[Nombre], Fincas[ID])</f>
        <v>38</v>
      </c>
      <c r="C108" s="277" t="s">
        <v>646</v>
      </c>
      <c r="D108" s="277" t="s">
        <v>788</v>
      </c>
      <c r="E108" s="277"/>
      <c r="F108" s="277" t="s">
        <v>503</v>
      </c>
      <c r="G108" s="277"/>
      <c r="H108" s="277"/>
      <c r="I108" s="311" t="s">
        <v>273</v>
      </c>
      <c r="J108" s="309"/>
      <c r="K108" s="278" t="s">
        <v>35</v>
      </c>
      <c r="L10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08" s="279" t="s">
        <v>385</v>
      </c>
      <c r="N108" s="279">
        <v>150</v>
      </c>
      <c r="O108" s="276">
        <v>0.6</v>
      </c>
      <c r="P108" s="280">
        <f>IFERROR(_xlfn.LET(_xlpm.boxType, K108, _xlpm.tallos, N108, _xlpm.cost, O108, _xlpm.precio, Q108,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08" s="296">
        <v>1.79</v>
      </c>
      <c r="R108" s="276" t="s">
        <v>284</v>
      </c>
      <c r="S10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8" s="276">
        <v>0.6</v>
      </c>
      <c r="U10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08" s="274">
        <v>0.99</v>
      </c>
    </row>
    <row r="109" spans="1:22" ht="15.75" thickBot="1" x14ac:dyDescent="0.3">
      <c r="A109" s="288" t="s">
        <v>85</v>
      </c>
      <c r="B109" s="289">
        <f>_xlfn.XLOOKUP(Catalogo[[#This Row],[Finca]], Fincas[Nombre], Fincas[ID])</f>
        <v>38</v>
      </c>
      <c r="C109" s="288" t="s">
        <v>646</v>
      </c>
      <c r="D109" s="288" t="s">
        <v>788</v>
      </c>
      <c r="E109" s="288"/>
      <c r="F109" s="288" t="s">
        <v>503</v>
      </c>
      <c r="G109" s="288"/>
      <c r="H109" s="288"/>
      <c r="I109" s="317" t="s">
        <v>273</v>
      </c>
      <c r="J109" s="310"/>
      <c r="K109" s="289" t="s">
        <v>93</v>
      </c>
      <c r="L10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09" s="290" t="s">
        <v>387</v>
      </c>
      <c r="N109" s="290">
        <v>300</v>
      </c>
      <c r="O109" s="292">
        <v>0.6</v>
      </c>
      <c r="P109" s="291">
        <f>IFERROR(_xlfn.LET(_xlpm.boxType, K109, _xlpm.tallos, N109, _xlpm.cost, O109, _xlpm.precio, Q109,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09" s="297">
        <v>1.79</v>
      </c>
      <c r="R109" s="292" t="s">
        <v>285</v>
      </c>
      <c r="S10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09" s="292">
        <v>0.6</v>
      </c>
      <c r="U10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09" s="294">
        <v>0.99</v>
      </c>
    </row>
    <row r="110" spans="1:22" x14ac:dyDescent="0.25">
      <c r="A110" s="277" t="s">
        <v>85</v>
      </c>
      <c r="B110" s="278">
        <f>_xlfn.XLOOKUP(Catalogo[[#This Row],[Finca]], Fincas[Nombre], Fincas[ID])</f>
        <v>38</v>
      </c>
      <c r="C110" s="277" t="s">
        <v>646</v>
      </c>
      <c r="D110" s="277" t="s">
        <v>788</v>
      </c>
      <c r="E110" s="277"/>
      <c r="F110" s="277" t="s">
        <v>503</v>
      </c>
      <c r="G110" s="277"/>
      <c r="H110" s="277"/>
      <c r="I110" s="311" t="s">
        <v>274</v>
      </c>
      <c r="J110" s="309"/>
      <c r="K110" s="278" t="s">
        <v>31</v>
      </c>
      <c r="L1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0" s="279" t="s">
        <v>383</v>
      </c>
      <c r="N110" s="279">
        <v>50</v>
      </c>
      <c r="O110" s="276">
        <v>0.7</v>
      </c>
      <c r="P110" s="280">
        <f>IFERROR(_xlfn.LET(_xlpm.boxType, K110, _xlpm.tallos, N110, _xlpm.cost, O110, _xlpm.precio, Q110,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10" s="296">
        <v>1.99</v>
      </c>
      <c r="R110" s="276" t="s">
        <v>283</v>
      </c>
      <c r="S1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0" s="276">
        <v>0.7</v>
      </c>
      <c r="U11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10" s="274">
        <v>1.19</v>
      </c>
    </row>
    <row r="111" spans="1:22" x14ac:dyDescent="0.25">
      <c r="A111" s="277" t="s">
        <v>85</v>
      </c>
      <c r="B111" s="278">
        <f>_xlfn.XLOOKUP(Catalogo[[#This Row],[Finca]], Fincas[Nombre], Fincas[ID])</f>
        <v>38</v>
      </c>
      <c r="C111" s="277" t="s">
        <v>646</v>
      </c>
      <c r="D111" s="277" t="s">
        <v>788</v>
      </c>
      <c r="E111" s="277"/>
      <c r="F111" s="277" t="s">
        <v>503</v>
      </c>
      <c r="G111" s="277"/>
      <c r="H111" s="277"/>
      <c r="I111" s="311" t="s">
        <v>274</v>
      </c>
      <c r="J111" s="309"/>
      <c r="K111" s="278" t="s">
        <v>35</v>
      </c>
      <c r="L1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1" s="279" t="s">
        <v>385</v>
      </c>
      <c r="N111" s="279">
        <v>125</v>
      </c>
      <c r="O111" s="276">
        <v>0.7</v>
      </c>
      <c r="P111" s="280">
        <f>IFERROR(_xlfn.LET(_xlpm.boxType, K111, _xlpm.tallos, N111, _xlpm.cost, O111, _xlpm.precio, Q111,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11" s="296">
        <v>1.89</v>
      </c>
      <c r="R111" s="276" t="s">
        <v>284</v>
      </c>
      <c r="S1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1" s="276">
        <v>0.7</v>
      </c>
      <c r="U11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11" s="274">
        <v>1.19</v>
      </c>
    </row>
    <row r="112" spans="1:22" ht="15.75" thickBot="1" x14ac:dyDescent="0.3">
      <c r="A112" s="277" t="s">
        <v>85</v>
      </c>
      <c r="B112" s="278">
        <f>_xlfn.XLOOKUP(Catalogo[[#This Row],[Finca]], Fincas[Nombre], Fincas[ID])</f>
        <v>38</v>
      </c>
      <c r="C112" s="277" t="s">
        <v>646</v>
      </c>
      <c r="D112" s="277" t="s">
        <v>788</v>
      </c>
      <c r="E112" s="277"/>
      <c r="F112" s="277" t="s">
        <v>503</v>
      </c>
      <c r="G112" s="277"/>
      <c r="H112" s="277"/>
      <c r="I112" s="311" t="s">
        <v>274</v>
      </c>
      <c r="J112" s="309"/>
      <c r="K112" s="278" t="s">
        <v>93</v>
      </c>
      <c r="L11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2" s="279" t="s">
        <v>387</v>
      </c>
      <c r="N112" s="279">
        <v>250</v>
      </c>
      <c r="O112" s="276">
        <v>0.7</v>
      </c>
      <c r="P112" s="280">
        <f>IFERROR(_xlfn.LET(_xlpm.boxType, K112, _xlpm.tallos, N112, _xlpm.cost, O112, _xlpm.precio, Q112,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12" s="296">
        <v>1.89</v>
      </c>
      <c r="R112" s="276" t="s">
        <v>285</v>
      </c>
      <c r="S11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2" s="276">
        <v>0.7</v>
      </c>
      <c r="U11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12" s="274">
        <v>1.19</v>
      </c>
    </row>
    <row r="113" spans="1:22" x14ac:dyDescent="0.25">
      <c r="A113" s="281" t="s">
        <v>85</v>
      </c>
      <c r="B113" s="282">
        <f>_xlfn.XLOOKUP(Catalogo[[#This Row],[Finca]], Fincas[Nombre], Fincas[ID])</f>
        <v>38</v>
      </c>
      <c r="C113" s="281" t="s">
        <v>646</v>
      </c>
      <c r="D113" s="281" t="s">
        <v>788</v>
      </c>
      <c r="E113" s="281"/>
      <c r="F113" s="281" t="s">
        <v>503</v>
      </c>
      <c r="G113" s="281"/>
      <c r="H113" s="281"/>
      <c r="I113" s="316" t="s">
        <v>275</v>
      </c>
      <c r="J113" s="308"/>
      <c r="K113" s="282" t="s">
        <v>31</v>
      </c>
      <c r="L11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3" s="283" t="s">
        <v>383</v>
      </c>
      <c r="N113" s="283">
        <v>50</v>
      </c>
      <c r="O113" s="285">
        <v>0.8</v>
      </c>
      <c r="P113" s="284">
        <f>IFERROR(_xlfn.LET(_xlpm.boxType, K113, _xlpm.tallos, N113, _xlpm.cost, O113, _xlpm.precio, Q113,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13" s="295">
        <v>2.19</v>
      </c>
      <c r="R113" s="285" t="s">
        <v>283</v>
      </c>
      <c r="S11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3" s="285">
        <v>0.8</v>
      </c>
      <c r="U11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13" s="287">
        <v>1.29</v>
      </c>
    </row>
    <row r="114" spans="1:22" x14ac:dyDescent="0.25">
      <c r="A114" s="277" t="s">
        <v>85</v>
      </c>
      <c r="B114" s="278">
        <f>_xlfn.XLOOKUP(Catalogo[[#This Row],[Finca]], Fincas[Nombre], Fincas[ID])</f>
        <v>38</v>
      </c>
      <c r="C114" s="277" t="s">
        <v>646</v>
      </c>
      <c r="D114" s="277" t="s">
        <v>788</v>
      </c>
      <c r="E114" s="277"/>
      <c r="F114" s="277" t="s">
        <v>503</v>
      </c>
      <c r="G114" s="277"/>
      <c r="H114" s="277"/>
      <c r="I114" s="311" t="s">
        <v>275</v>
      </c>
      <c r="J114" s="309"/>
      <c r="K114" s="278" t="s">
        <v>35</v>
      </c>
      <c r="L11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4" s="279" t="s">
        <v>385</v>
      </c>
      <c r="N114" s="279">
        <v>100</v>
      </c>
      <c r="O114" s="276">
        <v>0.8</v>
      </c>
      <c r="P114" s="280">
        <f>IFERROR(_xlfn.LET(_xlpm.boxType, K114, _xlpm.tallos, N114, _xlpm.cost, O114, _xlpm.precio, Q114,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14" s="296">
        <v>2.19</v>
      </c>
      <c r="R114" s="276" t="s">
        <v>284</v>
      </c>
      <c r="S11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4" s="276">
        <v>0.8</v>
      </c>
      <c r="U11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14" s="274">
        <v>1.29</v>
      </c>
    </row>
    <row r="115" spans="1:22" ht="15.75" thickBot="1" x14ac:dyDescent="0.3">
      <c r="A115" s="288" t="s">
        <v>85</v>
      </c>
      <c r="B115" s="289">
        <f>_xlfn.XLOOKUP(Catalogo[[#This Row],[Finca]], Fincas[Nombre], Fincas[ID])</f>
        <v>38</v>
      </c>
      <c r="C115" s="288" t="s">
        <v>646</v>
      </c>
      <c r="D115" s="288" t="s">
        <v>788</v>
      </c>
      <c r="E115" s="288"/>
      <c r="F115" s="288" t="s">
        <v>503</v>
      </c>
      <c r="G115" s="288"/>
      <c r="H115" s="288"/>
      <c r="I115" s="317" t="s">
        <v>275</v>
      </c>
      <c r="J115" s="310"/>
      <c r="K115" s="289" t="s">
        <v>93</v>
      </c>
      <c r="L11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5" s="290" t="s">
        <v>387</v>
      </c>
      <c r="N115" s="290">
        <v>200</v>
      </c>
      <c r="O115" s="292">
        <v>0.8</v>
      </c>
      <c r="P115" s="291">
        <f>IFERROR(_xlfn.LET(_xlpm.boxType, K115, _xlpm.tallos, N115, _xlpm.cost, O115, _xlpm.precio, Q115,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15" s="297">
        <v>2.19</v>
      </c>
      <c r="R115" s="292" t="s">
        <v>285</v>
      </c>
      <c r="S11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5" s="292">
        <v>0.8</v>
      </c>
      <c r="U11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15" s="294">
        <v>1.29</v>
      </c>
    </row>
    <row r="116" spans="1:22" x14ac:dyDescent="0.25">
      <c r="A116" s="281" t="s">
        <v>85</v>
      </c>
      <c r="B116" s="282">
        <f>_xlfn.XLOOKUP(Catalogo[[#This Row],[Finca]], Fincas[Nombre], Fincas[ID])</f>
        <v>38</v>
      </c>
      <c r="C116" s="281" t="s">
        <v>646</v>
      </c>
      <c r="D116" s="281" t="s">
        <v>789</v>
      </c>
      <c r="E116" s="281"/>
      <c r="F116" s="281" t="s">
        <v>576</v>
      </c>
      <c r="G116" s="281"/>
      <c r="H116" s="281"/>
      <c r="I116" s="316" t="s">
        <v>273</v>
      </c>
      <c r="J116" s="308"/>
      <c r="K116" s="282" t="s">
        <v>31</v>
      </c>
      <c r="L11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6" s="283" t="s">
        <v>383</v>
      </c>
      <c r="N116" s="283">
        <v>50</v>
      </c>
      <c r="O116" s="285">
        <v>0.6</v>
      </c>
      <c r="P116" s="284">
        <f>IFERROR(_xlfn.LET(_xlpm.boxType, K116, _xlpm.tallos, N116, _xlpm.cost, O116, _xlpm.precio, Q116,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16" s="295">
        <v>1.89</v>
      </c>
      <c r="R116" s="285" t="s">
        <v>283</v>
      </c>
      <c r="S11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6" s="285">
        <v>0.6</v>
      </c>
      <c r="U11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16" s="287">
        <v>1.0900000000000001</v>
      </c>
    </row>
    <row r="117" spans="1:22" x14ac:dyDescent="0.25">
      <c r="A117" s="277" t="s">
        <v>85</v>
      </c>
      <c r="B117" s="278">
        <f>_xlfn.XLOOKUP(Catalogo[[#This Row],[Finca]], Fincas[Nombre], Fincas[ID])</f>
        <v>38</v>
      </c>
      <c r="C117" s="277" t="s">
        <v>646</v>
      </c>
      <c r="D117" s="277" t="s">
        <v>789</v>
      </c>
      <c r="E117" s="277"/>
      <c r="F117" s="277" t="s">
        <v>576</v>
      </c>
      <c r="G117" s="277"/>
      <c r="H117" s="277"/>
      <c r="I117" s="311" t="s">
        <v>273</v>
      </c>
      <c r="J117" s="309"/>
      <c r="K117" s="278" t="s">
        <v>35</v>
      </c>
      <c r="L11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7" s="279" t="s">
        <v>385</v>
      </c>
      <c r="N117" s="279">
        <v>150</v>
      </c>
      <c r="O117" s="276">
        <v>0.6</v>
      </c>
      <c r="P117" s="280">
        <f>IFERROR(_xlfn.LET(_xlpm.boxType, K117, _xlpm.tallos, N117, _xlpm.cost, O117, _xlpm.precio, Q117,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17" s="296">
        <v>1.79</v>
      </c>
      <c r="R117" s="276" t="s">
        <v>284</v>
      </c>
      <c r="S11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7" s="276">
        <v>0.6</v>
      </c>
      <c r="U11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17" s="274">
        <v>0.99</v>
      </c>
    </row>
    <row r="118" spans="1:22" ht="15.75" thickBot="1" x14ac:dyDescent="0.3">
      <c r="A118" s="288" t="s">
        <v>85</v>
      </c>
      <c r="B118" s="289">
        <f>_xlfn.XLOOKUP(Catalogo[[#This Row],[Finca]], Fincas[Nombre], Fincas[ID])</f>
        <v>38</v>
      </c>
      <c r="C118" s="288" t="s">
        <v>646</v>
      </c>
      <c r="D118" s="288" t="s">
        <v>789</v>
      </c>
      <c r="E118" s="288"/>
      <c r="F118" s="288" t="s">
        <v>576</v>
      </c>
      <c r="G118" s="288"/>
      <c r="H118" s="288"/>
      <c r="I118" s="317" t="s">
        <v>273</v>
      </c>
      <c r="J118" s="310"/>
      <c r="K118" s="289" t="s">
        <v>93</v>
      </c>
      <c r="L11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8" s="290" t="s">
        <v>387</v>
      </c>
      <c r="N118" s="290">
        <v>300</v>
      </c>
      <c r="O118" s="292">
        <v>0.6</v>
      </c>
      <c r="P118" s="291">
        <f>IFERROR(_xlfn.LET(_xlpm.boxType, K118, _xlpm.tallos, N118, _xlpm.cost, O118, _xlpm.precio, Q118,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18" s="297">
        <v>1.79</v>
      </c>
      <c r="R118" s="292" t="s">
        <v>285</v>
      </c>
      <c r="S11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8" s="292">
        <v>0.6</v>
      </c>
      <c r="U11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18" s="294">
        <v>0.99</v>
      </c>
    </row>
    <row r="119" spans="1:22" x14ac:dyDescent="0.25">
      <c r="A119" s="277" t="s">
        <v>85</v>
      </c>
      <c r="B119" s="278">
        <f>_xlfn.XLOOKUP(Catalogo[[#This Row],[Finca]], Fincas[Nombre], Fincas[ID])</f>
        <v>38</v>
      </c>
      <c r="C119" s="277" t="s">
        <v>646</v>
      </c>
      <c r="D119" s="277" t="s">
        <v>789</v>
      </c>
      <c r="E119" s="277"/>
      <c r="F119" s="277" t="s">
        <v>576</v>
      </c>
      <c r="G119" s="277"/>
      <c r="H119" s="277"/>
      <c r="I119" s="311" t="s">
        <v>274</v>
      </c>
      <c r="J119" s="309"/>
      <c r="K119" s="278" t="s">
        <v>31</v>
      </c>
      <c r="L1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19" s="279" t="s">
        <v>383</v>
      </c>
      <c r="N119" s="279">
        <v>50</v>
      </c>
      <c r="O119" s="276">
        <v>0.7</v>
      </c>
      <c r="P119" s="280">
        <f>IFERROR(_xlfn.LET(_xlpm.boxType, K119, _xlpm.tallos, N119, _xlpm.cost, O119, _xlpm.precio, Q119,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19" s="296">
        <v>1.99</v>
      </c>
      <c r="R119" s="276" t="s">
        <v>283</v>
      </c>
      <c r="S1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19" s="276">
        <v>0.7</v>
      </c>
      <c r="U11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19" s="274">
        <v>1.19</v>
      </c>
    </row>
    <row r="120" spans="1:22" x14ac:dyDescent="0.25">
      <c r="A120" s="277" t="s">
        <v>85</v>
      </c>
      <c r="B120" s="278">
        <f>_xlfn.XLOOKUP(Catalogo[[#This Row],[Finca]], Fincas[Nombre], Fincas[ID])</f>
        <v>38</v>
      </c>
      <c r="C120" s="277" t="s">
        <v>646</v>
      </c>
      <c r="D120" s="277" t="s">
        <v>789</v>
      </c>
      <c r="E120" s="277"/>
      <c r="F120" s="277" t="s">
        <v>576</v>
      </c>
      <c r="G120" s="277"/>
      <c r="H120" s="277"/>
      <c r="I120" s="311" t="s">
        <v>274</v>
      </c>
      <c r="J120" s="309"/>
      <c r="K120" s="278" t="s">
        <v>35</v>
      </c>
      <c r="L1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0" s="279" t="s">
        <v>385</v>
      </c>
      <c r="N120" s="279">
        <v>125</v>
      </c>
      <c r="O120" s="276">
        <v>0.7</v>
      </c>
      <c r="P120" s="280">
        <f>IFERROR(_xlfn.LET(_xlpm.boxType, K120, _xlpm.tallos, N120, _xlpm.cost, O120, _xlpm.precio, Q120,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20" s="296">
        <v>1.89</v>
      </c>
      <c r="R120" s="276" t="s">
        <v>284</v>
      </c>
      <c r="S1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0" s="276">
        <v>0.7</v>
      </c>
      <c r="U12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20" s="274">
        <v>1.19</v>
      </c>
    </row>
    <row r="121" spans="1:22" ht="15.75" thickBot="1" x14ac:dyDescent="0.3">
      <c r="A121" s="277" t="s">
        <v>85</v>
      </c>
      <c r="B121" s="278">
        <f>_xlfn.XLOOKUP(Catalogo[[#This Row],[Finca]], Fincas[Nombre], Fincas[ID])</f>
        <v>38</v>
      </c>
      <c r="C121" s="277" t="s">
        <v>646</v>
      </c>
      <c r="D121" s="277" t="s">
        <v>789</v>
      </c>
      <c r="E121" s="277"/>
      <c r="F121" s="277" t="s">
        <v>576</v>
      </c>
      <c r="G121" s="277"/>
      <c r="H121" s="277"/>
      <c r="I121" s="311" t="s">
        <v>274</v>
      </c>
      <c r="J121" s="309"/>
      <c r="K121" s="278" t="s">
        <v>93</v>
      </c>
      <c r="L12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1" s="279" t="s">
        <v>387</v>
      </c>
      <c r="N121" s="279">
        <v>250</v>
      </c>
      <c r="O121" s="276">
        <v>0.7</v>
      </c>
      <c r="P121" s="280">
        <f>IFERROR(_xlfn.LET(_xlpm.boxType, K121, _xlpm.tallos, N121, _xlpm.cost, O121, _xlpm.precio, Q121,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21" s="296">
        <v>1.89</v>
      </c>
      <c r="R121" s="276" t="s">
        <v>285</v>
      </c>
      <c r="S12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1" s="276">
        <v>0.7</v>
      </c>
      <c r="U12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21" s="274">
        <v>1.19</v>
      </c>
    </row>
    <row r="122" spans="1:22" x14ac:dyDescent="0.25">
      <c r="A122" s="281" t="s">
        <v>85</v>
      </c>
      <c r="B122" s="282">
        <f>_xlfn.XLOOKUP(Catalogo[[#This Row],[Finca]], Fincas[Nombre], Fincas[ID])</f>
        <v>38</v>
      </c>
      <c r="C122" s="281" t="s">
        <v>646</v>
      </c>
      <c r="D122" s="281" t="s">
        <v>789</v>
      </c>
      <c r="E122" s="281"/>
      <c r="F122" s="281" t="s">
        <v>576</v>
      </c>
      <c r="G122" s="281"/>
      <c r="H122" s="281"/>
      <c r="I122" s="316" t="s">
        <v>275</v>
      </c>
      <c r="J122" s="308"/>
      <c r="K122" s="282" t="s">
        <v>31</v>
      </c>
      <c r="L12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2" s="283" t="s">
        <v>383</v>
      </c>
      <c r="N122" s="283">
        <v>50</v>
      </c>
      <c r="O122" s="285">
        <v>0.8</v>
      </c>
      <c r="P122" s="284">
        <f>IFERROR(_xlfn.LET(_xlpm.boxType, K122, _xlpm.tallos, N122, _xlpm.cost, O122, _xlpm.precio, Q122,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22" s="295">
        <v>2.19</v>
      </c>
      <c r="R122" s="285" t="s">
        <v>283</v>
      </c>
      <c r="S12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2" s="285">
        <v>0.8</v>
      </c>
      <c r="U12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22" s="287">
        <v>1.29</v>
      </c>
    </row>
    <row r="123" spans="1:22" x14ac:dyDescent="0.25">
      <c r="A123" s="277" t="s">
        <v>85</v>
      </c>
      <c r="B123" s="278">
        <f>_xlfn.XLOOKUP(Catalogo[[#This Row],[Finca]], Fincas[Nombre], Fincas[ID])</f>
        <v>38</v>
      </c>
      <c r="C123" s="277" t="s">
        <v>646</v>
      </c>
      <c r="D123" s="277" t="s">
        <v>789</v>
      </c>
      <c r="E123" s="277"/>
      <c r="F123" s="277" t="s">
        <v>576</v>
      </c>
      <c r="G123" s="277"/>
      <c r="H123" s="277"/>
      <c r="I123" s="311" t="s">
        <v>275</v>
      </c>
      <c r="J123" s="309"/>
      <c r="K123" s="278" t="s">
        <v>35</v>
      </c>
      <c r="L12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3" s="279" t="s">
        <v>385</v>
      </c>
      <c r="N123" s="279">
        <v>100</v>
      </c>
      <c r="O123" s="276">
        <v>0.8</v>
      </c>
      <c r="P123" s="280">
        <f>IFERROR(_xlfn.LET(_xlpm.boxType, K123, _xlpm.tallos, N123, _xlpm.cost, O123, _xlpm.precio, Q123,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23" s="296">
        <v>2.19</v>
      </c>
      <c r="R123" s="276" t="s">
        <v>284</v>
      </c>
      <c r="S12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3" s="276">
        <v>0.8</v>
      </c>
      <c r="U12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23" s="274">
        <v>1.29</v>
      </c>
    </row>
    <row r="124" spans="1:22" ht="15.75" thickBot="1" x14ac:dyDescent="0.3">
      <c r="A124" s="288" t="s">
        <v>85</v>
      </c>
      <c r="B124" s="289">
        <f>_xlfn.XLOOKUP(Catalogo[[#This Row],[Finca]], Fincas[Nombre], Fincas[ID])</f>
        <v>38</v>
      </c>
      <c r="C124" s="288" t="s">
        <v>646</v>
      </c>
      <c r="D124" s="288" t="s">
        <v>789</v>
      </c>
      <c r="E124" s="288"/>
      <c r="F124" s="288" t="s">
        <v>576</v>
      </c>
      <c r="G124" s="288"/>
      <c r="H124" s="288"/>
      <c r="I124" s="317" t="s">
        <v>275</v>
      </c>
      <c r="J124" s="310"/>
      <c r="K124" s="289" t="s">
        <v>93</v>
      </c>
      <c r="L12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4" s="290" t="s">
        <v>387</v>
      </c>
      <c r="N124" s="290">
        <v>200</v>
      </c>
      <c r="O124" s="292">
        <v>0.8</v>
      </c>
      <c r="P124" s="291">
        <f>IFERROR(_xlfn.LET(_xlpm.boxType, K124, _xlpm.tallos, N124, _xlpm.cost, O124, _xlpm.precio, Q124,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24" s="297">
        <v>2.19</v>
      </c>
      <c r="R124" s="292" t="s">
        <v>285</v>
      </c>
      <c r="S12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4" s="292">
        <v>0.8</v>
      </c>
      <c r="U12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24" s="294">
        <v>1.29</v>
      </c>
    </row>
    <row r="125" spans="1:22" x14ac:dyDescent="0.25">
      <c r="A125" s="281" t="s">
        <v>85</v>
      </c>
      <c r="B125" s="282">
        <f>_xlfn.XLOOKUP(Catalogo[[#This Row],[Finca]], Fincas[Nombre], Fincas[ID])</f>
        <v>38</v>
      </c>
      <c r="C125" s="281" t="s">
        <v>646</v>
      </c>
      <c r="D125" s="281" t="s">
        <v>790</v>
      </c>
      <c r="E125" s="281"/>
      <c r="F125" s="281" t="s">
        <v>526</v>
      </c>
      <c r="G125" s="281"/>
      <c r="H125" s="281"/>
      <c r="I125" s="316" t="s">
        <v>273</v>
      </c>
      <c r="J125" s="308"/>
      <c r="K125" s="282" t="s">
        <v>31</v>
      </c>
      <c r="L12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5" s="283" t="s">
        <v>383</v>
      </c>
      <c r="N125" s="283">
        <v>50</v>
      </c>
      <c r="O125" s="285">
        <v>0.6</v>
      </c>
      <c r="P125" s="284">
        <f>IFERROR(_xlfn.LET(_xlpm.boxType, K125, _xlpm.tallos, N125, _xlpm.cost, O125, _xlpm.precio, Q125,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25" s="295">
        <v>1.89</v>
      </c>
      <c r="R125" s="285" t="s">
        <v>283</v>
      </c>
      <c r="S12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5" s="285">
        <v>0.6</v>
      </c>
      <c r="U12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25" s="287">
        <v>1.0900000000000001</v>
      </c>
    </row>
    <row r="126" spans="1:22" x14ac:dyDescent="0.25">
      <c r="A126" s="277" t="s">
        <v>85</v>
      </c>
      <c r="B126" s="278">
        <f>_xlfn.XLOOKUP(Catalogo[[#This Row],[Finca]], Fincas[Nombre], Fincas[ID])</f>
        <v>38</v>
      </c>
      <c r="C126" s="277" t="s">
        <v>646</v>
      </c>
      <c r="D126" s="277" t="s">
        <v>790</v>
      </c>
      <c r="E126" s="277"/>
      <c r="F126" s="277" t="s">
        <v>526</v>
      </c>
      <c r="G126" s="277"/>
      <c r="H126" s="277"/>
      <c r="I126" s="311" t="s">
        <v>273</v>
      </c>
      <c r="J126" s="309"/>
      <c r="K126" s="278" t="s">
        <v>35</v>
      </c>
      <c r="L12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6" s="279" t="s">
        <v>385</v>
      </c>
      <c r="N126" s="279">
        <v>150</v>
      </c>
      <c r="O126" s="276">
        <v>0.6</v>
      </c>
      <c r="P126" s="280">
        <f>IFERROR(_xlfn.LET(_xlpm.boxType, K126, _xlpm.tallos, N126, _xlpm.cost, O126, _xlpm.precio, Q126,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26" s="296">
        <v>1.79</v>
      </c>
      <c r="R126" s="276" t="s">
        <v>284</v>
      </c>
      <c r="S12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6" s="276">
        <v>0.6</v>
      </c>
      <c r="U12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26" s="274">
        <v>0.99</v>
      </c>
    </row>
    <row r="127" spans="1:22" ht="15.75" thickBot="1" x14ac:dyDescent="0.3">
      <c r="A127" s="288" t="s">
        <v>85</v>
      </c>
      <c r="B127" s="289">
        <f>_xlfn.XLOOKUP(Catalogo[[#This Row],[Finca]], Fincas[Nombre], Fincas[ID])</f>
        <v>38</v>
      </c>
      <c r="C127" s="288" t="s">
        <v>646</v>
      </c>
      <c r="D127" s="288" t="s">
        <v>790</v>
      </c>
      <c r="E127" s="288"/>
      <c r="F127" s="288" t="s">
        <v>526</v>
      </c>
      <c r="G127" s="288"/>
      <c r="H127" s="288"/>
      <c r="I127" s="317" t="s">
        <v>273</v>
      </c>
      <c r="J127" s="310"/>
      <c r="K127" s="289" t="s">
        <v>93</v>
      </c>
      <c r="L12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7" s="290" t="s">
        <v>387</v>
      </c>
      <c r="N127" s="290">
        <v>300</v>
      </c>
      <c r="O127" s="292">
        <v>0.6</v>
      </c>
      <c r="P127" s="291">
        <f>IFERROR(_xlfn.LET(_xlpm.boxType, K127, _xlpm.tallos, N127, _xlpm.cost, O127, _xlpm.precio, Q127,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27" s="297">
        <v>1.79</v>
      </c>
      <c r="R127" s="292" t="s">
        <v>285</v>
      </c>
      <c r="S12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7" s="292">
        <v>0.6</v>
      </c>
      <c r="U12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27" s="294">
        <v>0.99</v>
      </c>
    </row>
    <row r="128" spans="1:22" x14ac:dyDescent="0.25">
      <c r="A128" s="277" t="s">
        <v>85</v>
      </c>
      <c r="B128" s="278">
        <f>_xlfn.XLOOKUP(Catalogo[[#This Row],[Finca]], Fincas[Nombre], Fincas[ID])</f>
        <v>38</v>
      </c>
      <c r="C128" s="277" t="s">
        <v>646</v>
      </c>
      <c r="D128" s="277" t="s">
        <v>790</v>
      </c>
      <c r="E128" s="277"/>
      <c r="F128" s="277" t="s">
        <v>526</v>
      </c>
      <c r="G128" s="277"/>
      <c r="H128" s="277"/>
      <c r="I128" s="311" t="s">
        <v>274</v>
      </c>
      <c r="J128" s="309"/>
      <c r="K128" s="278" t="s">
        <v>31</v>
      </c>
      <c r="L12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8" s="279" t="s">
        <v>383</v>
      </c>
      <c r="N128" s="279">
        <v>50</v>
      </c>
      <c r="O128" s="276">
        <v>0.7</v>
      </c>
      <c r="P128" s="280">
        <f>IFERROR(_xlfn.LET(_xlpm.boxType, K128, _xlpm.tallos, N128, _xlpm.cost, O128, _xlpm.precio, Q128,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28" s="296">
        <v>1.99</v>
      </c>
      <c r="R128" s="276" t="s">
        <v>283</v>
      </c>
      <c r="S12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8" s="276">
        <v>0.7</v>
      </c>
      <c r="U12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28" s="274">
        <v>1.19</v>
      </c>
    </row>
    <row r="129" spans="1:22" x14ac:dyDescent="0.25">
      <c r="A129" s="277" t="s">
        <v>85</v>
      </c>
      <c r="B129" s="278">
        <f>_xlfn.XLOOKUP(Catalogo[[#This Row],[Finca]], Fincas[Nombre], Fincas[ID])</f>
        <v>38</v>
      </c>
      <c r="C129" s="277" t="s">
        <v>646</v>
      </c>
      <c r="D129" s="277" t="s">
        <v>790</v>
      </c>
      <c r="E129" s="277"/>
      <c r="F129" s="277" t="s">
        <v>526</v>
      </c>
      <c r="G129" s="277"/>
      <c r="H129" s="277"/>
      <c r="I129" s="311" t="s">
        <v>274</v>
      </c>
      <c r="J129" s="309"/>
      <c r="K129" s="278" t="s">
        <v>35</v>
      </c>
      <c r="L1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29" s="279" t="s">
        <v>385</v>
      </c>
      <c r="N129" s="279">
        <v>125</v>
      </c>
      <c r="O129" s="276">
        <v>0.7</v>
      </c>
      <c r="P129" s="280">
        <f>IFERROR(_xlfn.LET(_xlpm.boxType, K129, _xlpm.tallos, N129, _xlpm.cost, O129, _xlpm.precio, Q129,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29" s="296">
        <v>1.89</v>
      </c>
      <c r="R129" s="276" t="s">
        <v>284</v>
      </c>
      <c r="S1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29" s="276">
        <v>0.7</v>
      </c>
      <c r="U12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29" s="274">
        <v>1.19</v>
      </c>
    </row>
    <row r="130" spans="1:22" ht="15.75" thickBot="1" x14ac:dyDescent="0.3">
      <c r="A130" s="277" t="s">
        <v>85</v>
      </c>
      <c r="B130" s="278">
        <f>_xlfn.XLOOKUP(Catalogo[[#This Row],[Finca]], Fincas[Nombre], Fincas[ID])</f>
        <v>38</v>
      </c>
      <c r="C130" s="277" t="s">
        <v>646</v>
      </c>
      <c r="D130" s="277" t="s">
        <v>790</v>
      </c>
      <c r="E130" s="277"/>
      <c r="F130" s="277" t="s">
        <v>526</v>
      </c>
      <c r="G130" s="277"/>
      <c r="H130" s="277"/>
      <c r="I130" s="311" t="s">
        <v>274</v>
      </c>
      <c r="J130" s="309"/>
      <c r="K130" s="278" t="s">
        <v>93</v>
      </c>
      <c r="L1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0" s="279" t="s">
        <v>387</v>
      </c>
      <c r="N130" s="279">
        <v>250</v>
      </c>
      <c r="O130" s="276">
        <v>0.7</v>
      </c>
      <c r="P130" s="280">
        <f>IFERROR(_xlfn.LET(_xlpm.boxType, K130, _xlpm.tallos, N130, _xlpm.cost, O130, _xlpm.precio, Q130,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30" s="296">
        <v>1.89</v>
      </c>
      <c r="R130" s="276" t="s">
        <v>285</v>
      </c>
      <c r="S1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0" s="276">
        <v>0.7</v>
      </c>
      <c r="U13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30" s="274">
        <v>1.19</v>
      </c>
    </row>
    <row r="131" spans="1:22" x14ac:dyDescent="0.25">
      <c r="A131" s="281" t="s">
        <v>85</v>
      </c>
      <c r="B131" s="282">
        <f>_xlfn.XLOOKUP(Catalogo[[#This Row],[Finca]], Fincas[Nombre], Fincas[ID])</f>
        <v>38</v>
      </c>
      <c r="C131" s="281" t="s">
        <v>646</v>
      </c>
      <c r="D131" s="281" t="s">
        <v>790</v>
      </c>
      <c r="E131" s="281"/>
      <c r="F131" s="281" t="s">
        <v>526</v>
      </c>
      <c r="G131" s="281"/>
      <c r="H131" s="281"/>
      <c r="I131" s="316" t="s">
        <v>275</v>
      </c>
      <c r="J131" s="308"/>
      <c r="K131" s="282" t="s">
        <v>31</v>
      </c>
      <c r="L13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1" s="283" t="s">
        <v>383</v>
      </c>
      <c r="N131" s="283">
        <v>50</v>
      </c>
      <c r="O131" s="285">
        <v>0.8</v>
      </c>
      <c r="P131" s="284">
        <f>IFERROR(_xlfn.LET(_xlpm.boxType, K131, _xlpm.tallos, N131, _xlpm.cost, O131, _xlpm.precio, Q131,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31" s="295">
        <v>2.19</v>
      </c>
      <c r="R131" s="285" t="s">
        <v>283</v>
      </c>
      <c r="S13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1" s="285">
        <v>0.8</v>
      </c>
      <c r="U13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31" s="287">
        <v>1.29</v>
      </c>
    </row>
    <row r="132" spans="1:22" x14ac:dyDescent="0.25">
      <c r="A132" s="277" t="s">
        <v>85</v>
      </c>
      <c r="B132" s="278">
        <f>_xlfn.XLOOKUP(Catalogo[[#This Row],[Finca]], Fincas[Nombre], Fincas[ID])</f>
        <v>38</v>
      </c>
      <c r="C132" s="277" t="s">
        <v>646</v>
      </c>
      <c r="D132" s="277" t="s">
        <v>790</v>
      </c>
      <c r="E132" s="277"/>
      <c r="F132" s="277" t="s">
        <v>526</v>
      </c>
      <c r="G132" s="277"/>
      <c r="H132" s="277"/>
      <c r="I132" s="311" t="s">
        <v>275</v>
      </c>
      <c r="J132" s="309"/>
      <c r="K132" s="278" t="s">
        <v>35</v>
      </c>
      <c r="L13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2" s="279" t="s">
        <v>385</v>
      </c>
      <c r="N132" s="279">
        <v>100</v>
      </c>
      <c r="O132" s="276">
        <v>0.8</v>
      </c>
      <c r="P132" s="280">
        <f>IFERROR(_xlfn.LET(_xlpm.boxType, K132, _xlpm.tallos, N132, _xlpm.cost, O132, _xlpm.precio, Q132,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32" s="296">
        <v>2.19</v>
      </c>
      <c r="R132" s="276" t="s">
        <v>284</v>
      </c>
      <c r="S13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2" s="276">
        <v>0.8</v>
      </c>
      <c r="U13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32" s="274">
        <v>1.29</v>
      </c>
    </row>
    <row r="133" spans="1:22" ht="15.75" thickBot="1" x14ac:dyDescent="0.3">
      <c r="A133" s="288" t="s">
        <v>85</v>
      </c>
      <c r="B133" s="289">
        <f>_xlfn.XLOOKUP(Catalogo[[#This Row],[Finca]], Fincas[Nombre], Fincas[ID])</f>
        <v>38</v>
      </c>
      <c r="C133" s="288" t="s">
        <v>646</v>
      </c>
      <c r="D133" s="288" t="s">
        <v>790</v>
      </c>
      <c r="E133" s="288"/>
      <c r="F133" s="288" t="s">
        <v>526</v>
      </c>
      <c r="G133" s="288"/>
      <c r="H133" s="288"/>
      <c r="I133" s="317" t="s">
        <v>275</v>
      </c>
      <c r="J133" s="310"/>
      <c r="K133" s="289" t="s">
        <v>93</v>
      </c>
      <c r="L13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3" s="290" t="s">
        <v>387</v>
      </c>
      <c r="N133" s="290">
        <v>200</v>
      </c>
      <c r="O133" s="292">
        <v>0.8</v>
      </c>
      <c r="P133" s="291">
        <f>IFERROR(_xlfn.LET(_xlpm.boxType, K133, _xlpm.tallos, N133, _xlpm.cost, O133, _xlpm.precio, Q133,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33" s="297">
        <v>2.19</v>
      </c>
      <c r="R133" s="292" t="s">
        <v>285</v>
      </c>
      <c r="S13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3" s="292">
        <v>0.8</v>
      </c>
      <c r="U13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33" s="294">
        <v>1.29</v>
      </c>
    </row>
    <row r="134" spans="1:22" x14ac:dyDescent="0.25">
      <c r="A134" s="281" t="s">
        <v>85</v>
      </c>
      <c r="B134" s="282">
        <f>_xlfn.XLOOKUP(Catalogo[[#This Row],[Finca]], Fincas[Nombre], Fincas[ID])</f>
        <v>38</v>
      </c>
      <c r="C134" s="281" t="s">
        <v>646</v>
      </c>
      <c r="D134" s="281" t="s">
        <v>791</v>
      </c>
      <c r="E134" s="281"/>
      <c r="F134" s="281" t="s">
        <v>583</v>
      </c>
      <c r="G134" s="281"/>
      <c r="H134" s="281"/>
      <c r="I134" s="316" t="s">
        <v>273</v>
      </c>
      <c r="J134" s="308"/>
      <c r="K134" s="282" t="s">
        <v>31</v>
      </c>
      <c r="L13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4" s="283" t="s">
        <v>383</v>
      </c>
      <c r="N134" s="283">
        <v>50</v>
      </c>
      <c r="O134" s="285">
        <v>0.6</v>
      </c>
      <c r="P134" s="284">
        <f>IFERROR(_xlfn.LET(_xlpm.boxType, K134, _xlpm.tallos, N134, _xlpm.cost, O134, _xlpm.precio, Q134,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34" s="295">
        <v>1.89</v>
      </c>
      <c r="R134" s="285" t="s">
        <v>283</v>
      </c>
      <c r="S13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4" s="285">
        <v>0.6</v>
      </c>
      <c r="U13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34" s="287">
        <v>1.0900000000000001</v>
      </c>
    </row>
    <row r="135" spans="1:22" x14ac:dyDescent="0.25">
      <c r="A135" s="277" t="s">
        <v>85</v>
      </c>
      <c r="B135" s="278">
        <f>_xlfn.XLOOKUP(Catalogo[[#This Row],[Finca]], Fincas[Nombre], Fincas[ID])</f>
        <v>38</v>
      </c>
      <c r="C135" s="277" t="s">
        <v>646</v>
      </c>
      <c r="D135" s="277" t="s">
        <v>791</v>
      </c>
      <c r="E135" s="277"/>
      <c r="F135" s="277" t="s">
        <v>583</v>
      </c>
      <c r="G135" s="277"/>
      <c r="H135" s="277"/>
      <c r="I135" s="311" t="s">
        <v>273</v>
      </c>
      <c r="J135" s="309"/>
      <c r="K135" s="278" t="s">
        <v>35</v>
      </c>
      <c r="L13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5" s="279" t="s">
        <v>385</v>
      </c>
      <c r="N135" s="279">
        <v>150</v>
      </c>
      <c r="O135" s="276">
        <v>0.6</v>
      </c>
      <c r="P135" s="280">
        <f>IFERROR(_xlfn.LET(_xlpm.boxType, K135, _xlpm.tallos, N135, _xlpm.cost, O135, _xlpm.precio, Q135,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35" s="296">
        <v>1.79</v>
      </c>
      <c r="R135" s="276" t="s">
        <v>284</v>
      </c>
      <c r="S13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5" s="276">
        <v>0.6</v>
      </c>
      <c r="U13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35" s="274">
        <v>0.99</v>
      </c>
    </row>
    <row r="136" spans="1:22" ht="15.75" thickBot="1" x14ac:dyDescent="0.3">
      <c r="A136" s="288" t="s">
        <v>85</v>
      </c>
      <c r="B136" s="289">
        <f>_xlfn.XLOOKUP(Catalogo[[#This Row],[Finca]], Fincas[Nombre], Fincas[ID])</f>
        <v>38</v>
      </c>
      <c r="C136" s="288" t="s">
        <v>646</v>
      </c>
      <c r="D136" s="288" t="s">
        <v>791</v>
      </c>
      <c r="E136" s="288"/>
      <c r="F136" s="288" t="s">
        <v>583</v>
      </c>
      <c r="G136" s="288"/>
      <c r="H136" s="288"/>
      <c r="I136" s="317" t="s">
        <v>273</v>
      </c>
      <c r="J136" s="310"/>
      <c r="K136" s="289" t="s">
        <v>93</v>
      </c>
      <c r="L13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6" s="290" t="s">
        <v>387</v>
      </c>
      <c r="N136" s="290">
        <v>300</v>
      </c>
      <c r="O136" s="292">
        <v>0.6</v>
      </c>
      <c r="P136" s="291">
        <f>IFERROR(_xlfn.LET(_xlpm.boxType, K136, _xlpm.tallos, N136, _xlpm.cost, O136, _xlpm.precio, Q136,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36" s="297">
        <v>1.79</v>
      </c>
      <c r="R136" s="292" t="s">
        <v>285</v>
      </c>
      <c r="S13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6" s="292">
        <v>0.6</v>
      </c>
      <c r="U13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36" s="294">
        <v>0.99</v>
      </c>
    </row>
    <row r="137" spans="1:22" x14ac:dyDescent="0.25">
      <c r="A137" s="277" t="s">
        <v>85</v>
      </c>
      <c r="B137" s="278">
        <f>_xlfn.XLOOKUP(Catalogo[[#This Row],[Finca]], Fincas[Nombre], Fincas[ID])</f>
        <v>38</v>
      </c>
      <c r="C137" s="277" t="s">
        <v>646</v>
      </c>
      <c r="D137" s="277" t="s">
        <v>791</v>
      </c>
      <c r="E137" s="277"/>
      <c r="F137" s="277" t="s">
        <v>583</v>
      </c>
      <c r="G137" s="277"/>
      <c r="H137" s="277"/>
      <c r="I137" s="311" t="s">
        <v>274</v>
      </c>
      <c r="J137" s="309"/>
      <c r="K137" s="278" t="s">
        <v>31</v>
      </c>
      <c r="L13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7" s="279" t="s">
        <v>383</v>
      </c>
      <c r="N137" s="279">
        <v>50</v>
      </c>
      <c r="O137" s="276">
        <v>0.7</v>
      </c>
      <c r="P137" s="280">
        <f>IFERROR(_xlfn.LET(_xlpm.boxType, K137, _xlpm.tallos, N137, _xlpm.cost, O137, _xlpm.precio, Q137,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37" s="296">
        <v>1.99</v>
      </c>
      <c r="R137" s="276" t="s">
        <v>283</v>
      </c>
      <c r="S13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7" s="276">
        <v>0.7</v>
      </c>
      <c r="U13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37" s="274">
        <v>1.19</v>
      </c>
    </row>
    <row r="138" spans="1:22" x14ac:dyDescent="0.25">
      <c r="A138" s="277" t="s">
        <v>85</v>
      </c>
      <c r="B138" s="278">
        <f>_xlfn.XLOOKUP(Catalogo[[#This Row],[Finca]], Fincas[Nombre], Fincas[ID])</f>
        <v>38</v>
      </c>
      <c r="C138" s="277" t="s">
        <v>646</v>
      </c>
      <c r="D138" s="277" t="s">
        <v>791</v>
      </c>
      <c r="E138" s="277"/>
      <c r="F138" s="277" t="s">
        <v>583</v>
      </c>
      <c r="G138" s="277"/>
      <c r="H138" s="277"/>
      <c r="I138" s="311" t="s">
        <v>274</v>
      </c>
      <c r="J138" s="309"/>
      <c r="K138" s="278" t="s">
        <v>35</v>
      </c>
      <c r="L1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8" s="279" t="s">
        <v>385</v>
      </c>
      <c r="N138" s="279">
        <v>125</v>
      </c>
      <c r="O138" s="276">
        <v>0.7</v>
      </c>
      <c r="P138" s="280">
        <f>IFERROR(_xlfn.LET(_xlpm.boxType, K138, _xlpm.tallos, N138, _xlpm.cost, O138, _xlpm.precio, Q138,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38" s="296">
        <v>1.89</v>
      </c>
      <c r="R138" s="276" t="s">
        <v>284</v>
      </c>
      <c r="S1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8" s="276">
        <v>0.7</v>
      </c>
      <c r="U1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38" s="274">
        <v>1.19</v>
      </c>
    </row>
    <row r="139" spans="1:22" ht="15.75" thickBot="1" x14ac:dyDescent="0.3">
      <c r="A139" s="277" t="s">
        <v>85</v>
      </c>
      <c r="B139" s="278">
        <f>_xlfn.XLOOKUP(Catalogo[[#This Row],[Finca]], Fincas[Nombre], Fincas[ID])</f>
        <v>38</v>
      </c>
      <c r="C139" s="277" t="s">
        <v>646</v>
      </c>
      <c r="D139" s="277" t="s">
        <v>791</v>
      </c>
      <c r="E139" s="277"/>
      <c r="F139" s="277" t="s">
        <v>583</v>
      </c>
      <c r="G139" s="277"/>
      <c r="H139" s="277"/>
      <c r="I139" s="311" t="s">
        <v>274</v>
      </c>
      <c r="J139" s="309"/>
      <c r="K139" s="278" t="s">
        <v>93</v>
      </c>
      <c r="L1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39" s="279" t="s">
        <v>387</v>
      </c>
      <c r="N139" s="279">
        <v>250</v>
      </c>
      <c r="O139" s="276">
        <v>0.7</v>
      </c>
      <c r="P139" s="280">
        <f>IFERROR(_xlfn.LET(_xlpm.boxType, K139, _xlpm.tallos, N139, _xlpm.cost, O139, _xlpm.precio, Q139,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39" s="296">
        <v>1.89</v>
      </c>
      <c r="R139" s="276" t="s">
        <v>285</v>
      </c>
      <c r="S1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39" s="276">
        <v>0.7</v>
      </c>
      <c r="U13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39" s="274">
        <v>1.19</v>
      </c>
    </row>
    <row r="140" spans="1:22" x14ac:dyDescent="0.25">
      <c r="A140" s="281" t="s">
        <v>85</v>
      </c>
      <c r="B140" s="282">
        <f>_xlfn.XLOOKUP(Catalogo[[#This Row],[Finca]], Fincas[Nombre], Fincas[ID])</f>
        <v>38</v>
      </c>
      <c r="C140" s="281" t="s">
        <v>646</v>
      </c>
      <c r="D140" s="281" t="s">
        <v>791</v>
      </c>
      <c r="E140" s="281"/>
      <c r="F140" s="281" t="s">
        <v>583</v>
      </c>
      <c r="G140" s="281"/>
      <c r="H140" s="281"/>
      <c r="I140" s="316" t="s">
        <v>275</v>
      </c>
      <c r="J140" s="308"/>
      <c r="K140" s="282" t="s">
        <v>31</v>
      </c>
      <c r="L14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0" s="283" t="s">
        <v>383</v>
      </c>
      <c r="N140" s="283">
        <v>50</v>
      </c>
      <c r="O140" s="285">
        <v>0.8</v>
      </c>
      <c r="P140" s="284">
        <f>IFERROR(_xlfn.LET(_xlpm.boxType, K140, _xlpm.tallos, N140, _xlpm.cost, O140, _xlpm.precio, Q140,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40" s="295">
        <v>2.19</v>
      </c>
      <c r="R140" s="285" t="s">
        <v>283</v>
      </c>
      <c r="S14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0" s="285">
        <v>0.8</v>
      </c>
      <c r="U14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40" s="287">
        <v>1.29</v>
      </c>
    </row>
    <row r="141" spans="1:22" x14ac:dyDescent="0.25">
      <c r="A141" s="277" t="s">
        <v>85</v>
      </c>
      <c r="B141" s="278">
        <f>_xlfn.XLOOKUP(Catalogo[[#This Row],[Finca]], Fincas[Nombre], Fincas[ID])</f>
        <v>38</v>
      </c>
      <c r="C141" s="277" t="s">
        <v>646</v>
      </c>
      <c r="D141" s="277" t="s">
        <v>791</v>
      </c>
      <c r="E141" s="277"/>
      <c r="F141" s="277" t="s">
        <v>583</v>
      </c>
      <c r="G141" s="277"/>
      <c r="H141" s="277"/>
      <c r="I141" s="311" t="s">
        <v>275</v>
      </c>
      <c r="J141" s="309"/>
      <c r="K141" s="278" t="s">
        <v>35</v>
      </c>
      <c r="L14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1" s="279" t="s">
        <v>385</v>
      </c>
      <c r="N141" s="279">
        <v>100</v>
      </c>
      <c r="O141" s="276">
        <v>0.8</v>
      </c>
      <c r="P141" s="280">
        <f>IFERROR(_xlfn.LET(_xlpm.boxType, K141, _xlpm.tallos, N141, _xlpm.cost, O141, _xlpm.precio, Q141,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41" s="296">
        <v>2.19</v>
      </c>
      <c r="R141" s="276" t="s">
        <v>284</v>
      </c>
      <c r="S14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1" s="276">
        <v>0.8</v>
      </c>
      <c r="U14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41" s="274">
        <v>1.29</v>
      </c>
    </row>
    <row r="142" spans="1:22" ht="15.75" thickBot="1" x14ac:dyDescent="0.3">
      <c r="A142" s="288" t="s">
        <v>85</v>
      </c>
      <c r="B142" s="289">
        <f>_xlfn.XLOOKUP(Catalogo[[#This Row],[Finca]], Fincas[Nombre], Fincas[ID])</f>
        <v>38</v>
      </c>
      <c r="C142" s="288" t="s">
        <v>646</v>
      </c>
      <c r="D142" s="288" t="s">
        <v>791</v>
      </c>
      <c r="E142" s="288"/>
      <c r="F142" s="288" t="s">
        <v>583</v>
      </c>
      <c r="G142" s="288"/>
      <c r="H142" s="288"/>
      <c r="I142" s="317" t="s">
        <v>275</v>
      </c>
      <c r="J142" s="310"/>
      <c r="K142" s="289" t="s">
        <v>93</v>
      </c>
      <c r="L14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2" s="290" t="s">
        <v>387</v>
      </c>
      <c r="N142" s="290">
        <v>200</v>
      </c>
      <c r="O142" s="292">
        <v>0.8</v>
      </c>
      <c r="P142" s="291">
        <f>IFERROR(_xlfn.LET(_xlpm.boxType, K142, _xlpm.tallos, N142, _xlpm.cost, O142, _xlpm.precio, Q142,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42" s="297">
        <v>2.19</v>
      </c>
      <c r="R142" s="292" t="s">
        <v>285</v>
      </c>
      <c r="S14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2" s="292">
        <v>0.8</v>
      </c>
      <c r="U14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42" s="294">
        <v>1.29</v>
      </c>
    </row>
    <row r="143" spans="1:22" x14ac:dyDescent="0.25">
      <c r="A143" s="281" t="s">
        <v>85</v>
      </c>
      <c r="B143" s="282">
        <f>_xlfn.XLOOKUP(Catalogo[[#This Row],[Finca]], Fincas[Nombre], Fincas[ID])</f>
        <v>38</v>
      </c>
      <c r="C143" s="281" t="s">
        <v>646</v>
      </c>
      <c r="D143" s="281" t="s">
        <v>792</v>
      </c>
      <c r="E143" s="281"/>
      <c r="F143" s="281" t="s">
        <v>503</v>
      </c>
      <c r="G143" s="281"/>
      <c r="H143" s="281"/>
      <c r="I143" s="316" t="s">
        <v>273</v>
      </c>
      <c r="J143" s="308"/>
      <c r="K143" s="282" t="s">
        <v>31</v>
      </c>
      <c r="L14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3" s="283" t="s">
        <v>383</v>
      </c>
      <c r="N143" s="283">
        <v>50</v>
      </c>
      <c r="O143" s="285">
        <v>0.6</v>
      </c>
      <c r="P143" s="284">
        <f>IFERROR(_xlfn.LET(_xlpm.boxType, K143, _xlpm.tallos, N143, _xlpm.cost, O143, _xlpm.precio, Q143,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43" s="295">
        <v>1.89</v>
      </c>
      <c r="R143" s="285" t="s">
        <v>283</v>
      </c>
      <c r="S14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3" s="285">
        <v>0.6</v>
      </c>
      <c r="U14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43" s="287">
        <v>1.0900000000000001</v>
      </c>
    </row>
    <row r="144" spans="1:22" x14ac:dyDescent="0.25">
      <c r="A144" s="277" t="s">
        <v>85</v>
      </c>
      <c r="B144" s="278">
        <f>_xlfn.XLOOKUP(Catalogo[[#This Row],[Finca]], Fincas[Nombre], Fincas[ID])</f>
        <v>38</v>
      </c>
      <c r="C144" s="277" t="s">
        <v>646</v>
      </c>
      <c r="D144" s="277" t="s">
        <v>792</v>
      </c>
      <c r="E144" s="277"/>
      <c r="F144" s="277" t="s">
        <v>503</v>
      </c>
      <c r="G144" s="277"/>
      <c r="H144" s="277"/>
      <c r="I144" s="311" t="s">
        <v>273</v>
      </c>
      <c r="J144" s="309"/>
      <c r="K144" s="278" t="s">
        <v>35</v>
      </c>
      <c r="L14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4" s="279" t="s">
        <v>385</v>
      </c>
      <c r="N144" s="279">
        <v>150</v>
      </c>
      <c r="O144" s="276">
        <v>0.6</v>
      </c>
      <c r="P144" s="280">
        <f>IFERROR(_xlfn.LET(_xlpm.boxType, K144, _xlpm.tallos, N144, _xlpm.cost, O144, _xlpm.precio, Q144,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44" s="296">
        <v>1.79</v>
      </c>
      <c r="R144" s="276" t="s">
        <v>284</v>
      </c>
      <c r="S14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4" s="276">
        <v>0.6</v>
      </c>
      <c r="U14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44" s="274">
        <v>0.99</v>
      </c>
    </row>
    <row r="145" spans="1:22" ht="15.75" thickBot="1" x14ac:dyDescent="0.3">
      <c r="A145" s="288" t="s">
        <v>85</v>
      </c>
      <c r="B145" s="289">
        <f>_xlfn.XLOOKUP(Catalogo[[#This Row],[Finca]], Fincas[Nombre], Fincas[ID])</f>
        <v>38</v>
      </c>
      <c r="C145" s="288" t="s">
        <v>646</v>
      </c>
      <c r="D145" s="288" t="s">
        <v>792</v>
      </c>
      <c r="E145" s="288"/>
      <c r="F145" s="288" t="s">
        <v>503</v>
      </c>
      <c r="G145" s="288"/>
      <c r="H145" s="288"/>
      <c r="I145" s="317" t="s">
        <v>273</v>
      </c>
      <c r="J145" s="310"/>
      <c r="K145" s="289" t="s">
        <v>93</v>
      </c>
      <c r="L14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5" s="290" t="s">
        <v>387</v>
      </c>
      <c r="N145" s="290">
        <v>300</v>
      </c>
      <c r="O145" s="292">
        <v>0.6</v>
      </c>
      <c r="P145" s="291">
        <f>IFERROR(_xlfn.LET(_xlpm.boxType, K145, _xlpm.tallos, N145, _xlpm.cost, O145, _xlpm.precio, Q145,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45" s="297">
        <v>1.79</v>
      </c>
      <c r="R145" s="292" t="s">
        <v>285</v>
      </c>
      <c r="S14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5" s="292">
        <v>0.6</v>
      </c>
      <c r="U14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45" s="294">
        <v>0.99</v>
      </c>
    </row>
    <row r="146" spans="1:22" x14ac:dyDescent="0.25">
      <c r="A146" s="277" t="s">
        <v>85</v>
      </c>
      <c r="B146" s="278">
        <f>_xlfn.XLOOKUP(Catalogo[[#This Row],[Finca]], Fincas[Nombre], Fincas[ID])</f>
        <v>38</v>
      </c>
      <c r="C146" s="277" t="s">
        <v>646</v>
      </c>
      <c r="D146" s="277" t="s">
        <v>792</v>
      </c>
      <c r="E146" s="277"/>
      <c r="F146" s="277" t="s">
        <v>503</v>
      </c>
      <c r="G146" s="277"/>
      <c r="H146" s="277"/>
      <c r="I146" s="311" t="s">
        <v>274</v>
      </c>
      <c r="J146" s="309"/>
      <c r="K146" s="278" t="s">
        <v>31</v>
      </c>
      <c r="L14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6" s="279" t="s">
        <v>383</v>
      </c>
      <c r="N146" s="279">
        <v>50</v>
      </c>
      <c r="O146" s="276">
        <v>0.7</v>
      </c>
      <c r="P146" s="280">
        <f>IFERROR(_xlfn.LET(_xlpm.boxType, K146, _xlpm.tallos, N146, _xlpm.cost, O146, _xlpm.precio, Q146,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46" s="296">
        <v>1.99</v>
      </c>
      <c r="R146" s="276" t="s">
        <v>283</v>
      </c>
      <c r="S14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6" s="276">
        <v>0.7</v>
      </c>
      <c r="U14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46" s="274">
        <v>1.19</v>
      </c>
    </row>
    <row r="147" spans="1:22" x14ac:dyDescent="0.25">
      <c r="A147" s="277" t="s">
        <v>85</v>
      </c>
      <c r="B147" s="278">
        <f>_xlfn.XLOOKUP(Catalogo[[#This Row],[Finca]], Fincas[Nombre], Fincas[ID])</f>
        <v>38</v>
      </c>
      <c r="C147" s="277" t="s">
        <v>646</v>
      </c>
      <c r="D147" s="277" t="s">
        <v>792</v>
      </c>
      <c r="E147" s="277"/>
      <c r="F147" s="277" t="s">
        <v>503</v>
      </c>
      <c r="G147" s="277"/>
      <c r="H147" s="277"/>
      <c r="I147" s="311" t="s">
        <v>274</v>
      </c>
      <c r="J147" s="309"/>
      <c r="K147" s="278" t="s">
        <v>35</v>
      </c>
      <c r="L1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7" s="279" t="s">
        <v>385</v>
      </c>
      <c r="N147" s="279">
        <v>125</v>
      </c>
      <c r="O147" s="276">
        <v>0.7</v>
      </c>
      <c r="P147" s="280">
        <f>IFERROR(_xlfn.LET(_xlpm.boxType, K147, _xlpm.tallos, N147, _xlpm.cost, O147, _xlpm.precio, Q147,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47" s="296">
        <v>1.89</v>
      </c>
      <c r="R147" s="276" t="s">
        <v>284</v>
      </c>
      <c r="S1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7" s="276">
        <v>0.7</v>
      </c>
      <c r="U1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47" s="274">
        <v>1.19</v>
      </c>
    </row>
    <row r="148" spans="1:22" ht="15.75" thickBot="1" x14ac:dyDescent="0.3">
      <c r="A148" s="277" t="s">
        <v>85</v>
      </c>
      <c r="B148" s="278">
        <f>_xlfn.XLOOKUP(Catalogo[[#This Row],[Finca]], Fincas[Nombre], Fincas[ID])</f>
        <v>38</v>
      </c>
      <c r="C148" s="277" t="s">
        <v>646</v>
      </c>
      <c r="D148" s="277" t="s">
        <v>792</v>
      </c>
      <c r="E148" s="277"/>
      <c r="F148" s="277" t="s">
        <v>503</v>
      </c>
      <c r="G148" s="277"/>
      <c r="H148" s="277"/>
      <c r="I148" s="311" t="s">
        <v>274</v>
      </c>
      <c r="J148" s="309"/>
      <c r="K148" s="278" t="s">
        <v>93</v>
      </c>
      <c r="L14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8" s="279" t="s">
        <v>387</v>
      </c>
      <c r="N148" s="279">
        <v>250</v>
      </c>
      <c r="O148" s="276">
        <v>0.7</v>
      </c>
      <c r="P148" s="280">
        <f>IFERROR(_xlfn.LET(_xlpm.boxType, K148, _xlpm.tallos, N148, _xlpm.cost, O148, _xlpm.precio, Q148,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48" s="296">
        <v>1.89</v>
      </c>
      <c r="R148" s="276" t="s">
        <v>285</v>
      </c>
      <c r="S14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8" s="276">
        <v>0.7</v>
      </c>
      <c r="U14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48" s="274">
        <v>1.19</v>
      </c>
    </row>
    <row r="149" spans="1:22" x14ac:dyDescent="0.25">
      <c r="A149" s="281" t="s">
        <v>85</v>
      </c>
      <c r="B149" s="282">
        <f>_xlfn.XLOOKUP(Catalogo[[#This Row],[Finca]], Fincas[Nombre], Fincas[ID])</f>
        <v>38</v>
      </c>
      <c r="C149" s="281" t="s">
        <v>646</v>
      </c>
      <c r="D149" s="281" t="s">
        <v>792</v>
      </c>
      <c r="E149" s="281"/>
      <c r="F149" s="281" t="s">
        <v>503</v>
      </c>
      <c r="G149" s="281"/>
      <c r="H149" s="281"/>
      <c r="I149" s="316" t="s">
        <v>275</v>
      </c>
      <c r="J149" s="308"/>
      <c r="K149" s="282" t="s">
        <v>31</v>
      </c>
      <c r="L14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49" s="283" t="s">
        <v>383</v>
      </c>
      <c r="N149" s="283">
        <v>50</v>
      </c>
      <c r="O149" s="285">
        <v>0.8</v>
      </c>
      <c r="P149" s="284">
        <f>IFERROR(_xlfn.LET(_xlpm.boxType, K149, _xlpm.tallos, N149, _xlpm.cost, O149, _xlpm.precio, Q149,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49" s="295">
        <v>2.19</v>
      </c>
      <c r="R149" s="285" t="s">
        <v>283</v>
      </c>
      <c r="S14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49" s="285">
        <v>0.8</v>
      </c>
      <c r="U14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49" s="287">
        <v>1.29</v>
      </c>
    </row>
    <row r="150" spans="1:22" x14ac:dyDescent="0.25">
      <c r="A150" s="277" t="s">
        <v>85</v>
      </c>
      <c r="B150" s="278">
        <f>_xlfn.XLOOKUP(Catalogo[[#This Row],[Finca]], Fincas[Nombre], Fincas[ID])</f>
        <v>38</v>
      </c>
      <c r="C150" s="277" t="s">
        <v>646</v>
      </c>
      <c r="D150" s="277" t="s">
        <v>792</v>
      </c>
      <c r="E150" s="277"/>
      <c r="F150" s="277" t="s">
        <v>503</v>
      </c>
      <c r="G150" s="277"/>
      <c r="H150" s="277"/>
      <c r="I150" s="311" t="s">
        <v>275</v>
      </c>
      <c r="J150" s="309"/>
      <c r="K150" s="278" t="s">
        <v>35</v>
      </c>
      <c r="L15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0" s="279" t="s">
        <v>385</v>
      </c>
      <c r="N150" s="279">
        <v>100</v>
      </c>
      <c r="O150" s="276">
        <v>0.8</v>
      </c>
      <c r="P150" s="280">
        <f>IFERROR(_xlfn.LET(_xlpm.boxType, K150, _xlpm.tallos, N150, _xlpm.cost, O150, _xlpm.precio, Q150,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50" s="296">
        <v>2.19</v>
      </c>
      <c r="R150" s="276" t="s">
        <v>284</v>
      </c>
      <c r="S15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0" s="276">
        <v>0.8</v>
      </c>
      <c r="U15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50" s="274">
        <v>1.29</v>
      </c>
    </row>
    <row r="151" spans="1:22" ht="15.75" thickBot="1" x14ac:dyDescent="0.3">
      <c r="A151" s="288" t="s">
        <v>85</v>
      </c>
      <c r="B151" s="289">
        <f>_xlfn.XLOOKUP(Catalogo[[#This Row],[Finca]], Fincas[Nombre], Fincas[ID])</f>
        <v>38</v>
      </c>
      <c r="C151" s="288" t="s">
        <v>646</v>
      </c>
      <c r="D151" s="288" t="s">
        <v>792</v>
      </c>
      <c r="E151" s="288"/>
      <c r="F151" s="288" t="s">
        <v>503</v>
      </c>
      <c r="G151" s="288"/>
      <c r="H151" s="288"/>
      <c r="I151" s="317" t="s">
        <v>275</v>
      </c>
      <c r="J151" s="310"/>
      <c r="K151" s="289" t="s">
        <v>93</v>
      </c>
      <c r="L15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1" s="290" t="s">
        <v>387</v>
      </c>
      <c r="N151" s="290">
        <v>200</v>
      </c>
      <c r="O151" s="292">
        <v>0.8</v>
      </c>
      <c r="P151" s="291">
        <f>IFERROR(_xlfn.LET(_xlpm.boxType, K151, _xlpm.tallos, N151, _xlpm.cost, O151, _xlpm.precio, Q151,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51" s="297">
        <v>2.19</v>
      </c>
      <c r="R151" s="292" t="s">
        <v>285</v>
      </c>
      <c r="S15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1" s="292">
        <v>0.8</v>
      </c>
      <c r="U15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51" s="294">
        <v>1.29</v>
      </c>
    </row>
    <row r="152" spans="1:22" x14ac:dyDescent="0.25">
      <c r="A152" s="281" t="s">
        <v>85</v>
      </c>
      <c r="B152" s="282">
        <f>_xlfn.XLOOKUP(Catalogo[[#This Row],[Finca]], Fincas[Nombre], Fincas[ID])</f>
        <v>38</v>
      </c>
      <c r="C152" s="281" t="s">
        <v>646</v>
      </c>
      <c r="D152" s="281" t="s">
        <v>793</v>
      </c>
      <c r="E152" s="281"/>
      <c r="F152" s="281" t="s">
        <v>576</v>
      </c>
      <c r="G152" s="281"/>
      <c r="H152" s="281"/>
      <c r="I152" s="316" t="s">
        <v>273</v>
      </c>
      <c r="J152" s="308"/>
      <c r="K152" s="282" t="s">
        <v>31</v>
      </c>
      <c r="L15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2" s="283" t="s">
        <v>383</v>
      </c>
      <c r="N152" s="283">
        <v>50</v>
      </c>
      <c r="O152" s="285">
        <v>0.6</v>
      </c>
      <c r="P152" s="284">
        <f>IFERROR(_xlfn.LET(_xlpm.boxType, K152, _xlpm.tallos, N152, _xlpm.cost, O152, _xlpm.precio, Q152,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52" s="295">
        <v>1.89</v>
      </c>
      <c r="R152" s="285" t="s">
        <v>283</v>
      </c>
      <c r="S15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2" s="285">
        <v>0.6</v>
      </c>
      <c r="U15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52" s="287">
        <v>1.0900000000000001</v>
      </c>
    </row>
    <row r="153" spans="1:22" x14ac:dyDescent="0.25">
      <c r="A153" s="277" t="s">
        <v>85</v>
      </c>
      <c r="B153" s="278">
        <f>_xlfn.XLOOKUP(Catalogo[[#This Row],[Finca]], Fincas[Nombre], Fincas[ID])</f>
        <v>38</v>
      </c>
      <c r="C153" s="277" t="s">
        <v>646</v>
      </c>
      <c r="D153" s="277" t="s">
        <v>793</v>
      </c>
      <c r="E153" s="277"/>
      <c r="F153" s="277" t="s">
        <v>576</v>
      </c>
      <c r="G153" s="277"/>
      <c r="H153" s="277"/>
      <c r="I153" s="311" t="s">
        <v>273</v>
      </c>
      <c r="J153" s="309"/>
      <c r="K153" s="278" t="s">
        <v>35</v>
      </c>
      <c r="L15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3" s="279" t="s">
        <v>385</v>
      </c>
      <c r="N153" s="279">
        <v>150</v>
      </c>
      <c r="O153" s="276">
        <v>0.6</v>
      </c>
      <c r="P153" s="280">
        <f>IFERROR(_xlfn.LET(_xlpm.boxType, K153, _xlpm.tallos, N153, _xlpm.cost, O153, _xlpm.precio, Q153,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53" s="296">
        <v>1.79</v>
      </c>
      <c r="R153" s="276" t="s">
        <v>284</v>
      </c>
      <c r="S15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3" s="276">
        <v>0.6</v>
      </c>
      <c r="U15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53" s="274">
        <v>0.99</v>
      </c>
    </row>
    <row r="154" spans="1:22" ht="15.75" thickBot="1" x14ac:dyDescent="0.3">
      <c r="A154" s="288" t="s">
        <v>85</v>
      </c>
      <c r="B154" s="289">
        <f>_xlfn.XLOOKUP(Catalogo[[#This Row],[Finca]], Fincas[Nombre], Fincas[ID])</f>
        <v>38</v>
      </c>
      <c r="C154" s="288" t="s">
        <v>646</v>
      </c>
      <c r="D154" s="288" t="s">
        <v>793</v>
      </c>
      <c r="E154" s="288"/>
      <c r="F154" s="288" t="s">
        <v>576</v>
      </c>
      <c r="G154" s="288"/>
      <c r="H154" s="288"/>
      <c r="I154" s="317" t="s">
        <v>273</v>
      </c>
      <c r="J154" s="310"/>
      <c r="K154" s="289" t="s">
        <v>93</v>
      </c>
      <c r="L15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4" s="290" t="s">
        <v>387</v>
      </c>
      <c r="N154" s="290">
        <v>300</v>
      </c>
      <c r="O154" s="292">
        <v>0.6</v>
      </c>
      <c r="P154" s="291">
        <f>IFERROR(_xlfn.LET(_xlpm.boxType, K154, _xlpm.tallos, N154, _xlpm.cost, O154, _xlpm.precio, Q154,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54" s="297">
        <v>1.79</v>
      </c>
      <c r="R154" s="292" t="s">
        <v>285</v>
      </c>
      <c r="S15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4" s="292">
        <v>0.6</v>
      </c>
      <c r="U15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54" s="294">
        <v>0.99</v>
      </c>
    </row>
    <row r="155" spans="1:22" x14ac:dyDescent="0.25">
      <c r="A155" s="277" t="s">
        <v>85</v>
      </c>
      <c r="B155" s="278">
        <f>_xlfn.XLOOKUP(Catalogo[[#This Row],[Finca]], Fincas[Nombre], Fincas[ID])</f>
        <v>38</v>
      </c>
      <c r="C155" s="277" t="s">
        <v>646</v>
      </c>
      <c r="D155" s="277" t="s">
        <v>793</v>
      </c>
      <c r="E155" s="277"/>
      <c r="F155" s="277" t="s">
        <v>576</v>
      </c>
      <c r="G155" s="277"/>
      <c r="H155" s="277"/>
      <c r="I155" s="311" t="s">
        <v>274</v>
      </c>
      <c r="J155" s="309"/>
      <c r="K155" s="278" t="s">
        <v>31</v>
      </c>
      <c r="L15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5" s="279" t="s">
        <v>383</v>
      </c>
      <c r="N155" s="279">
        <v>50</v>
      </c>
      <c r="O155" s="276">
        <v>0.7</v>
      </c>
      <c r="P155" s="280">
        <f>IFERROR(_xlfn.LET(_xlpm.boxType, K155, _xlpm.tallos, N155, _xlpm.cost, O155, _xlpm.precio, Q155,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55" s="296">
        <v>1.99</v>
      </c>
      <c r="R155" s="276" t="s">
        <v>283</v>
      </c>
      <c r="S15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5" s="276">
        <v>0.7</v>
      </c>
      <c r="U15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55" s="274">
        <v>1.19</v>
      </c>
    </row>
    <row r="156" spans="1:22" x14ac:dyDescent="0.25">
      <c r="A156" s="277" t="s">
        <v>85</v>
      </c>
      <c r="B156" s="278">
        <f>_xlfn.XLOOKUP(Catalogo[[#This Row],[Finca]], Fincas[Nombre], Fincas[ID])</f>
        <v>38</v>
      </c>
      <c r="C156" s="277" t="s">
        <v>646</v>
      </c>
      <c r="D156" s="277" t="s">
        <v>793</v>
      </c>
      <c r="E156" s="277"/>
      <c r="F156" s="277" t="s">
        <v>576</v>
      </c>
      <c r="G156" s="277"/>
      <c r="H156" s="277"/>
      <c r="I156" s="311" t="s">
        <v>274</v>
      </c>
      <c r="J156" s="309"/>
      <c r="K156" s="278" t="s">
        <v>35</v>
      </c>
      <c r="L1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6" s="279" t="s">
        <v>385</v>
      </c>
      <c r="N156" s="279">
        <v>125</v>
      </c>
      <c r="O156" s="276">
        <v>0.7</v>
      </c>
      <c r="P156" s="280">
        <f>IFERROR(_xlfn.LET(_xlpm.boxType, K156, _xlpm.tallos, N156, _xlpm.cost, O156, _xlpm.precio, Q156,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56" s="296">
        <v>1.89</v>
      </c>
      <c r="R156" s="276" t="s">
        <v>284</v>
      </c>
      <c r="S1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6" s="276">
        <v>0.7</v>
      </c>
      <c r="U15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56" s="274">
        <v>1.19</v>
      </c>
    </row>
    <row r="157" spans="1:22" ht="15.75" thickBot="1" x14ac:dyDescent="0.3">
      <c r="A157" s="277" t="s">
        <v>85</v>
      </c>
      <c r="B157" s="278">
        <f>_xlfn.XLOOKUP(Catalogo[[#This Row],[Finca]], Fincas[Nombre], Fincas[ID])</f>
        <v>38</v>
      </c>
      <c r="C157" s="277" t="s">
        <v>646</v>
      </c>
      <c r="D157" s="277" t="s">
        <v>793</v>
      </c>
      <c r="E157" s="277"/>
      <c r="F157" s="277" t="s">
        <v>576</v>
      </c>
      <c r="G157" s="277"/>
      <c r="H157" s="277"/>
      <c r="I157" s="311" t="s">
        <v>274</v>
      </c>
      <c r="J157" s="309"/>
      <c r="K157" s="278" t="s">
        <v>93</v>
      </c>
      <c r="L1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7" s="279" t="s">
        <v>387</v>
      </c>
      <c r="N157" s="279">
        <v>250</v>
      </c>
      <c r="O157" s="276">
        <v>0.7</v>
      </c>
      <c r="P157" s="280">
        <f>IFERROR(_xlfn.LET(_xlpm.boxType, K157, _xlpm.tallos, N157, _xlpm.cost, O157, _xlpm.precio, Q157,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57" s="296">
        <v>1.89</v>
      </c>
      <c r="R157" s="276" t="s">
        <v>285</v>
      </c>
      <c r="S1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7" s="276">
        <v>0.7</v>
      </c>
      <c r="U15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57" s="274">
        <v>1.19</v>
      </c>
    </row>
    <row r="158" spans="1:22" x14ac:dyDescent="0.25">
      <c r="A158" s="281" t="s">
        <v>85</v>
      </c>
      <c r="B158" s="282">
        <f>_xlfn.XLOOKUP(Catalogo[[#This Row],[Finca]], Fincas[Nombre], Fincas[ID])</f>
        <v>38</v>
      </c>
      <c r="C158" s="281" t="s">
        <v>646</v>
      </c>
      <c r="D158" s="281" t="s">
        <v>793</v>
      </c>
      <c r="E158" s="281"/>
      <c r="F158" s="281" t="s">
        <v>576</v>
      </c>
      <c r="G158" s="281"/>
      <c r="H158" s="281"/>
      <c r="I158" s="316" t="s">
        <v>275</v>
      </c>
      <c r="J158" s="308"/>
      <c r="K158" s="282" t="s">
        <v>31</v>
      </c>
      <c r="L15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8" s="283" t="s">
        <v>383</v>
      </c>
      <c r="N158" s="283">
        <v>50</v>
      </c>
      <c r="O158" s="285">
        <v>0.8</v>
      </c>
      <c r="P158" s="284">
        <f>IFERROR(_xlfn.LET(_xlpm.boxType, K158, _xlpm.tallos, N158, _xlpm.cost, O158, _xlpm.precio, Q158,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58" s="295">
        <v>2.19</v>
      </c>
      <c r="R158" s="285" t="s">
        <v>283</v>
      </c>
      <c r="S15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8" s="285">
        <v>0.8</v>
      </c>
      <c r="U15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58" s="287">
        <v>1.29</v>
      </c>
    </row>
    <row r="159" spans="1:22" x14ac:dyDescent="0.25">
      <c r="A159" s="277" t="s">
        <v>85</v>
      </c>
      <c r="B159" s="278">
        <f>_xlfn.XLOOKUP(Catalogo[[#This Row],[Finca]], Fincas[Nombre], Fincas[ID])</f>
        <v>38</v>
      </c>
      <c r="C159" s="277" t="s">
        <v>646</v>
      </c>
      <c r="D159" s="277" t="s">
        <v>793</v>
      </c>
      <c r="E159" s="277"/>
      <c r="F159" s="277" t="s">
        <v>576</v>
      </c>
      <c r="G159" s="277"/>
      <c r="H159" s="277"/>
      <c r="I159" s="311" t="s">
        <v>275</v>
      </c>
      <c r="J159" s="309"/>
      <c r="K159" s="278" t="s">
        <v>35</v>
      </c>
      <c r="L15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59" s="279" t="s">
        <v>385</v>
      </c>
      <c r="N159" s="279">
        <v>100</v>
      </c>
      <c r="O159" s="276">
        <v>0.8</v>
      </c>
      <c r="P159" s="280">
        <f>IFERROR(_xlfn.LET(_xlpm.boxType, K159, _xlpm.tallos, N159, _xlpm.cost, O159, _xlpm.precio, Q159,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59" s="296">
        <v>2.19</v>
      </c>
      <c r="R159" s="276" t="s">
        <v>284</v>
      </c>
      <c r="S15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59" s="276">
        <v>0.8</v>
      </c>
      <c r="U15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59" s="274">
        <v>1.29</v>
      </c>
    </row>
    <row r="160" spans="1:22" ht="15.75" thickBot="1" x14ac:dyDescent="0.3">
      <c r="A160" s="288" t="s">
        <v>85</v>
      </c>
      <c r="B160" s="289">
        <f>_xlfn.XLOOKUP(Catalogo[[#This Row],[Finca]], Fincas[Nombre], Fincas[ID])</f>
        <v>38</v>
      </c>
      <c r="C160" s="288" t="s">
        <v>646</v>
      </c>
      <c r="D160" s="288" t="s">
        <v>793</v>
      </c>
      <c r="E160" s="288"/>
      <c r="F160" s="288" t="s">
        <v>576</v>
      </c>
      <c r="G160" s="288"/>
      <c r="H160" s="288"/>
      <c r="I160" s="317" t="s">
        <v>275</v>
      </c>
      <c r="J160" s="310"/>
      <c r="K160" s="289" t="s">
        <v>93</v>
      </c>
      <c r="L16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0" s="290" t="s">
        <v>387</v>
      </c>
      <c r="N160" s="290">
        <v>200</v>
      </c>
      <c r="O160" s="292">
        <v>0.8</v>
      </c>
      <c r="P160" s="291">
        <f>IFERROR(_xlfn.LET(_xlpm.boxType, K160, _xlpm.tallos, N160, _xlpm.cost, O160, _xlpm.precio, Q160,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60" s="297">
        <v>2.19</v>
      </c>
      <c r="R160" s="292" t="s">
        <v>285</v>
      </c>
      <c r="S16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0" s="292">
        <v>0.8</v>
      </c>
      <c r="U16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60" s="294">
        <v>1.29</v>
      </c>
    </row>
    <row r="161" spans="1:22" x14ac:dyDescent="0.25">
      <c r="A161" s="277"/>
      <c r="B161" s="278">
        <f>_xlfn.XLOOKUP(Catalogo[[#This Row],[Finca]], Fincas[Nombre], Fincas[ID])</f>
        <v>0</v>
      </c>
      <c r="C161" s="277"/>
      <c r="D161" s="277"/>
      <c r="E161" s="277"/>
      <c r="F161" s="277"/>
      <c r="G161" s="277"/>
      <c r="H161" s="277"/>
      <c r="I161" s="311"/>
      <c r="J161" s="309"/>
      <c r="K161" s="278"/>
      <c r="L16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61" s="279"/>
      <c r="N161" s="279"/>
      <c r="O161" s="276"/>
      <c r="P161" s="280" t="str">
        <f>IFERROR(_xlfn.LET(_xlpm.boxType, K161, _xlpm.tallos, N161, _xlpm.cost, O161, _xlpm.precio, Q161,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61" s="296"/>
      <c r="R161" s="276"/>
      <c r="S16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61" s="276"/>
      <c r="U161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62" spans="1:22" ht="15.75" thickBot="1" x14ac:dyDescent="0.3">
      <c r="A162" s="277"/>
      <c r="B162" s="278">
        <f>_xlfn.XLOOKUP(Catalogo[[#This Row],[Finca]], Fincas[Nombre], Fincas[ID])</f>
        <v>0</v>
      </c>
      <c r="C162" s="277"/>
      <c r="D162" s="277"/>
      <c r="E162" s="277"/>
      <c r="F162" s="277"/>
      <c r="G162" s="277"/>
      <c r="H162" s="277"/>
      <c r="I162" s="311"/>
      <c r="J162" s="309"/>
      <c r="K162" s="278"/>
      <c r="L16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162" s="279"/>
      <c r="N162" s="279"/>
      <c r="O162" s="276"/>
      <c r="P162" s="280" t="str">
        <f>IFERROR(_xlfn.LET(_xlpm.boxType, K162, _xlpm.tallos, N162, _xlpm.cost, O162, _xlpm.precio, Q162,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162" s="296"/>
      <c r="R162" s="276"/>
      <c r="S16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162" s="276"/>
      <c r="U162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163" spans="1:22" x14ac:dyDescent="0.25">
      <c r="A163" s="281" t="s">
        <v>85</v>
      </c>
      <c r="B163" s="282">
        <f>_xlfn.XLOOKUP(Catalogo[[#This Row],[Finca]], Fincas[Nombre], Fincas[ID])</f>
        <v>38</v>
      </c>
      <c r="C163" s="281" t="s">
        <v>646</v>
      </c>
      <c r="D163" s="281" t="s">
        <v>794</v>
      </c>
      <c r="E163" s="281"/>
      <c r="F163" s="281" t="s">
        <v>583</v>
      </c>
      <c r="G163" s="281"/>
      <c r="H163" s="281"/>
      <c r="I163" s="316" t="s">
        <v>273</v>
      </c>
      <c r="J163" s="308"/>
      <c r="K163" s="282" t="s">
        <v>31</v>
      </c>
      <c r="L16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3" s="283" t="s">
        <v>383</v>
      </c>
      <c r="N163" s="283">
        <v>50</v>
      </c>
      <c r="O163" s="285">
        <v>0.6</v>
      </c>
      <c r="P163" s="284">
        <f>IFERROR(_xlfn.LET(_xlpm.boxType, K163, _xlpm.tallos, N163, _xlpm.cost, O163, _xlpm.precio, Q163,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63" s="295">
        <v>1.89</v>
      </c>
      <c r="R163" s="285" t="s">
        <v>283</v>
      </c>
      <c r="S16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3" s="285">
        <v>0.6</v>
      </c>
      <c r="U16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63" s="287">
        <v>1.0900000000000001</v>
      </c>
    </row>
    <row r="164" spans="1:22" x14ac:dyDescent="0.25">
      <c r="A164" s="277" t="s">
        <v>85</v>
      </c>
      <c r="B164" s="278">
        <f>_xlfn.XLOOKUP(Catalogo[[#This Row],[Finca]], Fincas[Nombre], Fincas[ID])</f>
        <v>38</v>
      </c>
      <c r="C164" s="277" t="s">
        <v>646</v>
      </c>
      <c r="D164" s="277" t="s">
        <v>794</v>
      </c>
      <c r="E164" s="277"/>
      <c r="F164" s="277" t="s">
        <v>583</v>
      </c>
      <c r="G164" s="277"/>
      <c r="H164" s="277"/>
      <c r="I164" s="311" t="s">
        <v>273</v>
      </c>
      <c r="J164" s="309"/>
      <c r="K164" s="278" t="s">
        <v>35</v>
      </c>
      <c r="L16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4" s="279" t="s">
        <v>385</v>
      </c>
      <c r="N164" s="279">
        <v>150</v>
      </c>
      <c r="O164" s="276">
        <v>0.6</v>
      </c>
      <c r="P164" s="280">
        <f>IFERROR(_xlfn.LET(_xlpm.boxType, K164, _xlpm.tallos, N164, _xlpm.cost, O164, _xlpm.precio, Q164,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64" s="296">
        <v>1.79</v>
      </c>
      <c r="R164" s="276" t="s">
        <v>284</v>
      </c>
      <c r="S16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4" s="276">
        <v>0.6</v>
      </c>
      <c r="U16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64" s="274">
        <v>0.99</v>
      </c>
    </row>
    <row r="165" spans="1:22" ht="15.75" thickBot="1" x14ac:dyDescent="0.3">
      <c r="A165" s="288" t="s">
        <v>85</v>
      </c>
      <c r="B165" s="289">
        <f>_xlfn.XLOOKUP(Catalogo[[#This Row],[Finca]], Fincas[Nombre], Fincas[ID])</f>
        <v>38</v>
      </c>
      <c r="C165" s="288" t="s">
        <v>646</v>
      </c>
      <c r="D165" s="288" t="s">
        <v>794</v>
      </c>
      <c r="E165" s="288"/>
      <c r="F165" s="288" t="s">
        <v>583</v>
      </c>
      <c r="G165" s="288"/>
      <c r="H165" s="288"/>
      <c r="I165" s="317" t="s">
        <v>273</v>
      </c>
      <c r="J165" s="310"/>
      <c r="K165" s="289" t="s">
        <v>93</v>
      </c>
      <c r="L16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5" s="290" t="s">
        <v>387</v>
      </c>
      <c r="N165" s="290">
        <v>300</v>
      </c>
      <c r="O165" s="292">
        <v>0.6</v>
      </c>
      <c r="P165" s="291">
        <f>IFERROR(_xlfn.LET(_xlpm.boxType, K165, _xlpm.tallos, N165, _xlpm.cost, O165, _xlpm.precio, Q165,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65" s="297">
        <v>1.79</v>
      </c>
      <c r="R165" s="292" t="s">
        <v>285</v>
      </c>
      <c r="S16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5" s="292">
        <v>0.6</v>
      </c>
      <c r="U16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65" s="294">
        <v>0.99</v>
      </c>
    </row>
    <row r="166" spans="1:22" x14ac:dyDescent="0.25">
      <c r="A166" s="277" t="s">
        <v>85</v>
      </c>
      <c r="B166" s="278">
        <f>_xlfn.XLOOKUP(Catalogo[[#This Row],[Finca]], Fincas[Nombre], Fincas[ID])</f>
        <v>38</v>
      </c>
      <c r="C166" s="277" t="s">
        <v>646</v>
      </c>
      <c r="D166" s="277" t="s">
        <v>794</v>
      </c>
      <c r="E166" s="277"/>
      <c r="F166" s="277" t="s">
        <v>583</v>
      </c>
      <c r="G166" s="277"/>
      <c r="H166" s="277"/>
      <c r="I166" s="311" t="s">
        <v>274</v>
      </c>
      <c r="J166" s="309"/>
      <c r="K166" s="278" t="s">
        <v>31</v>
      </c>
      <c r="L16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6" s="279" t="s">
        <v>383</v>
      </c>
      <c r="N166" s="279">
        <v>50</v>
      </c>
      <c r="O166" s="276">
        <v>0.7</v>
      </c>
      <c r="P166" s="280">
        <f>IFERROR(_xlfn.LET(_xlpm.boxType, K166, _xlpm.tallos, N166, _xlpm.cost, O166, _xlpm.precio, Q166,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66" s="296">
        <v>1.99</v>
      </c>
      <c r="R166" s="276" t="s">
        <v>283</v>
      </c>
      <c r="S16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6" s="276">
        <v>0.7</v>
      </c>
      <c r="U16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66" s="274">
        <v>1.19</v>
      </c>
    </row>
    <row r="167" spans="1:22" x14ac:dyDescent="0.25">
      <c r="A167" s="277" t="s">
        <v>85</v>
      </c>
      <c r="B167" s="278">
        <f>_xlfn.XLOOKUP(Catalogo[[#This Row],[Finca]], Fincas[Nombre], Fincas[ID])</f>
        <v>38</v>
      </c>
      <c r="C167" s="277" t="s">
        <v>646</v>
      </c>
      <c r="D167" s="277" t="s">
        <v>794</v>
      </c>
      <c r="E167" s="277"/>
      <c r="F167" s="277" t="s">
        <v>583</v>
      </c>
      <c r="G167" s="277"/>
      <c r="H167" s="277"/>
      <c r="I167" s="311" t="s">
        <v>274</v>
      </c>
      <c r="J167" s="309"/>
      <c r="K167" s="278" t="s">
        <v>35</v>
      </c>
      <c r="L1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7" s="279" t="s">
        <v>385</v>
      </c>
      <c r="N167" s="279">
        <v>125</v>
      </c>
      <c r="O167" s="276">
        <v>0.7</v>
      </c>
      <c r="P167" s="280">
        <f>IFERROR(_xlfn.LET(_xlpm.boxType, K167, _xlpm.tallos, N167, _xlpm.cost, O167, _xlpm.precio, Q167,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67" s="296">
        <v>1.89</v>
      </c>
      <c r="R167" s="276" t="s">
        <v>284</v>
      </c>
      <c r="S1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7" s="276">
        <v>0.7</v>
      </c>
      <c r="U16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67" s="274">
        <v>1.19</v>
      </c>
    </row>
    <row r="168" spans="1:22" ht="15.75" thickBot="1" x14ac:dyDescent="0.3">
      <c r="A168" s="277" t="s">
        <v>85</v>
      </c>
      <c r="B168" s="278">
        <f>_xlfn.XLOOKUP(Catalogo[[#This Row],[Finca]], Fincas[Nombre], Fincas[ID])</f>
        <v>38</v>
      </c>
      <c r="C168" s="277" t="s">
        <v>646</v>
      </c>
      <c r="D168" s="277" t="s">
        <v>794</v>
      </c>
      <c r="E168" s="277"/>
      <c r="F168" s="277" t="s">
        <v>583</v>
      </c>
      <c r="G168" s="277"/>
      <c r="H168" s="277"/>
      <c r="I168" s="311" t="s">
        <v>274</v>
      </c>
      <c r="J168" s="309"/>
      <c r="K168" s="278" t="s">
        <v>93</v>
      </c>
      <c r="L16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8" s="279" t="s">
        <v>387</v>
      </c>
      <c r="N168" s="279">
        <v>250</v>
      </c>
      <c r="O168" s="276">
        <v>0.7</v>
      </c>
      <c r="P168" s="280">
        <f>IFERROR(_xlfn.LET(_xlpm.boxType, K168, _xlpm.tallos, N168, _xlpm.cost, O168, _xlpm.precio, Q168,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68" s="296">
        <v>1.89</v>
      </c>
      <c r="R168" s="276" t="s">
        <v>285</v>
      </c>
      <c r="S16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8" s="276">
        <v>0.7</v>
      </c>
      <c r="U16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68" s="274">
        <v>1.19</v>
      </c>
    </row>
    <row r="169" spans="1:22" x14ac:dyDescent="0.25">
      <c r="A169" s="281" t="s">
        <v>85</v>
      </c>
      <c r="B169" s="282">
        <f>_xlfn.XLOOKUP(Catalogo[[#This Row],[Finca]], Fincas[Nombre], Fincas[ID])</f>
        <v>38</v>
      </c>
      <c r="C169" s="281" t="s">
        <v>646</v>
      </c>
      <c r="D169" s="281" t="s">
        <v>794</v>
      </c>
      <c r="E169" s="281"/>
      <c r="F169" s="281" t="s">
        <v>583</v>
      </c>
      <c r="G169" s="281"/>
      <c r="H169" s="281"/>
      <c r="I169" s="316" t="s">
        <v>275</v>
      </c>
      <c r="J169" s="308"/>
      <c r="K169" s="282" t="s">
        <v>31</v>
      </c>
      <c r="L16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69" s="283" t="s">
        <v>383</v>
      </c>
      <c r="N169" s="283">
        <v>50</v>
      </c>
      <c r="O169" s="285">
        <v>0.8</v>
      </c>
      <c r="P169" s="284">
        <f>IFERROR(_xlfn.LET(_xlpm.boxType, K169, _xlpm.tallos, N169, _xlpm.cost, O169, _xlpm.precio, Q169,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69" s="295">
        <v>2.19</v>
      </c>
      <c r="R169" s="285" t="s">
        <v>283</v>
      </c>
      <c r="S16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69" s="285">
        <v>0.8</v>
      </c>
      <c r="U16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69" s="287">
        <v>1.29</v>
      </c>
    </row>
    <row r="170" spans="1:22" x14ac:dyDescent="0.25">
      <c r="A170" s="277" t="s">
        <v>85</v>
      </c>
      <c r="B170" s="278">
        <f>_xlfn.XLOOKUP(Catalogo[[#This Row],[Finca]], Fincas[Nombre], Fincas[ID])</f>
        <v>38</v>
      </c>
      <c r="C170" s="277" t="s">
        <v>646</v>
      </c>
      <c r="D170" s="277" t="s">
        <v>794</v>
      </c>
      <c r="E170" s="277"/>
      <c r="F170" s="277" t="s">
        <v>583</v>
      </c>
      <c r="G170" s="277"/>
      <c r="H170" s="277"/>
      <c r="I170" s="311" t="s">
        <v>275</v>
      </c>
      <c r="J170" s="309"/>
      <c r="K170" s="278" t="s">
        <v>35</v>
      </c>
      <c r="L17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0" s="279" t="s">
        <v>385</v>
      </c>
      <c r="N170" s="279">
        <v>100</v>
      </c>
      <c r="O170" s="276">
        <v>0.8</v>
      </c>
      <c r="P170" s="280">
        <f>IFERROR(_xlfn.LET(_xlpm.boxType, K170, _xlpm.tallos, N170, _xlpm.cost, O170, _xlpm.precio, Q170,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70" s="296">
        <v>2.19</v>
      </c>
      <c r="R170" s="276" t="s">
        <v>284</v>
      </c>
      <c r="S17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0" s="276">
        <v>0.8</v>
      </c>
      <c r="U17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70" s="274">
        <v>1.29</v>
      </c>
    </row>
    <row r="171" spans="1:22" ht="15.75" thickBot="1" x14ac:dyDescent="0.3">
      <c r="A171" s="288" t="s">
        <v>85</v>
      </c>
      <c r="B171" s="289">
        <f>_xlfn.XLOOKUP(Catalogo[[#This Row],[Finca]], Fincas[Nombre], Fincas[ID])</f>
        <v>38</v>
      </c>
      <c r="C171" s="288" t="s">
        <v>646</v>
      </c>
      <c r="D171" s="288" t="s">
        <v>794</v>
      </c>
      <c r="E171" s="288"/>
      <c r="F171" s="288" t="s">
        <v>583</v>
      </c>
      <c r="G171" s="288"/>
      <c r="H171" s="288"/>
      <c r="I171" s="317" t="s">
        <v>275</v>
      </c>
      <c r="J171" s="310"/>
      <c r="K171" s="289" t="s">
        <v>93</v>
      </c>
      <c r="L17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1" s="290" t="s">
        <v>387</v>
      </c>
      <c r="N171" s="290">
        <v>200</v>
      </c>
      <c r="O171" s="292">
        <v>0.8</v>
      </c>
      <c r="P171" s="291">
        <f>IFERROR(_xlfn.LET(_xlpm.boxType, K171, _xlpm.tallos, N171, _xlpm.cost, O171, _xlpm.precio, Q171,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71" s="297">
        <v>2.19</v>
      </c>
      <c r="R171" s="292" t="s">
        <v>285</v>
      </c>
      <c r="S17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1" s="292">
        <v>0.8</v>
      </c>
      <c r="U17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71" s="294">
        <v>1.29</v>
      </c>
    </row>
    <row r="172" spans="1:22" x14ac:dyDescent="0.25">
      <c r="A172" s="281" t="s">
        <v>85</v>
      </c>
      <c r="B172" s="282">
        <f>_xlfn.XLOOKUP(Catalogo[[#This Row],[Finca]], Fincas[Nombre], Fincas[ID])</f>
        <v>38</v>
      </c>
      <c r="C172" s="281" t="s">
        <v>646</v>
      </c>
      <c r="D172" s="281" t="s">
        <v>795</v>
      </c>
      <c r="E172" s="281"/>
      <c r="F172" s="281" t="s">
        <v>534</v>
      </c>
      <c r="G172" s="281"/>
      <c r="H172" s="281"/>
      <c r="I172" s="316" t="s">
        <v>273</v>
      </c>
      <c r="J172" s="308"/>
      <c r="K172" s="282" t="s">
        <v>31</v>
      </c>
      <c r="L17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2" s="283" t="s">
        <v>383</v>
      </c>
      <c r="N172" s="283">
        <v>50</v>
      </c>
      <c r="O172" s="285">
        <v>0.6</v>
      </c>
      <c r="P172" s="284">
        <f>IFERROR(_xlfn.LET(_xlpm.boxType, K172, _xlpm.tallos, N172, _xlpm.cost, O172, _xlpm.precio, Q172,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72" s="295">
        <v>1.89</v>
      </c>
      <c r="R172" s="285" t="s">
        <v>283</v>
      </c>
      <c r="S17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2" s="285">
        <v>0.6</v>
      </c>
      <c r="U17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72" s="287">
        <v>1.0900000000000001</v>
      </c>
    </row>
    <row r="173" spans="1:22" x14ac:dyDescent="0.25">
      <c r="A173" s="277" t="s">
        <v>85</v>
      </c>
      <c r="B173" s="278">
        <f>_xlfn.XLOOKUP(Catalogo[[#This Row],[Finca]], Fincas[Nombre], Fincas[ID])</f>
        <v>38</v>
      </c>
      <c r="C173" s="277" t="s">
        <v>646</v>
      </c>
      <c r="D173" s="277" t="s">
        <v>795</v>
      </c>
      <c r="E173" s="277"/>
      <c r="F173" s="277" t="s">
        <v>534</v>
      </c>
      <c r="G173" s="277"/>
      <c r="H173" s="277"/>
      <c r="I173" s="311" t="s">
        <v>273</v>
      </c>
      <c r="J173" s="309"/>
      <c r="K173" s="278" t="s">
        <v>35</v>
      </c>
      <c r="L17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3" s="279" t="s">
        <v>385</v>
      </c>
      <c r="N173" s="279">
        <v>150</v>
      </c>
      <c r="O173" s="276">
        <v>0.6</v>
      </c>
      <c r="P173" s="280">
        <f>IFERROR(_xlfn.LET(_xlpm.boxType, K173, _xlpm.tallos, N173, _xlpm.cost, O173, _xlpm.precio, Q173,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73" s="296">
        <v>1.79</v>
      </c>
      <c r="R173" s="276" t="s">
        <v>284</v>
      </c>
      <c r="S17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3" s="276">
        <v>0.6</v>
      </c>
      <c r="U17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73" s="274">
        <v>0.99</v>
      </c>
    </row>
    <row r="174" spans="1:22" ht="15.75" thickBot="1" x14ac:dyDescent="0.3">
      <c r="A174" s="288" t="s">
        <v>85</v>
      </c>
      <c r="B174" s="289">
        <f>_xlfn.XLOOKUP(Catalogo[[#This Row],[Finca]], Fincas[Nombre], Fincas[ID])</f>
        <v>38</v>
      </c>
      <c r="C174" s="288" t="s">
        <v>646</v>
      </c>
      <c r="D174" s="288" t="s">
        <v>795</v>
      </c>
      <c r="E174" s="288"/>
      <c r="F174" s="288" t="s">
        <v>534</v>
      </c>
      <c r="G174" s="288"/>
      <c r="H174" s="288"/>
      <c r="I174" s="317" t="s">
        <v>273</v>
      </c>
      <c r="J174" s="310"/>
      <c r="K174" s="289" t="s">
        <v>93</v>
      </c>
      <c r="L17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4" s="290" t="s">
        <v>387</v>
      </c>
      <c r="N174" s="290">
        <v>300</v>
      </c>
      <c r="O174" s="292">
        <v>0.6</v>
      </c>
      <c r="P174" s="291">
        <f>IFERROR(_xlfn.LET(_xlpm.boxType, K174, _xlpm.tallos, N174, _xlpm.cost, O174, _xlpm.precio, Q174,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74" s="297">
        <v>1.79</v>
      </c>
      <c r="R174" s="292" t="s">
        <v>285</v>
      </c>
      <c r="S17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4" s="292">
        <v>0.6</v>
      </c>
      <c r="U17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74" s="294">
        <v>0.99</v>
      </c>
    </row>
    <row r="175" spans="1:22" x14ac:dyDescent="0.25">
      <c r="A175" s="277" t="s">
        <v>85</v>
      </c>
      <c r="B175" s="278">
        <f>_xlfn.XLOOKUP(Catalogo[[#This Row],[Finca]], Fincas[Nombre], Fincas[ID])</f>
        <v>38</v>
      </c>
      <c r="C175" s="277" t="s">
        <v>646</v>
      </c>
      <c r="D175" s="277" t="s">
        <v>795</v>
      </c>
      <c r="E175" s="277"/>
      <c r="F175" s="277" t="s">
        <v>534</v>
      </c>
      <c r="G175" s="277"/>
      <c r="H175" s="277"/>
      <c r="I175" s="311" t="s">
        <v>274</v>
      </c>
      <c r="J175" s="309"/>
      <c r="K175" s="278" t="s">
        <v>31</v>
      </c>
      <c r="L1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5" s="279" t="s">
        <v>383</v>
      </c>
      <c r="N175" s="279">
        <v>50</v>
      </c>
      <c r="O175" s="276">
        <v>0.7</v>
      </c>
      <c r="P175" s="280">
        <f>IFERROR(_xlfn.LET(_xlpm.boxType, K175, _xlpm.tallos, N175, _xlpm.cost, O175, _xlpm.precio, Q175,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75" s="296">
        <v>1.99</v>
      </c>
      <c r="R175" s="276" t="s">
        <v>283</v>
      </c>
      <c r="S1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5" s="276">
        <v>0.7</v>
      </c>
      <c r="U17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75" s="274">
        <v>1.19</v>
      </c>
    </row>
    <row r="176" spans="1:22" x14ac:dyDescent="0.25">
      <c r="A176" s="277" t="s">
        <v>85</v>
      </c>
      <c r="B176" s="278">
        <f>_xlfn.XLOOKUP(Catalogo[[#This Row],[Finca]], Fincas[Nombre], Fincas[ID])</f>
        <v>38</v>
      </c>
      <c r="C176" s="277" t="s">
        <v>646</v>
      </c>
      <c r="D176" s="277" t="s">
        <v>795</v>
      </c>
      <c r="E176" s="277"/>
      <c r="F176" s="277" t="s">
        <v>534</v>
      </c>
      <c r="G176" s="277"/>
      <c r="H176" s="277"/>
      <c r="I176" s="311" t="s">
        <v>274</v>
      </c>
      <c r="J176" s="309"/>
      <c r="K176" s="278" t="s">
        <v>35</v>
      </c>
      <c r="L17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6" s="279" t="s">
        <v>385</v>
      </c>
      <c r="N176" s="279">
        <v>125</v>
      </c>
      <c r="O176" s="276">
        <v>0.7</v>
      </c>
      <c r="P176" s="280">
        <f>IFERROR(_xlfn.LET(_xlpm.boxType, K176, _xlpm.tallos, N176, _xlpm.cost, O176, _xlpm.precio, Q176,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76" s="296">
        <v>1.89</v>
      </c>
      <c r="R176" s="276" t="s">
        <v>284</v>
      </c>
      <c r="S17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6" s="276">
        <v>0.7</v>
      </c>
      <c r="U17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76" s="274">
        <v>1.19</v>
      </c>
    </row>
    <row r="177" spans="1:22" ht="15.75" thickBot="1" x14ac:dyDescent="0.3">
      <c r="A177" s="277" t="s">
        <v>85</v>
      </c>
      <c r="B177" s="278">
        <f>_xlfn.XLOOKUP(Catalogo[[#This Row],[Finca]], Fincas[Nombre], Fincas[ID])</f>
        <v>38</v>
      </c>
      <c r="C177" s="277" t="s">
        <v>646</v>
      </c>
      <c r="D177" s="277" t="s">
        <v>795</v>
      </c>
      <c r="E177" s="277"/>
      <c r="F177" s="277" t="s">
        <v>534</v>
      </c>
      <c r="G177" s="277"/>
      <c r="H177" s="277"/>
      <c r="I177" s="311" t="s">
        <v>274</v>
      </c>
      <c r="J177" s="309"/>
      <c r="K177" s="278" t="s">
        <v>93</v>
      </c>
      <c r="L17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7" s="279" t="s">
        <v>387</v>
      </c>
      <c r="N177" s="279">
        <v>250</v>
      </c>
      <c r="O177" s="276">
        <v>0.7</v>
      </c>
      <c r="P177" s="280">
        <f>IFERROR(_xlfn.LET(_xlpm.boxType, K177, _xlpm.tallos, N177, _xlpm.cost, O177, _xlpm.precio, Q177,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77" s="296">
        <v>1.89</v>
      </c>
      <c r="R177" s="276" t="s">
        <v>285</v>
      </c>
      <c r="S17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7" s="276">
        <v>0.7</v>
      </c>
      <c r="U17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77" s="274">
        <v>1.19</v>
      </c>
    </row>
    <row r="178" spans="1:22" x14ac:dyDescent="0.25">
      <c r="A178" s="281" t="s">
        <v>85</v>
      </c>
      <c r="B178" s="282">
        <f>_xlfn.XLOOKUP(Catalogo[[#This Row],[Finca]], Fincas[Nombre], Fincas[ID])</f>
        <v>38</v>
      </c>
      <c r="C178" s="281" t="s">
        <v>646</v>
      </c>
      <c r="D178" s="281" t="s">
        <v>795</v>
      </c>
      <c r="E178" s="281"/>
      <c r="F178" s="281" t="s">
        <v>534</v>
      </c>
      <c r="G178" s="281"/>
      <c r="H178" s="281"/>
      <c r="I178" s="316" t="s">
        <v>275</v>
      </c>
      <c r="J178" s="308"/>
      <c r="K178" s="282" t="s">
        <v>31</v>
      </c>
      <c r="L17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8" s="283" t="s">
        <v>383</v>
      </c>
      <c r="N178" s="283">
        <v>50</v>
      </c>
      <c r="O178" s="285">
        <v>0.8</v>
      </c>
      <c r="P178" s="284">
        <f>IFERROR(_xlfn.LET(_xlpm.boxType, K178, _xlpm.tallos, N178, _xlpm.cost, O178, _xlpm.precio, Q178,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78" s="295">
        <v>2.19</v>
      </c>
      <c r="R178" s="285" t="s">
        <v>283</v>
      </c>
      <c r="S17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8" s="285">
        <v>0.8</v>
      </c>
      <c r="U17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78" s="287">
        <v>1.29</v>
      </c>
    </row>
    <row r="179" spans="1:22" x14ac:dyDescent="0.25">
      <c r="A179" s="277" t="s">
        <v>85</v>
      </c>
      <c r="B179" s="278">
        <f>_xlfn.XLOOKUP(Catalogo[[#This Row],[Finca]], Fincas[Nombre], Fincas[ID])</f>
        <v>38</v>
      </c>
      <c r="C179" s="277" t="s">
        <v>646</v>
      </c>
      <c r="D179" s="277" t="s">
        <v>795</v>
      </c>
      <c r="E179" s="277"/>
      <c r="F179" s="277" t="s">
        <v>534</v>
      </c>
      <c r="G179" s="277"/>
      <c r="H179" s="277"/>
      <c r="I179" s="311" t="s">
        <v>275</v>
      </c>
      <c r="J179" s="309"/>
      <c r="K179" s="278" t="s">
        <v>35</v>
      </c>
      <c r="L17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79" s="279" t="s">
        <v>385</v>
      </c>
      <c r="N179" s="279">
        <v>100</v>
      </c>
      <c r="O179" s="276">
        <v>0.8</v>
      </c>
      <c r="P179" s="280">
        <f>IFERROR(_xlfn.LET(_xlpm.boxType, K179, _xlpm.tallos, N179, _xlpm.cost, O179, _xlpm.precio, Q179,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79" s="296">
        <v>2.19</v>
      </c>
      <c r="R179" s="276" t="s">
        <v>284</v>
      </c>
      <c r="S17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79" s="276">
        <v>0.8</v>
      </c>
      <c r="U17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79" s="274">
        <v>1.29</v>
      </c>
    </row>
    <row r="180" spans="1:22" ht="15.75" thickBot="1" x14ac:dyDescent="0.3">
      <c r="A180" s="288" t="s">
        <v>85</v>
      </c>
      <c r="B180" s="289">
        <f>_xlfn.XLOOKUP(Catalogo[[#This Row],[Finca]], Fincas[Nombre], Fincas[ID])</f>
        <v>38</v>
      </c>
      <c r="C180" s="288" t="s">
        <v>646</v>
      </c>
      <c r="D180" s="288" t="s">
        <v>795</v>
      </c>
      <c r="E180" s="288"/>
      <c r="F180" s="288" t="s">
        <v>534</v>
      </c>
      <c r="G180" s="288"/>
      <c r="H180" s="288"/>
      <c r="I180" s="317" t="s">
        <v>275</v>
      </c>
      <c r="J180" s="310"/>
      <c r="K180" s="289" t="s">
        <v>93</v>
      </c>
      <c r="L18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0" s="290" t="s">
        <v>387</v>
      </c>
      <c r="N180" s="290">
        <v>200</v>
      </c>
      <c r="O180" s="292">
        <v>0.8</v>
      </c>
      <c r="P180" s="291">
        <f>IFERROR(_xlfn.LET(_xlpm.boxType, K180, _xlpm.tallos, N180, _xlpm.cost, O180, _xlpm.precio, Q180,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80" s="297">
        <v>2.19</v>
      </c>
      <c r="R180" s="292" t="s">
        <v>285</v>
      </c>
      <c r="S18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0" s="292">
        <v>0.8</v>
      </c>
      <c r="U18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80" s="294">
        <v>1.29</v>
      </c>
    </row>
    <row r="181" spans="1:22" x14ac:dyDescent="0.25">
      <c r="A181" s="281" t="s">
        <v>85</v>
      </c>
      <c r="B181" s="282">
        <f>_xlfn.XLOOKUP(Catalogo[[#This Row],[Finca]], Fincas[Nombre], Fincas[ID])</f>
        <v>38</v>
      </c>
      <c r="C181" s="281" t="s">
        <v>646</v>
      </c>
      <c r="D181" s="281" t="s">
        <v>796</v>
      </c>
      <c r="E181" s="281"/>
      <c r="F181" s="281" t="s">
        <v>519</v>
      </c>
      <c r="G181" s="281"/>
      <c r="H181" s="281"/>
      <c r="I181" s="316" t="s">
        <v>273</v>
      </c>
      <c r="J181" s="308"/>
      <c r="K181" s="282" t="s">
        <v>31</v>
      </c>
      <c r="L18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1" s="283" t="s">
        <v>383</v>
      </c>
      <c r="N181" s="283">
        <v>50</v>
      </c>
      <c r="O181" s="285">
        <v>0.6</v>
      </c>
      <c r="P181" s="284">
        <f>IFERROR(_xlfn.LET(_xlpm.boxType, K181, _xlpm.tallos, N181, _xlpm.cost, O181, _xlpm.precio, Q181,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81" s="295">
        <v>1.89</v>
      </c>
      <c r="R181" s="285" t="s">
        <v>283</v>
      </c>
      <c r="S18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1" s="285">
        <v>0.6</v>
      </c>
      <c r="U18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81" s="287">
        <v>1.0900000000000001</v>
      </c>
    </row>
    <row r="182" spans="1:22" x14ac:dyDescent="0.25">
      <c r="A182" s="277" t="s">
        <v>85</v>
      </c>
      <c r="B182" s="278">
        <f>_xlfn.XLOOKUP(Catalogo[[#This Row],[Finca]], Fincas[Nombre], Fincas[ID])</f>
        <v>38</v>
      </c>
      <c r="C182" s="277" t="s">
        <v>646</v>
      </c>
      <c r="D182" s="277" t="s">
        <v>796</v>
      </c>
      <c r="E182" s="277"/>
      <c r="F182" s="277" t="s">
        <v>519</v>
      </c>
      <c r="G182" s="277"/>
      <c r="H182" s="277"/>
      <c r="I182" s="311" t="s">
        <v>273</v>
      </c>
      <c r="J182" s="309"/>
      <c r="K182" s="278" t="s">
        <v>35</v>
      </c>
      <c r="L18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2" s="279" t="s">
        <v>385</v>
      </c>
      <c r="N182" s="279">
        <v>150</v>
      </c>
      <c r="O182" s="276">
        <v>0.6</v>
      </c>
      <c r="P182" s="280">
        <f>IFERROR(_xlfn.LET(_xlpm.boxType, K182, _xlpm.tallos, N182, _xlpm.cost, O182, _xlpm.precio, Q182,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82" s="296">
        <v>1.79</v>
      </c>
      <c r="R182" s="276" t="s">
        <v>284</v>
      </c>
      <c r="S18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2" s="276">
        <v>0.6</v>
      </c>
      <c r="U18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82" s="274">
        <v>0.99</v>
      </c>
    </row>
    <row r="183" spans="1:22" ht="15.75" thickBot="1" x14ac:dyDescent="0.3">
      <c r="A183" s="288" t="s">
        <v>85</v>
      </c>
      <c r="B183" s="289">
        <f>_xlfn.XLOOKUP(Catalogo[[#This Row],[Finca]], Fincas[Nombre], Fincas[ID])</f>
        <v>38</v>
      </c>
      <c r="C183" s="288" t="s">
        <v>646</v>
      </c>
      <c r="D183" s="288" t="s">
        <v>796</v>
      </c>
      <c r="E183" s="288"/>
      <c r="F183" s="288" t="s">
        <v>519</v>
      </c>
      <c r="G183" s="288"/>
      <c r="H183" s="288"/>
      <c r="I183" s="317" t="s">
        <v>273</v>
      </c>
      <c r="J183" s="310"/>
      <c r="K183" s="289" t="s">
        <v>93</v>
      </c>
      <c r="L18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3" s="290" t="s">
        <v>387</v>
      </c>
      <c r="N183" s="290">
        <v>300</v>
      </c>
      <c r="O183" s="292">
        <v>0.6</v>
      </c>
      <c r="P183" s="291">
        <f>IFERROR(_xlfn.LET(_xlpm.boxType, K183, _xlpm.tallos, N183, _xlpm.cost, O183, _xlpm.precio, Q183,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83" s="297">
        <v>1.79</v>
      </c>
      <c r="R183" s="292" t="s">
        <v>285</v>
      </c>
      <c r="S18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3" s="292">
        <v>0.6</v>
      </c>
      <c r="U18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83" s="294">
        <v>0.99</v>
      </c>
    </row>
    <row r="184" spans="1:22" x14ac:dyDescent="0.25">
      <c r="A184" s="277" t="s">
        <v>85</v>
      </c>
      <c r="B184" s="278">
        <f>_xlfn.XLOOKUP(Catalogo[[#This Row],[Finca]], Fincas[Nombre], Fincas[ID])</f>
        <v>38</v>
      </c>
      <c r="C184" s="277" t="s">
        <v>646</v>
      </c>
      <c r="D184" s="277" t="s">
        <v>796</v>
      </c>
      <c r="E184" s="277"/>
      <c r="F184" s="277" t="s">
        <v>519</v>
      </c>
      <c r="G184" s="277"/>
      <c r="H184" s="277"/>
      <c r="I184" s="311" t="s">
        <v>274</v>
      </c>
      <c r="J184" s="309"/>
      <c r="K184" s="278" t="s">
        <v>31</v>
      </c>
      <c r="L18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4" s="279" t="s">
        <v>383</v>
      </c>
      <c r="N184" s="279">
        <v>50</v>
      </c>
      <c r="O184" s="276">
        <v>0.7</v>
      </c>
      <c r="P184" s="280">
        <f>IFERROR(_xlfn.LET(_xlpm.boxType, K184, _xlpm.tallos, N184, _xlpm.cost, O184, _xlpm.precio, Q184,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84" s="296">
        <v>1.99</v>
      </c>
      <c r="R184" s="276" t="s">
        <v>283</v>
      </c>
      <c r="S18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4" s="276">
        <v>0.7</v>
      </c>
      <c r="U18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84" s="274">
        <v>1.19</v>
      </c>
    </row>
    <row r="185" spans="1:22" x14ac:dyDescent="0.25">
      <c r="A185" s="277" t="s">
        <v>85</v>
      </c>
      <c r="B185" s="278">
        <f>_xlfn.XLOOKUP(Catalogo[[#This Row],[Finca]], Fincas[Nombre], Fincas[ID])</f>
        <v>38</v>
      </c>
      <c r="C185" s="277" t="s">
        <v>646</v>
      </c>
      <c r="D185" s="277" t="s">
        <v>796</v>
      </c>
      <c r="E185" s="277"/>
      <c r="F185" s="277" t="s">
        <v>519</v>
      </c>
      <c r="G185" s="277"/>
      <c r="H185" s="277"/>
      <c r="I185" s="311" t="s">
        <v>274</v>
      </c>
      <c r="J185" s="309"/>
      <c r="K185" s="278" t="s">
        <v>35</v>
      </c>
      <c r="L18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5" s="279" t="s">
        <v>385</v>
      </c>
      <c r="N185" s="279">
        <v>125</v>
      </c>
      <c r="O185" s="276">
        <v>0.7</v>
      </c>
      <c r="P185" s="280">
        <f>IFERROR(_xlfn.LET(_xlpm.boxType, K185, _xlpm.tallos, N185, _xlpm.cost, O185, _xlpm.precio, Q185,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85" s="296">
        <v>1.89</v>
      </c>
      <c r="R185" s="276" t="s">
        <v>284</v>
      </c>
      <c r="S18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5" s="276">
        <v>0.7</v>
      </c>
      <c r="U18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85" s="274">
        <v>1.19</v>
      </c>
    </row>
    <row r="186" spans="1:22" ht="15.75" thickBot="1" x14ac:dyDescent="0.3">
      <c r="A186" s="277" t="s">
        <v>85</v>
      </c>
      <c r="B186" s="278">
        <f>_xlfn.XLOOKUP(Catalogo[[#This Row],[Finca]], Fincas[Nombre], Fincas[ID])</f>
        <v>38</v>
      </c>
      <c r="C186" s="277" t="s">
        <v>646</v>
      </c>
      <c r="D186" s="277" t="s">
        <v>796</v>
      </c>
      <c r="E186" s="277"/>
      <c r="F186" s="277" t="s">
        <v>519</v>
      </c>
      <c r="G186" s="277"/>
      <c r="H186" s="277"/>
      <c r="I186" s="311" t="s">
        <v>274</v>
      </c>
      <c r="J186" s="309"/>
      <c r="K186" s="278" t="s">
        <v>93</v>
      </c>
      <c r="L18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6" s="279" t="s">
        <v>387</v>
      </c>
      <c r="N186" s="279">
        <v>250</v>
      </c>
      <c r="O186" s="276">
        <v>0.7</v>
      </c>
      <c r="P186" s="280">
        <f>IFERROR(_xlfn.LET(_xlpm.boxType, K186, _xlpm.tallos, N186, _xlpm.cost, O186, _xlpm.precio, Q186,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86" s="296">
        <v>1.89</v>
      </c>
      <c r="R186" s="276" t="s">
        <v>285</v>
      </c>
      <c r="S18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6" s="276">
        <v>0.7</v>
      </c>
      <c r="U18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86" s="274">
        <v>1.19</v>
      </c>
    </row>
    <row r="187" spans="1:22" x14ac:dyDescent="0.25">
      <c r="A187" s="281" t="s">
        <v>85</v>
      </c>
      <c r="B187" s="282">
        <f>_xlfn.XLOOKUP(Catalogo[[#This Row],[Finca]], Fincas[Nombre], Fincas[ID])</f>
        <v>38</v>
      </c>
      <c r="C187" s="281" t="s">
        <v>646</v>
      </c>
      <c r="D187" s="281" t="s">
        <v>796</v>
      </c>
      <c r="E187" s="281"/>
      <c r="F187" s="281" t="s">
        <v>519</v>
      </c>
      <c r="G187" s="281"/>
      <c r="H187" s="281"/>
      <c r="I187" s="316" t="s">
        <v>275</v>
      </c>
      <c r="J187" s="308"/>
      <c r="K187" s="282" t="s">
        <v>31</v>
      </c>
      <c r="L18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7" s="283" t="s">
        <v>383</v>
      </c>
      <c r="N187" s="283">
        <v>50</v>
      </c>
      <c r="O187" s="285">
        <v>0.8</v>
      </c>
      <c r="P187" s="284">
        <f>IFERROR(_xlfn.LET(_xlpm.boxType, K187, _xlpm.tallos, N187, _xlpm.cost, O187, _xlpm.precio, Q187,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87" s="295">
        <v>2.19</v>
      </c>
      <c r="R187" s="285" t="s">
        <v>283</v>
      </c>
      <c r="S18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7" s="285">
        <v>0.8</v>
      </c>
      <c r="U18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87" s="287">
        <v>1.29</v>
      </c>
    </row>
    <row r="188" spans="1:22" x14ac:dyDescent="0.25">
      <c r="A188" s="277" t="s">
        <v>85</v>
      </c>
      <c r="B188" s="278">
        <f>_xlfn.XLOOKUP(Catalogo[[#This Row],[Finca]], Fincas[Nombre], Fincas[ID])</f>
        <v>38</v>
      </c>
      <c r="C188" s="277" t="s">
        <v>646</v>
      </c>
      <c r="D188" s="277" t="s">
        <v>796</v>
      </c>
      <c r="E188" s="277"/>
      <c r="F188" s="277" t="s">
        <v>519</v>
      </c>
      <c r="G188" s="277"/>
      <c r="H188" s="277"/>
      <c r="I188" s="311" t="s">
        <v>275</v>
      </c>
      <c r="J188" s="309"/>
      <c r="K188" s="278" t="s">
        <v>35</v>
      </c>
      <c r="L18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8" s="279" t="s">
        <v>385</v>
      </c>
      <c r="N188" s="279">
        <v>100</v>
      </c>
      <c r="O188" s="276">
        <v>0.8</v>
      </c>
      <c r="P188" s="280">
        <f>IFERROR(_xlfn.LET(_xlpm.boxType, K188, _xlpm.tallos, N188, _xlpm.cost, O188, _xlpm.precio, Q188,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88" s="296">
        <v>2.19</v>
      </c>
      <c r="R188" s="276" t="s">
        <v>284</v>
      </c>
      <c r="S18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8" s="276">
        <v>0.8</v>
      </c>
      <c r="U18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88" s="274">
        <v>1.29</v>
      </c>
    </row>
    <row r="189" spans="1:22" ht="15.75" thickBot="1" x14ac:dyDescent="0.3">
      <c r="A189" s="288" t="s">
        <v>85</v>
      </c>
      <c r="B189" s="289">
        <f>_xlfn.XLOOKUP(Catalogo[[#This Row],[Finca]], Fincas[Nombre], Fincas[ID])</f>
        <v>38</v>
      </c>
      <c r="C189" s="288" t="s">
        <v>646</v>
      </c>
      <c r="D189" s="288" t="s">
        <v>796</v>
      </c>
      <c r="E189" s="288"/>
      <c r="F189" s="288" t="s">
        <v>519</v>
      </c>
      <c r="G189" s="288"/>
      <c r="H189" s="288"/>
      <c r="I189" s="317" t="s">
        <v>275</v>
      </c>
      <c r="J189" s="310"/>
      <c r="K189" s="289" t="s">
        <v>93</v>
      </c>
      <c r="L18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89" s="290" t="s">
        <v>387</v>
      </c>
      <c r="N189" s="290">
        <v>200</v>
      </c>
      <c r="O189" s="292">
        <v>0.8</v>
      </c>
      <c r="P189" s="291">
        <f>IFERROR(_xlfn.LET(_xlpm.boxType, K189, _xlpm.tallos, N189, _xlpm.cost, O189, _xlpm.precio, Q189,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89" s="297">
        <v>2.19</v>
      </c>
      <c r="R189" s="292" t="s">
        <v>285</v>
      </c>
      <c r="S18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89" s="292">
        <v>0.8</v>
      </c>
      <c r="U18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89" s="294">
        <v>1.29</v>
      </c>
    </row>
    <row r="190" spans="1:22" x14ac:dyDescent="0.25">
      <c r="A190" s="281" t="s">
        <v>85</v>
      </c>
      <c r="B190" s="282">
        <f>_xlfn.XLOOKUP(Catalogo[[#This Row],[Finca]], Fincas[Nombre], Fincas[ID])</f>
        <v>38</v>
      </c>
      <c r="C190" s="281" t="s">
        <v>646</v>
      </c>
      <c r="D190" s="281" t="s">
        <v>797</v>
      </c>
      <c r="E190" s="281"/>
      <c r="F190" s="281" t="s">
        <v>541</v>
      </c>
      <c r="G190" s="281" t="s">
        <v>534</v>
      </c>
      <c r="H190" s="281"/>
      <c r="I190" s="316" t="s">
        <v>273</v>
      </c>
      <c r="J190" s="308"/>
      <c r="K190" s="282" t="s">
        <v>31</v>
      </c>
      <c r="L19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0" s="283" t="s">
        <v>383</v>
      </c>
      <c r="N190" s="283">
        <v>50</v>
      </c>
      <c r="O190" s="285">
        <v>0.6</v>
      </c>
      <c r="P190" s="284">
        <f>IFERROR(_xlfn.LET(_xlpm.boxType, K190, _xlpm.tallos, N190, _xlpm.cost, O190, _xlpm.precio, Q190,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90" s="295">
        <v>1.89</v>
      </c>
      <c r="R190" s="285" t="s">
        <v>283</v>
      </c>
      <c r="S19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0" s="285">
        <v>0.6</v>
      </c>
      <c r="U19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90" s="287">
        <v>1.0900000000000001</v>
      </c>
    </row>
    <row r="191" spans="1:22" x14ac:dyDescent="0.25">
      <c r="A191" s="277" t="s">
        <v>85</v>
      </c>
      <c r="B191" s="278">
        <f>_xlfn.XLOOKUP(Catalogo[[#This Row],[Finca]], Fincas[Nombre], Fincas[ID])</f>
        <v>38</v>
      </c>
      <c r="C191" s="277" t="s">
        <v>646</v>
      </c>
      <c r="D191" s="277" t="s">
        <v>797</v>
      </c>
      <c r="E191" s="277"/>
      <c r="F191" s="277" t="s">
        <v>541</v>
      </c>
      <c r="G191" s="277" t="s">
        <v>534</v>
      </c>
      <c r="H191" s="277"/>
      <c r="I191" s="311" t="s">
        <v>273</v>
      </c>
      <c r="J191" s="309"/>
      <c r="K191" s="278" t="s">
        <v>35</v>
      </c>
      <c r="L19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1" s="279" t="s">
        <v>385</v>
      </c>
      <c r="N191" s="279">
        <v>150</v>
      </c>
      <c r="O191" s="276">
        <v>0.6</v>
      </c>
      <c r="P191" s="280">
        <f>IFERROR(_xlfn.LET(_xlpm.boxType, K191, _xlpm.tallos, N191, _xlpm.cost, O191, _xlpm.precio, Q191,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191" s="296">
        <v>1.79</v>
      </c>
      <c r="R191" s="276" t="s">
        <v>284</v>
      </c>
      <c r="S19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1" s="276">
        <v>0.6</v>
      </c>
      <c r="U19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91" s="274">
        <v>0.99</v>
      </c>
    </row>
    <row r="192" spans="1:22" ht="15.75" thickBot="1" x14ac:dyDescent="0.3">
      <c r="A192" s="288" t="s">
        <v>85</v>
      </c>
      <c r="B192" s="289">
        <f>_xlfn.XLOOKUP(Catalogo[[#This Row],[Finca]], Fincas[Nombre], Fincas[ID])</f>
        <v>38</v>
      </c>
      <c r="C192" s="288" t="s">
        <v>646</v>
      </c>
      <c r="D192" s="288" t="s">
        <v>797</v>
      </c>
      <c r="E192" s="288"/>
      <c r="F192" s="288" t="s">
        <v>541</v>
      </c>
      <c r="G192" s="288" t="s">
        <v>534</v>
      </c>
      <c r="H192" s="288"/>
      <c r="I192" s="317" t="s">
        <v>273</v>
      </c>
      <c r="J192" s="310"/>
      <c r="K192" s="289" t="s">
        <v>93</v>
      </c>
      <c r="L19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2" s="290" t="s">
        <v>387</v>
      </c>
      <c r="N192" s="290">
        <v>300</v>
      </c>
      <c r="O192" s="292">
        <v>0.6</v>
      </c>
      <c r="P192" s="291">
        <f>IFERROR(_xlfn.LET(_xlpm.boxType, K192, _xlpm.tallos, N192, _xlpm.cost, O192, _xlpm.precio, Q192,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192" s="297">
        <v>1.79</v>
      </c>
      <c r="R192" s="292" t="s">
        <v>285</v>
      </c>
      <c r="S19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2" s="292">
        <v>0.6</v>
      </c>
      <c r="U19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192" s="294">
        <v>0.99</v>
      </c>
    </row>
    <row r="193" spans="1:22" x14ac:dyDescent="0.25">
      <c r="A193" s="277" t="s">
        <v>85</v>
      </c>
      <c r="B193" s="278">
        <f>_xlfn.XLOOKUP(Catalogo[[#This Row],[Finca]], Fincas[Nombre], Fincas[ID])</f>
        <v>38</v>
      </c>
      <c r="C193" s="277" t="s">
        <v>646</v>
      </c>
      <c r="D193" s="277" t="s">
        <v>797</v>
      </c>
      <c r="E193" s="277"/>
      <c r="F193" s="277" t="s">
        <v>541</v>
      </c>
      <c r="G193" s="277" t="s">
        <v>534</v>
      </c>
      <c r="H193" s="277"/>
      <c r="I193" s="311" t="s">
        <v>274</v>
      </c>
      <c r="J193" s="309"/>
      <c r="K193" s="278" t="s">
        <v>31</v>
      </c>
      <c r="L19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3" s="279" t="s">
        <v>383</v>
      </c>
      <c r="N193" s="279">
        <v>50</v>
      </c>
      <c r="O193" s="276">
        <v>0.7</v>
      </c>
      <c r="P193" s="280">
        <f>IFERROR(_xlfn.LET(_xlpm.boxType, K193, _xlpm.tallos, N193, _xlpm.cost, O193, _xlpm.precio, Q193,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193" s="296">
        <v>1.99</v>
      </c>
      <c r="R193" s="276" t="s">
        <v>283</v>
      </c>
      <c r="S19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3" s="276">
        <v>0.7</v>
      </c>
      <c r="U19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193" s="274">
        <v>1.19</v>
      </c>
    </row>
    <row r="194" spans="1:22" x14ac:dyDescent="0.25">
      <c r="A194" s="277" t="s">
        <v>85</v>
      </c>
      <c r="B194" s="278">
        <f>_xlfn.XLOOKUP(Catalogo[[#This Row],[Finca]], Fincas[Nombre], Fincas[ID])</f>
        <v>38</v>
      </c>
      <c r="C194" s="277" t="s">
        <v>646</v>
      </c>
      <c r="D194" s="277" t="s">
        <v>797</v>
      </c>
      <c r="E194" s="277"/>
      <c r="F194" s="277" t="s">
        <v>541</v>
      </c>
      <c r="G194" s="277" t="s">
        <v>534</v>
      </c>
      <c r="H194" s="277"/>
      <c r="I194" s="311" t="s">
        <v>274</v>
      </c>
      <c r="J194" s="309"/>
      <c r="K194" s="278" t="s">
        <v>35</v>
      </c>
      <c r="L19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4" s="279" t="s">
        <v>385</v>
      </c>
      <c r="N194" s="279">
        <v>125</v>
      </c>
      <c r="O194" s="276">
        <v>0.7</v>
      </c>
      <c r="P194" s="280">
        <f>IFERROR(_xlfn.LET(_xlpm.boxType, K194, _xlpm.tallos, N194, _xlpm.cost, O194, _xlpm.precio, Q194,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194" s="296">
        <v>1.89</v>
      </c>
      <c r="R194" s="276" t="s">
        <v>284</v>
      </c>
      <c r="S19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4" s="276">
        <v>0.7</v>
      </c>
      <c r="U19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94" s="274">
        <v>1.19</v>
      </c>
    </row>
    <row r="195" spans="1:22" ht="15.75" thickBot="1" x14ac:dyDescent="0.3">
      <c r="A195" s="277" t="s">
        <v>85</v>
      </c>
      <c r="B195" s="278">
        <f>_xlfn.XLOOKUP(Catalogo[[#This Row],[Finca]], Fincas[Nombre], Fincas[ID])</f>
        <v>38</v>
      </c>
      <c r="C195" s="277" t="s">
        <v>646</v>
      </c>
      <c r="D195" s="277" t="s">
        <v>797</v>
      </c>
      <c r="E195" s="277"/>
      <c r="F195" s="277" t="s">
        <v>541</v>
      </c>
      <c r="G195" s="277" t="s">
        <v>534</v>
      </c>
      <c r="H195" s="277"/>
      <c r="I195" s="311" t="s">
        <v>274</v>
      </c>
      <c r="J195" s="309"/>
      <c r="K195" s="278" t="s">
        <v>93</v>
      </c>
      <c r="L19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5" s="279" t="s">
        <v>387</v>
      </c>
      <c r="N195" s="279">
        <v>250</v>
      </c>
      <c r="O195" s="276">
        <v>0.7</v>
      </c>
      <c r="P195" s="280">
        <f>IFERROR(_xlfn.LET(_xlpm.boxType, K195, _xlpm.tallos, N195, _xlpm.cost, O195, _xlpm.precio, Q195,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195" s="296">
        <v>1.89</v>
      </c>
      <c r="R195" s="276" t="s">
        <v>285</v>
      </c>
      <c r="S19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5" s="276">
        <v>0.7</v>
      </c>
      <c r="U19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195" s="274">
        <v>1.19</v>
      </c>
    </row>
    <row r="196" spans="1:22" x14ac:dyDescent="0.25">
      <c r="A196" s="281" t="s">
        <v>85</v>
      </c>
      <c r="B196" s="282">
        <f>_xlfn.XLOOKUP(Catalogo[[#This Row],[Finca]], Fincas[Nombre], Fincas[ID])</f>
        <v>38</v>
      </c>
      <c r="C196" s="281" t="s">
        <v>646</v>
      </c>
      <c r="D196" s="281" t="s">
        <v>797</v>
      </c>
      <c r="E196" s="281"/>
      <c r="F196" s="281" t="s">
        <v>541</v>
      </c>
      <c r="G196" s="281" t="s">
        <v>534</v>
      </c>
      <c r="H196" s="281"/>
      <c r="I196" s="316" t="s">
        <v>275</v>
      </c>
      <c r="J196" s="308"/>
      <c r="K196" s="282" t="s">
        <v>31</v>
      </c>
      <c r="L19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6" s="283" t="s">
        <v>383</v>
      </c>
      <c r="N196" s="283">
        <v>50</v>
      </c>
      <c r="O196" s="285">
        <v>0.8</v>
      </c>
      <c r="P196" s="284">
        <f>IFERROR(_xlfn.LET(_xlpm.boxType, K196, _xlpm.tallos, N196, _xlpm.cost, O196, _xlpm.precio, Q196,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96" s="295">
        <v>2.19</v>
      </c>
      <c r="R196" s="285" t="s">
        <v>283</v>
      </c>
      <c r="S19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6" s="285">
        <v>0.8</v>
      </c>
      <c r="U19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196" s="287">
        <v>1.29</v>
      </c>
    </row>
    <row r="197" spans="1:22" x14ac:dyDescent="0.25">
      <c r="A197" s="277" t="s">
        <v>85</v>
      </c>
      <c r="B197" s="278">
        <f>_xlfn.XLOOKUP(Catalogo[[#This Row],[Finca]], Fincas[Nombre], Fincas[ID])</f>
        <v>38</v>
      </c>
      <c r="C197" s="277" t="s">
        <v>646</v>
      </c>
      <c r="D197" s="277" t="s">
        <v>797</v>
      </c>
      <c r="E197" s="277"/>
      <c r="F197" s="277" t="s">
        <v>541</v>
      </c>
      <c r="G197" s="277" t="s">
        <v>534</v>
      </c>
      <c r="H197" s="277"/>
      <c r="I197" s="311" t="s">
        <v>275</v>
      </c>
      <c r="J197" s="309"/>
      <c r="K197" s="278" t="s">
        <v>35</v>
      </c>
      <c r="L19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7" s="279" t="s">
        <v>385</v>
      </c>
      <c r="N197" s="279">
        <v>100</v>
      </c>
      <c r="O197" s="276">
        <v>0.8</v>
      </c>
      <c r="P197" s="280">
        <f>IFERROR(_xlfn.LET(_xlpm.boxType, K197, _xlpm.tallos, N197, _xlpm.cost, O197, _xlpm.precio, Q197,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197" s="296">
        <v>2.19</v>
      </c>
      <c r="R197" s="276" t="s">
        <v>284</v>
      </c>
      <c r="S19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7" s="276">
        <v>0.8</v>
      </c>
      <c r="U19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97" s="274">
        <v>1.29</v>
      </c>
    </row>
    <row r="198" spans="1:22" ht="15.75" thickBot="1" x14ac:dyDescent="0.3">
      <c r="A198" s="288" t="s">
        <v>85</v>
      </c>
      <c r="B198" s="289">
        <f>_xlfn.XLOOKUP(Catalogo[[#This Row],[Finca]], Fincas[Nombre], Fincas[ID])</f>
        <v>38</v>
      </c>
      <c r="C198" s="288" t="s">
        <v>646</v>
      </c>
      <c r="D198" s="288" t="s">
        <v>797</v>
      </c>
      <c r="E198" s="288"/>
      <c r="F198" s="288" t="s">
        <v>541</v>
      </c>
      <c r="G198" s="288" t="s">
        <v>534</v>
      </c>
      <c r="H198" s="288"/>
      <c r="I198" s="317" t="s">
        <v>275</v>
      </c>
      <c r="J198" s="310"/>
      <c r="K198" s="289" t="s">
        <v>93</v>
      </c>
      <c r="L19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8" s="290" t="s">
        <v>387</v>
      </c>
      <c r="N198" s="290">
        <v>200</v>
      </c>
      <c r="O198" s="292">
        <v>0.8</v>
      </c>
      <c r="P198" s="291">
        <f>IFERROR(_xlfn.LET(_xlpm.boxType, K198, _xlpm.tallos, N198, _xlpm.cost, O198, _xlpm.precio, Q198,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198" s="297">
        <v>2.19</v>
      </c>
      <c r="R198" s="292" t="s">
        <v>285</v>
      </c>
      <c r="S19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8" s="292">
        <v>0.8</v>
      </c>
      <c r="U19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198" s="294">
        <v>1.29</v>
      </c>
    </row>
    <row r="199" spans="1:22" x14ac:dyDescent="0.25">
      <c r="A199" s="281" t="s">
        <v>85</v>
      </c>
      <c r="B199" s="282">
        <f>_xlfn.XLOOKUP(Catalogo[[#This Row],[Finca]], Fincas[Nombre], Fincas[ID])</f>
        <v>38</v>
      </c>
      <c r="C199" s="281" t="s">
        <v>646</v>
      </c>
      <c r="D199" s="281" t="s">
        <v>798</v>
      </c>
      <c r="E199" s="281"/>
      <c r="F199" s="281" t="s">
        <v>557</v>
      </c>
      <c r="G199" s="281"/>
      <c r="H199" s="281"/>
      <c r="I199" s="316" t="s">
        <v>273</v>
      </c>
      <c r="J199" s="308"/>
      <c r="K199" s="282" t="s">
        <v>31</v>
      </c>
      <c r="L19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199" s="283" t="s">
        <v>383</v>
      </c>
      <c r="N199" s="283">
        <v>50</v>
      </c>
      <c r="O199" s="285">
        <v>0.6</v>
      </c>
      <c r="P199" s="284">
        <f>IFERROR(_xlfn.LET(_xlpm.boxType, K199, _xlpm.tallos, N199, _xlpm.cost, O199, _xlpm.precio, Q199,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199" s="295">
        <v>1.89</v>
      </c>
      <c r="R199" s="285" t="s">
        <v>283</v>
      </c>
      <c r="S19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199" s="285">
        <v>0.6</v>
      </c>
      <c r="U19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199" s="287">
        <v>1.0900000000000001</v>
      </c>
    </row>
    <row r="200" spans="1:22" x14ac:dyDescent="0.25">
      <c r="A200" s="277" t="s">
        <v>85</v>
      </c>
      <c r="B200" s="278">
        <f>_xlfn.XLOOKUP(Catalogo[[#This Row],[Finca]], Fincas[Nombre], Fincas[ID])</f>
        <v>38</v>
      </c>
      <c r="C200" s="277" t="s">
        <v>646</v>
      </c>
      <c r="D200" s="277" t="s">
        <v>798</v>
      </c>
      <c r="E200" s="277"/>
      <c r="F200" s="277" t="s">
        <v>557</v>
      </c>
      <c r="G200" s="277"/>
      <c r="H200" s="277"/>
      <c r="I200" s="311" t="s">
        <v>273</v>
      </c>
      <c r="J200" s="309"/>
      <c r="K200" s="278" t="s">
        <v>35</v>
      </c>
      <c r="L20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0" s="279" t="s">
        <v>385</v>
      </c>
      <c r="N200" s="279">
        <v>150</v>
      </c>
      <c r="O200" s="276">
        <v>0.6</v>
      </c>
      <c r="P200" s="280">
        <f>IFERROR(_xlfn.LET(_xlpm.boxType, K200, _xlpm.tallos, N200, _xlpm.cost, O200, _xlpm.precio, Q200,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00" s="296">
        <v>1.79</v>
      </c>
      <c r="R200" s="276" t="s">
        <v>284</v>
      </c>
      <c r="S20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0" s="276">
        <v>0.6</v>
      </c>
      <c r="U20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00" s="274">
        <v>0.99</v>
      </c>
    </row>
    <row r="201" spans="1:22" ht="15.75" thickBot="1" x14ac:dyDescent="0.3">
      <c r="A201" s="288" t="s">
        <v>85</v>
      </c>
      <c r="B201" s="289">
        <f>_xlfn.XLOOKUP(Catalogo[[#This Row],[Finca]], Fincas[Nombre], Fincas[ID])</f>
        <v>38</v>
      </c>
      <c r="C201" s="288" t="s">
        <v>646</v>
      </c>
      <c r="D201" s="288" t="s">
        <v>798</v>
      </c>
      <c r="E201" s="288"/>
      <c r="F201" s="288" t="s">
        <v>557</v>
      </c>
      <c r="G201" s="288"/>
      <c r="H201" s="288"/>
      <c r="I201" s="317" t="s">
        <v>273</v>
      </c>
      <c r="J201" s="310"/>
      <c r="K201" s="289" t="s">
        <v>93</v>
      </c>
      <c r="L20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1" s="290" t="s">
        <v>387</v>
      </c>
      <c r="N201" s="290">
        <v>300</v>
      </c>
      <c r="O201" s="292">
        <v>0.6</v>
      </c>
      <c r="P201" s="291">
        <f>IFERROR(_xlfn.LET(_xlpm.boxType, K201, _xlpm.tallos, N201, _xlpm.cost, O201, _xlpm.precio, Q201,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01" s="297">
        <v>1.79</v>
      </c>
      <c r="R201" s="292" t="s">
        <v>285</v>
      </c>
      <c r="S20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1" s="292">
        <v>0.6</v>
      </c>
      <c r="U20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01" s="294">
        <v>0.99</v>
      </c>
    </row>
    <row r="202" spans="1:22" x14ac:dyDescent="0.25">
      <c r="A202" s="277" t="s">
        <v>85</v>
      </c>
      <c r="B202" s="278">
        <f>_xlfn.XLOOKUP(Catalogo[[#This Row],[Finca]], Fincas[Nombre], Fincas[ID])</f>
        <v>38</v>
      </c>
      <c r="C202" s="277" t="s">
        <v>646</v>
      </c>
      <c r="D202" s="277" t="s">
        <v>798</v>
      </c>
      <c r="E202" s="277"/>
      <c r="F202" s="277" t="s">
        <v>557</v>
      </c>
      <c r="G202" s="277"/>
      <c r="H202" s="277"/>
      <c r="I202" s="311" t="s">
        <v>274</v>
      </c>
      <c r="J202" s="309"/>
      <c r="K202" s="278" t="s">
        <v>31</v>
      </c>
      <c r="L20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2" s="279" t="s">
        <v>383</v>
      </c>
      <c r="N202" s="279">
        <v>50</v>
      </c>
      <c r="O202" s="276">
        <v>0.7</v>
      </c>
      <c r="P202" s="280">
        <f>IFERROR(_xlfn.LET(_xlpm.boxType, K202, _xlpm.tallos, N202, _xlpm.cost, O202, _xlpm.precio, Q202,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02" s="296">
        <v>1.99</v>
      </c>
      <c r="R202" s="276" t="s">
        <v>283</v>
      </c>
      <c r="S20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2" s="276">
        <v>0.7</v>
      </c>
      <c r="U20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02" s="274">
        <v>1.19</v>
      </c>
    </row>
    <row r="203" spans="1:22" x14ac:dyDescent="0.25">
      <c r="A203" s="277" t="s">
        <v>85</v>
      </c>
      <c r="B203" s="278">
        <f>_xlfn.XLOOKUP(Catalogo[[#This Row],[Finca]], Fincas[Nombre], Fincas[ID])</f>
        <v>38</v>
      </c>
      <c r="C203" s="277" t="s">
        <v>646</v>
      </c>
      <c r="D203" s="277" t="s">
        <v>798</v>
      </c>
      <c r="E203" s="277"/>
      <c r="F203" s="277" t="s">
        <v>557</v>
      </c>
      <c r="G203" s="277"/>
      <c r="H203" s="277"/>
      <c r="I203" s="311" t="s">
        <v>274</v>
      </c>
      <c r="J203" s="309"/>
      <c r="K203" s="278" t="s">
        <v>35</v>
      </c>
      <c r="L20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3" s="279" t="s">
        <v>385</v>
      </c>
      <c r="N203" s="279">
        <v>125</v>
      </c>
      <c r="O203" s="276">
        <v>0.7</v>
      </c>
      <c r="P203" s="280">
        <f>IFERROR(_xlfn.LET(_xlpm.boxType, K203, _xlpm.tallos, N203, _xlpm.cost, O203, _xlpm.precio, Q203,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03" s="296">
        <v>1.89</v>
      </c>
      <c r="R203" s="276" t="s">
        <v>284</v>
      </c>
      <c r="S20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3" s="276">
        <v>0.7</v>
      </c>
      <c r="U20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03" s="274">
        <v>1.19</v>
      </c>
    </row>
    <row r="204" spans="1:22" ht="15.75" thickBot="1" x14ac:dyDescent="0.3">
      <c r="A204" s="277" t="s">
        <v>85</v>
      </c>
      <c r="B204" s="278">
        <f>_xlfn.XLOOKUP(Catalogo[[#This Row],[Finca]], Fincas[Nombre], Fincas[ID])</f>
        <v>38</v>
      </c>
      <c r="C204" s="277" t="s">
        <v>646</v>
      </c>
      <c r="D204" s="277" t="s">
        <v>798</v>
      </c>
      <c r="E204" s="277"/>
      <c r="F204" s="277" t="s">
        <v>557</v>
      </c>
      <c r="G204" s="277"/>
      <c r="H204" s="277"/>
      <c r="I204" s="311" t="s">
        <v>274</v>
      </c>
      <c r="J204" s="309"/>
      <c r="K204" s="278" t="s">
        <v>93</v>
      </c>
      <c r="L20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4" s="279" t="s">
        <v>387</v>
      </c>
      <c r="N204" s="279">
        <v>250</v>
      </c>
      <c r="O204" s="276">
        <v>0.7</v>
      </c>
      <c r="P204" s="280">
        <f>IFERROR(_xlfn.LET(_xlpm.boxType, K204, _xlpm.tallos, N204, _xlpm.cost, O204, _xlpm.precio, Q204,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04" s="296">
        <v>1.89</v>
      </c>
      <c r="R204" s="276" t="s">
        <v>285</v>
      </c>
      <c r="S20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4" s="276">
        <v>0.7</v>
      </c>
      <c r="U20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04" s="274">
        <v>1.19</v>
      </c>
    </row>
    <row r="205" spans="1:22" x14ac:dyDescent="0.25">
      <c r="A205" s="281" t="s">
        <v>85</v>
      </c>
      <c r="B205" s="282">
        <f>_xlfn.XLOOKUP(Catalogo[[#This Row],[Finca]], Fincas[Nombre], Fincas[ID])</f>
        <v>38</v>
      </c>
      <c r="C205" s="281" t="s">
        <v>646</v>
      </c>
      <c r="D205" s="281" t="s">
        <v>798</v>
      </c>
      <c r="E205" s="281"/>
      <c r="F205" s="281" t="s">
        <v>557</v>
      </c>
      <c r="G205" s="281"/>
      <c r="H205" s="281"/>
      <c r="I205" s="316" t="s">
        <v>275</v>
      </c>
      <c r="J205" s="308"/>
      <c r="K205" s="282" t="s">
        <v>31</v>
      </c>
      <c r="L20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5" s="283" t="s">
        <v>383</v>
      </c>
      <c r="N205" s="283">
        <v>50</v>
      </c>
      <c r="O205" s="285">
        <v>0.8</v>
      </c>
      <c r="P205" s="284">
        <f>IFERROR(_xlfn.LET(_xlpm.boxType, K205, _xlpm.tallos, N205, _xlpm.cost, O205, _xlpm.precio, Q205,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05" s="295">
        <v>2.19</v>
      </c>
      <c r="R205" s="285" t="s">
        <v>283</v>
      </c>
      <c r="S20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5" s="285">
        <v>0.8</v>
      </c>
      <c r="U20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05" s="287">
        <v>1.29</v>
      </c>
    </row>
    <row r="206" spans="1:22" x14ac:dyDescent="0.25">
      <c r="A206" s="277" t="s">
        <v>85</v>
      </c>
      <c r="B206" s="278">
        <f>_xlfn.XLOOKUP(Catalogo[[#This Row],[Finca]], Fincas[Nombre], Fincas[ID])</f>
        <v>38</v>
      </c>
      <c r="C206" s="277" t="s">
        <v>646</v>
      </c>
      <c r="D206" s="277" t="s">
        <v>798</v>
      </c>
      <c r="E206" s="277"/>
      <c r="F206" s="277" t="s">
        <v>557</v>
      </c>
      <c r="G206" s="277"/>
      <c r="H206" s="277"/>
      <c r="I206" s="311" t="s">
        <v>275</v>
      </c>
      <c r="J206" s="309"/>
      <c r="K206" s="278" t="s">
        <v>35</v>
      </c>
      <c r="L20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6" s="279" t="s">
        <v>385</v>
      </c>
      <c r="N206" s="279">
        <v>100</v>
      </c>
      <c r="O206" s="276">
        <v>0.8</v>
      </c>
      <c r="P206" s="280">
        <f>IFERROR(_xlfn.LET(_xlpm.boxType, K206, _xlpm.tallos, N206, _xlpm.cost, O206, _xlpm.precio, Q206,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06" s="296">
        <v>2.19</v>
      </c>
      <c r="R206" s="276" t="s">
        <v>284</v>
      </c>
      <c r="S20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6" s="276">
        <v>0.8</v>
      </c>
      <c r="U20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06" s="274">
        <v>1.29</v>
      </c>
    </row>
    <row r="207" spans="1:22" ht="15.75" thickBot="1" x14ac:dyDescent="0.3">
      <c r="A207" s="288" t="s">
        <v>85</v>
      </c>
      <c r="B207" s="289">
        <f>_xlfn.XLOOKUP(Catalogo[[#This Row],[Finca]], Fincas[Nombre], Fincas[ID])</f>
        <v>38</v>
      </c>
      <c r="C207" s="288" t="s">
        <v>646</v>
      </c>
      <c r="D207" s="288" t="s">
        <v>798</v>
      </c>
      <c r="E207" s="288"/>
      <c r="F207" s="288" t="s">
        <v>557</v>
      </c>
      <c r="G207" s="288"/>
      <c r="H207" s="288"/>
      <c r="I207" s="317" t="s">
        <v>275</v>
      </c>
      <c r="J207" s="310"/>
      <c r="K207" s="289" t="s">
        <v>93</v>
      </c>
      <c r="L20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7" s="290" t="s">
        <v>387</v>
      </c>
      <c r="N207" s="290">
        <v>200</v>
      </c>
      <c r="O207" s="292">
        <v>0.8</v>
      </c>
      <c r="P207" s="291">
        <f>IFERROR(_xlfn.LET(_xlpm.boxType, K207, _xlpm.tallos, N207, _xlpm.cost, O207, _xlpm.precio, Q207,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07" s="297">
        <v>2.19</v>
      </c>
      <c r="R207" s="292" t="s">
        <v>285</v>
      </c>
      <c r="S20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7" s="292">
        <v>0.8</v>
      </c>
      <c r="U20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07" s="294">
        <v>1.29</v>
      </c>
    </row>
    <row r="208" spans="1:22" x14ac:dyDescent="0.25">
      <c r="A208" s="281" t="s">
        <v>85</v>
      </c>
      <c r="B208" s="282">
        <f>_xlfn.XLOOKUP(Catalogo[[#This Row],[Finca]], Fincas[Nombre], Fincas[ID])</f>
        <v>38</v>
      </c>
      <c r="C208" s="281" t="s">
        <v>646</v>
      </c>
      <c r="D208" s="281" t="s">
        <v>799</v>
      </c>
      <c r="E208" s="281"/>
      <c r="F208" s="281" t="s">
        <v>570</v>
      </c>
      <c r="G208" s="281"/>
      <c r="H208" s="281"/>
      <c r="I208" s="316" t="s">
        <v>273</v>
      </c>
      <c r="J208" s="308"/>
      <c r="K208" s="282" t="s">
        <v>31</v>
      </c>
      <c r="L20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8" s="283" t="s">
        <v>383</v>
      </c>
      <c r="N208" s="283">
        <v>50</v>
      </c>
      <c r="O208" s="285">
        <v>0.6</v>
      </c>
      <c r="P208" s="284">
        <f>IFERROR(_xlfn.LET(_xlpm.boxType, K208, _xlpm.tallos, N208, _xlpm.cost, O208, _xlpm.precio, Q208,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08" s="295">
        <v>1.89</v>
      </c>
      <c r="R208" s="285" t="s">
        <v>283</v>
      </c>
      <c r="S20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8" s="285">
        <v>0.6</v>
      </c>
      <c r="U20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08" s="287">
        <v>1.0900000000000001</v>
      </c>
    </row>
    <row r="209" spans="1:22" x14ac:dyDescent="0.25">
      <c r="A209" s="277" t="s">
        <v>85</v>
      </c>
      <c r="B209" s="278">
        <f>_xlfn.XLOOKUP(Catalogo[[#This Row],[Finca]], Fincas[Nombre], Fincas[ID])</f>
        <v>38</v>
      </c>
      <c r="C209" s="277" t="s">
        <v>646</v>
      </c>
      <c r="D209" s="277" t="s">
        <v>799</v>
      </c>
      <c r="E209" s="277"/>
      <c r="F209" s="277" t="s">
        <v>570</v>
      </c>
      <c r="G209" s="277"/>
      <c r="H209" s="277"/>
      <c r="I209" s="311" t="s">
        <v>273</v>
      </c>
      <c r="J209" s="309"/>
      <c r="K209" s="278" t="s">
        <v>35</v>
      </c>
      <c r="L20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09" s="279" t="s">
        <v>385</v>
      </c>
      <c r="N209" s="279">
        <v>150</v>
      </c>
      <c r="O209" s="276">
        <v>0.6</v>
      </c>
      <c r="P209" s="280">
        <f>IFERROR(_xlfn.LET(_xlpm.boxType, K209, _xlpm.tallos, N209, _xlpm.cost, O209, _xlpm.precio, Q209,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09" s="296">
        <v>1.79</v>
      </c>
      <c r="R209" s="276" t="s">
        <v>284</v>
      </c>
      <c r="S20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09" s="276">
        <v>0.6</v>
      </c>
      <c r="U20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09" s="274">
        <v>0.99</v>
      </c>
    </row>
    <row r="210" spans="1:22" ht="15.75" thickBot="1" x14ac:dyDescent="0.3">
      <c r="A210" s="288" t="s">
        <v>85</v>
      </c>
      <c r="B210" s="289">
        <f>_xlfn.XLOOKUP(Catalogo[[#This Row],[Finca]], Fincas[Nombre], Fincas[ID])</f>
        <v>38</v>
      </c>
      <c r="C210" s="288" t="s">
        <v>646</v>
      </c>
      <c r="D210" s="288" t="s">
        <v>799</v>
      </c>
      <c r="E210" s="288"/>
      <c r="F210" s="288" t="s">
        <v>570</v>
      </c>
      <c r="G210" s="288"/>
      <c r="H210" s="288"/>
      <c r="I210" s="317" t="s">
        <v>273</v>
      </c>
      <c r="J210" s="310"/>
      <c r="K210" s="289" t="s">
        <v>93</v>
      </c>
      <c r="L21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0" s="290" t="s">
        <v>387</v>
      </c>
      <c r="N210" s="290">
        <v>300</v>
      </c>
      <c r="O210" s="292">
        <v>0.6</v>
      </c>
      <c r="P210" s="291">
        <f>IFERROR(_xlfn.LET(_xlpm.boxType, K210, _xlpm.tallos, N210, _xlpm.cost, O210, _xlpm.precio, Q210,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10" s="297">
        <v>1.79</v>
      </c>
      <c r="R210" s="292" t="s">
        <v>285</v>
      </c>
      <c r="S21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0" s="292">
        <v>0.6</v>
      </c>
      <c r="U21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10" s="294">
        <v>0.99</v>
      </c>
    </row>
    <row r="211" spans="1:22" x14ac:dyDescent="0.25">
      <c r="A211" s="277" t="s">
        <v>85</v>
      </c>
      <c r="B211" s="278">
        <f>_xlfn.XLOOKUP(Catalogo[[#This Row],[Finca]], Fincas[Nombre], Fincas[ID])</f>
        <v>38</v>
      </c>
      <c r="C211" s="277" t="s">
        <v>646</v>
      </c>
      <c r="D211" s="277" t="s">
        <v>799</v>
      </c>
      <c r="E211" s="277"/>
      <c r="F211" s="277" t="s">
        <v>570</v>
      </c>
      <c r="G211" s="277"/>
      <c r="H211" s="277"/>
      <c r="I211" s="311" t="s">
        <v>274</v>
      </c>
      <c r="J211" s="309"/>
      <c r="K211" s="278" t="s">
        <v>31</v>
      </c>
      <c r="L2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1" s="279" t="s">
        <v>383</v>
      </c>
      <c r="N211" s="279">
        <v>50</v>
      </c>
      <c r="O211" s="276">
        <v>0.7</v>
      </c>
      <c r="P211" s="280">
        <f>IFERROR(_xlfn.LET(_xlpm.boxType, K211, _xlpm.tallos, N211, _xlpm.cost, O211, _xlpm.precio, Q211,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11" s="296">
        <v>1.99</v>
      </c>
      <c r="R211" s="276" t="s">
        <v>283</v>
      </c>
      <c r="S2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1" s="276">
        <v>0.7</v>
      </c>
      <c r="U21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11" s="274">
        <v>1.19</v>
      </c>
    </row>
    <row r="212" spans="1:22" x14ac:dyDescent="0.25">
      <c r="A212" s="277" t="s">
        <v>85</v>
      </c>
      <c r="B212" s="278">
        <f>_xlfn.XLOOKUP(Catalogo[[#This Row],[Finca]], Fincas[Nombre], Fincas[ID])</f>
        <v>38</v>
      </c>
      <c r="C212" s="277" t="s">
        <v>646</v>
      </c>
      <c r="D212" s="277" t="s">
        <v>799</v>
      </c>
      <c r="E212" s="277"/>
      <c r="F212" s="277" t="s">
        <v>570</v>
      </c>
      <c r="G212" s="277"/>
      <c r="H212" s="277"/>
      <c r="I212" s="311" t="s">
        <v>274</v>
      </c>
      <c r="J212" s="309"/>
      <c r="K212" s="278" t="s">
        <v>35</v>
      </c>
      <c r="L21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2" s="279" t="s">
        <v>385</v>
      </c>
      <c r="N212" s="279">
        <v>125</v>
      </c>
      <c r="O212" s="276">
        <v>0.7</v>
      </c>
      <c r="P212" s="280">
        <f>IFERROR(_xlfn.LET(_xlpm.boxType, K212, _xlpm.tallos, N212, _xlpm.cost, O212, _xlpm.precio, Q212,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12" s="296">
        <v>1.89</v>
      </c>
      <c r="R212" s="276" t="s">
        <v>284</v>
      </c>
      <c r="S21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2" s="276">
        <v>0.7</v>
      </c>
      <c r="U21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12" s="274">
        <v>1.19</v>
      </c>
    </row>
    <row r="213" spans="1:22" ht="15.75" thickBot="1" x14ac:dyDescent="0.3">
      <c r="A213" s="277" t="s">
        <v>85</v>
      </c>
      <c r="B213" s="278">
        <f>_xlfn.XLOOKUP(Catalogo[[#This Row],[Finca]], Fincas[Nombre], Fincas[ID])</f>
        <v>38</v>
      </c>
      <c r="C213" s="277" t="s">
        <v>646</v>
      </c>
      <c r="D213" s="277" t="s">
        <v>799</v>
      </c>
      <c r="E213" s="277"/>
      <c r="F213" s="277" t="s">
        <v>570</v>
      </c>
      <c r="G213" s="277"/>
      <c r="H213" s="277"/>
      <c r="I213" s="311" t="s">
        <v>274</v>
      </c>
      <c r="J213" s="309"/>
      <c r="K213" s="278" t="s">
        <v>93</v>
      </c>
      <c r="L21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3" s="279" t="s">
        <v>387</v>
      </c>
      <c r="N213" s="279">
        <v>250</v>
      </c>
      <c r="O213" s="276">
        <v>0.7</v>
      </c>
      <c r="P213" s="280">
        <f>IFERROR(_xlfn.LET(_xlpm.boxType, K213, _xlpm.tallos, N213, _xlpm.cost, O213, _xlpm.precio, Q213,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13" s="296">
        <v>1.89</v>
      </c>
      <c r="R213" s="276" t="s">
        <v>285</v>
      </c>
      <c r="S21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3" s="276">
        <v>0.7</v>
      </c>
      <c r="U21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13" s="274">
        <v>1.19</v>
      </c>
    </row>
    <row r="214" spans="1:22" x14ac:dyDescent="0.25">
      <c r="A214" s="281" t="s">
        <v>85</v>
      </c>
      <c r="B214" s="282">
        <f>_xlfn.XLOOKUP(Catalogo[[#This Row],[Finca]], Fincas[Nombre], Fincas[ID])</f>
        <v>38</v>
      </c>
      <c r="C214" s="281" t="s">
        <v>646</v>
      </c>
      <c r="D214" s="281" t="s">
        <v>799</v>
      </c>
      <c r="E214" s="281"/>
      <c r="F214" s="281" t="s">
        <v>570</v>
      </c>
      <c r="G214" s="281"/>
      <c r="H214" s="281"/>
      <c r="I214" s="316" t="s">
        <v>275</v>
      </c>
      <c r="J214" s="308"/>
      <c r="K214" s="282" t="s">
        <v>31</v>
      </c>
      <c r="L21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4" s="283" t="s">
        <v>383</v>
      </c>
      <c r="N214" s="283">
        <v>50</v>
      </c>
      <c r="O214" s="285">
        <v>0.8</v>
      </c>
      <c r="P214" s="284">
        <f>IFERROR(_xlfn.LET(_xlpm.boxType, K214, _xlpm.tallos, N214, _xlpm.cost, O214, _xlpm.precio, Q214,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14" s="295">
        <v>2.19</v>
      </c>
      <c r="R214" s="285" t="s">
        <v>283</v>
      </c>
      <c r="S21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4" s="285">
        <v>0.8</v>
      </c>
      <c r="U21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14" s="287">
        <v>1.29</v>
      </c>
    </row>
    <row r="215" spans="1:22" x14ac:dyDescent="0.25">
      <c r="A215" s="277" t="s">
        <v>85</v>
      </c>
      <c r="B215" s="278">
        <f>_xlfn.XLOOKUP(Catalogo[[#This Row],[Finca]], Fincas[Nombre], Fincas[ID])</f>
        <v>38</v>
      </c>
      <c r="C215" s="277" t="s">
        <v>646</v>
      </c>
      <c r="D215" s="277" t="s">
        <v>799</v>
      </c>
      <c r="E215" s="277"/>
      <c r="F215" s="277" t="s">
        <v>570</v>
      </c>
      <c r="G215" s="277"/>
      <c r="H215" s="277"/>
      <c r="I215" s="311" t="s">
        <v>275</v>
      </c>
      <c r="J215" s="309"/>
      <c r="K215" s="278" t="s">
        <v>35</v>
      </c>
      <c r="L21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5" s="279" t="s">
        <v>385</v>
      </c>
      <c r="N215" s="279">
        <v>100</v>
      </c>
      <c r="O215" s="276">
        <v>0.8</v>
      </c>
      <c r="P215" s="280">
        <f>IFERROR(_xlfn.LET(_xlpm.boxType, K215, _xlpm.tallos, N215, _xlpm.cost, O215, _xlpm.precio, Q215,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15" s="296">
        <v>2.19</v>
      </c>
      <c r="R215" s="276" t="s">
        <v>284</v>
      </c>
      <c r="S21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5" s="276">
        <v>0.8</v>
      </c>
      <c r="U21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15" s="274">
        <v>1.29</v>
      </c>
    </row>
    <row r="216" spans="1:22" ht="15.75" thickBot="1" x14ac:dyDescent="0.3">
      <c r="A216" s="288" t="s">
        <v>85</v>
      </c>
      <c r="B216" s="289">
        <f>_xlfn.XLOOKUP(Catalogo[[#This Row],[Finca]], Fincas[Nombre], Fincas[ID])</f>
        <v>38</v>
      </c>
      <c r="C216" s="288" t="s">
        <v>646</v>
      </c>
      <c r="D216" s="288" t="s">
        <v>799</v>
      </c>
      <c r="E216" s="288"/>
      <c r="F216" s="288" t="s">
        <v>570</v>
      </c>
      <c r="G216" s="288"/>
      <c r="H216" s="288"/>
      <c r="I216" s="317" t="s">
        <v>275</v>
      </c>
      <c r="J216" s="310"/>
      <c r="K216" s="289" t="s">
        <v>93</v>
      </c>
      <c r="L21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6" s="290" t="s">
        <v>387</v>
      </c>
      <c r="N216" s="290">
        <v>200</v>
      </c>
      <c r="O216" s="292">
        <v>0.8</v>
      </c>
      <c r="P216" s="291">
        <f>IFERROR(_xlfn.LET(_xlpm.boxType, K216, _xlpm.tallos, N216, _xlpm.cost, O216, _xlpm.precio, Q216,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16" s="297">
        <v>2.19</v>
      </c>
      <c r="R216" s="292" t="s">
        <v>285</v>
      </c>
      <c r="S21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6" s="292">
        <v>0.8</v>
      </c>
      <c r="U21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16" s="294">
        <v>1.29</v>
      </c>
    </row>
    <row r="217" spans="1:22" x14ac:dyDescent="0.25">
      <c r="A217" s="281" t="s">
        <v>85</v>
      </c>
      <c r="B217" s="282">
        <f>_xlfn.XLOOKUP(Catalogo[[#This Row],[Finca]], Fincas[Nombre], Fincas[ID])</f>
        <v>38</v>
      </c>
      <c r="C217" s="281" t="s">
        <v>646</v>
      </c>
      <c r="D217" s="281" t="s">
        <v>800</v>
      </c>
      <c r="E217" s="281"/>
      <c r="F217" s="281" t="s">
        <v>600</v>
      </c>
      <c r="G217" s="281" t="s">
        <v>576</v>
      </c>
      <c r="H217" s="281"/>
      <c r="I217" s="316" t="s">
        <v>273</v>
      </c>
      <c r="J217" s="308"/>
      <c r="K217" s="282" t="s">
        <v>31</v>
      </c>
      <c r="L21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7" s="283" t="s">
        <v>383</v>
      </c>
      <c r="N217" s="283">
        <v>50</v>
      </c>
      <c r="O217" s="285">
        <v>0.6</v>
      </c>
      <c r="P217" s="284">
        <f>IFERROR(_xlfn.LET(_xlpm.boxType, K217, _xlpm.tallos, N217, _xlpm.cost, O217, _xlpm.precio, Q217,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17" s="295">
        <v>1.89</v>
      </c>
      <c r="R217" s="285" t="s">
        <v>283</v>
      </c>
      <c r="S21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7" s="285">
        <v>0.6</v>
      </c>
      <c r="U21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17" s="287">
        <v>1.0900000000000001</v>
      </c>
    </row>
    <row r="218" spans="1:22" x14ac:dyDescent="0.25">
      <c r="A218" s="277" t="s">
        <v>85</v>
      </c>
      <c r="B218" s="278">
        <f>_xlfn.XLOOKUP(Catalogo[[#This Row],[Finca]], Fincas[Nombre], Fincas[ID])</f>
        <v>38</v>
      </c>
      <c r="C218" s="277" t="s">
        <v>646</v>
      </c>
      <c r="D218" s="277" t="s">
        <v>800</v>
      </c>
      <c r="E218" s="277"/>
      <c r="F218" s="277" t="s">
        <v>600</v>
      </c>
      <c r="G218" s="277" t="s">
        <v>576</v>
      </c>
      <c r="H218" s="277"/>
      <c r="I218" s="311" t="s">
        <v>273</v>
      </c>
      <c r="J218" s="309"/>
      <c r="K218" s="278" t="s">
        <v>35</v>
      </c>
      <c r="L21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8" s="279" t="s">
        <v>385</v>
      </c>
      <c r="N218" s="279">
        <v>150</v>
      </c>
      <c r="O218" s="276">
        <v>0.6</v>
      </c>
      <c r="P218" s="280">
        <f>IFERROR(_xlfn.LET(_xlpm.boxType, K218, _xlpm.tallos, N218, _xlpm.cost, O218, _xlpm.precio, Q218,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18" s="296">
        <v>1.79</v>
      </c>
      <c r="R218" s="276" t="s">
        <v>284</v>
      </c>
      <c r="S21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8" s="276">
        <v>0.6</v>
      </c>
      <c r="U21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18" s="274">
        <v>0.99</v>
      </c>
    </row>
    <row r="219" spans="1:22" ht="15.75" thickBot="1" x14ac:dyDescent="0.3">
      <c r="A219" s="288" t="s">
        <v>85</v>
      </c>
      <c r="B219" s="289">
        <f>_xlfn.XLOOKUP(Catalogo[[#This Row],[Finca]], Fincas[Nombre], Fincas[ID])</f>
        <v>38</v>
      </c>
      <c r="C219" s="288" t="s">
        <v>646</v>
      </c>
      <c r="D219" s="288" t="s">
        <v>800</v>
      </c>
      <c r="E219" s="288"/>
      <c r="F219" s="288" t="s">
        <v>600</v>
      </c>
      <c r="G219" s="288" t="s">
        <v>576</v>
      </c>
      <c r="H219" s="288"/>
      <c r="I219" s="317" t="s">
        <v>273</v>
      </c>
      <c r="J219" s="310"/>
      <c r="K219" s="289" t="s">
        <v>93</v>
      </c>
      <c r="L21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19" s="290" t="s">
        <v>387</v>
      </c>
      <c r="N219" s="290">
        <v>300</v>
      </c>
      <c r="O219" s="292">
        <v>0.6</v>
      </c>
      <c r="P219" s="291">
        <f>IFERROR(_xlfn.LET(_xlpm.boxType, K219, _xlpm.tallos, N219, _xlpm.cost, O219, _xlpm.precio, Q219,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19" s="297">
        <v>1.79</v>
      </c>
      <c r="R219" s="292" t="s">
        <v>285</v>
      </c>
      <c r="S21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19" s="292">
        <v>0.6</v>
      </c>
      <c r="U21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19" s="294">
        <v>0.99</v>
      </c>
    </row>
    <row r="220" spans="1:22" x14ac:dyDescent="0.25">
      <c r="A220" s="277" t="s">
        <v>85</v>
      </c>
      <c r="B220" s="278">
        <f>_xlfn.XLOOKUP(Catalogo[[#This Row],[Finca]], Fincas[Nombre], Fincas[ID])</f>
        <v>38</v>
      </c>
      <c r="C220" s="277" t="s">
        <v>646</v>
      </c>
      <c r="D220" s="277" t="s">
        <v>800</v>
      </c>
      <c r="E220" s="277"/>
      <c r="F220" s="277" t="s">
        <v>600</v>
      </c>
      <c r="G220" s="277" t="s">
        <v>576</v>
      </c>
      <c r="H220" s="277"/>
      <c r="I220" s="311" t="s">
        <v>274</v>
      </c>
      <c r="J220" s="309"/>
      <c r="K220" s="278" t="s">
        <v>31</v>
      </c>
      <c r="L2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0" s="279" t="s">
        <v>383</v>
      </c>
      <c r="N220" s="279">
        <v>50</v>
      </c>
      <c r="O220" s="276">
        <v>0.7</v>
      </c>
      <c r="P220" s="280">
        <f>IFERROR(_xlfn.LET(_xlpm.boxType, K220, _xlpm.tallos, N220, _xlpm.cost, O220, _xlpm.precio, Q220,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20" s="296">
        <v>1.99</v>
      </c>
      <c r="R220" s="276" t="s">
        <v>283</v>
      </c>
      <c r="S2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0" s="276">
        <v>0.7</v>
      </c>
      <c r="U22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20" s="274">
        <v>1.19</v>
      </c>
    </row>
    <row r="221" spans="1:22" x14ac:dyDescent="0.25">
      <c r="A221" s="277" t="s">
        <v>85</v>
      </c>
      <c r="B221" s="278">
        <f>_xlfn.XLOOKUP(Catalogo[[#This Row],[Finca]], Fincas[Nombre], Fincas[ID])</f>
        <v>38</v>
      </c>
      <c r="C221" s="277" t="s">
        <v>646</v>
      </c>
      <c r="D221" s="277" t="s">
        <v>800</v>
      </c>
      <c r="E221" s="277"/>
      <c r="F221" s="277" t="s">
        <v>600</v>
      </c>
      <c r="G221" s="277" t="s">
        <v>576</v>
      </c>
      <c r="H221" s="277"/>
      <c r="I221" s="311" t="s">
        <v>274</v>
      </c>
      <c r="J221" s="309"/>
      <c r="K221" s="278" t="s">
        <v>35</v>
      </c>
      <c r="L22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1" s="279" t="s">
        <v>385</v>
      </c>
      <c r="N221" s="279">
        <v>125</v>
      </c>
      <c r="O221" s="276">
        <v>0.7</v>
      </c>
      <c r="P221" s="280">
        <f>IFERROR(_xlfn.LET(_xlpm.boxType, K221, _xlpm.tallos, N221, _xlpm.cost, O221, _xlpm.precio, Q221,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21" s="296">
        <v>1.89</v>
      </c>
      <c r="R221" s="276" t="s">
        <v>284</v>
      </c>
      <c r="S22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1" s="276">
        <v>0.7</v>
      </c>
      <c r="U22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21" s="274">
        <v>1.19</v>
      </c>
    </row>
    <row r="222" spans="1:22" ht="15.75" thickBot="1" x14ac:dyDescent="0.3">
      <c r="A222" s="277" t="s">
        <v>85</v>
      </c>
      <c r="B222" s="278">
        <f>_xlfn.XLOOKUP(Catalogo[[#This Row],[Finca]], Fincas[Nombre], Fincas[ID])</f>
        <v>38</v>
      </c>
      <c r="C222" s="277" t="s">
        <v>646</v>
      </c>
      <c r="D222" s="277" t="s">
        <v>800</v>
      </c>
      <c r="E222" s="277"/>
      <c r="F222" s="277" t="s">
        <v>600</v>
      </c>
      <c r="G222" s="277" t="s">
        <v>576</v>
      </c>
      <c r="H222" s="277"/>
      <c r="I222" s="311" t="s">
        <v>274</v>
      </c>
      <c r="J222" s="309"/>
      <c r="K222" s="278" t="s">
        <v>93</v>
      </c>
      <c r="L22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2" s="279" t="s">
        <v>387</v>
      </c>
      <c r="N222" s="279">
        <v>250</v>
      </c>
      <c r="O222" s="276">
        <v>0.7</v>
      </c>
      <c r="P222" s="280">
        <f>IFERROR(_xlfn.LET(_xlpm.boxType, K222, _xlpm.tallos, N222, _xlpm.cost, O222, _xlpm.precio, Q222,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22" s="296">
        <v>1.89</v>
      </c>
      <c r="R222" s="276" t="s">
        <v>285</v>
      </c>
      <c r="S22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2" s="276">
        <v>0.7</v>
      </c>
      <c r="U22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22" s="274">
        <v>1.19</v>
      </c>
    </row>
    <row r="223" spans="1:22" x14ac:dyDescent="0.25">
      <c r="A223" s="281" t="s">
        <v>85</v>
      </c>
      <c r="B223" s="282">
        <f>_xlfn.XLOOKUP(Catalogo[[#This Row],[Finca]], Fincas[Nombre], Fincas[ID])</f>
        <v>38</v>
      </c>
      <c r="C223" s="281" t="s">
        <v>646</v>
      </c>
      <c r="D223" s="281" t="s">
        <v>800</v>
      </c>
      <c r="E223" s="281"/>
      <c r="F223" s="281" t="s">
        <v>600</v>
      </c>
      <c r="G223" s="281" t="s">
        <v>576</v>
      </c>
      <c r="H223" s="281"/>
      <c r="I223" s="316" t="s">
        <v>275</v>
      </c>
      <c r="J223" s="308"/>
      <c r="K223" s="282" t="s">
        <v>31</v>
      </c>
      <c r="L22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3" s="283" t="s">
        <v>383</v>
      </c>
      <c r="N223" s="283">
        <v>50</v>
      </c>
      <c r="O223" s="285">
        <v>0.8</v>
      </c>
      <c r="P223" s="284">
        <f>IFERROR(_xlfn.LET(_xlpm.boxType, K223, _xlpm.tallos, N223, _xlpm.cost, O223, _xlpm.precio, Q223,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23" s="295">
        <v>2.19</v>
      </c>
      <c r="R223" s="285" t="s">
        <v>283</v>
      </c>
      <c r="S22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3" s="285">
        <v>0.8</v>
      </c>
      <c r="U22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23" s="287">
        <v>1.29</v>
      </c>
    </row>
    <row r="224" spans="1:22" x14ac:dyDescent="0.25">
      <c r="A224" s="277" t="s">
        <v>85</v>
      </c>
      <c r="B224" s="278">
        <f>_xlfn.XLOOKUP(Catalogo[[#This Row],[Finca]], Fincas[Nombre], Fincas[ID])</f>
        <v>38</v>
      </c>
      <c r="C224" s="277" t="s">
        <v>646</v>
      </c>
      <c r="D224" s="277" t="s">
        <v>800</v>
      </c>
      <c r="E224" s="277"/>
      <c r="F224" s="277" t="s">
        <v>600</v>
      </c>
      <c r="G224" s="277" t="s">
        <v>576</v>
      </c>
      <c r="H224" s="277"/>
      <c r="I224" s="311" t="s">
        <v>275</v>
      </c>
      <c r="J224" s="309"/>
      <c r="K224" s="278" t="s">
        <v>35</v>
      </c>
      <c r="L22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4" s="279" t="s">
        <v>385</v>
      </c>
      <c r="N224" s="279">
        <v>100</v>
      </c>
      <c r="O224" s="276">
        <v>0.8</v>
      </c>
      <c r="P224" s="280">
        <f>IFERROR(_xlfn.LET(_xlpm.boxType, K224, _xlpm.tallos, N224, _xlpm.cost, O224, _xlpm.precio, Q224,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24" s="296">
        <v>2.19</v>
      </c>
      <c r="R224" s="276" t="s">
        <v>284</v>
      </c>
      <c r="S22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4" s="276">
        <v>0.8</v>
      </c>
      <c r="U22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24" s="274">
        <v>1.29</v>
      </c>
    </row>
    <row r="225" spans="1:22" ht="15.75" thickBot="1" x14ac:dyDescent="0.3">
      <c r="A225" s="288" t="s">
        <v>85</v>
      </c>
      <c r="B225" s="289">
        <f>_xlfn.XLOOKUP(Catalogo[[#This Row],[Finca]], Fincas[Nombre], Fincas[ID])</f>
        <v>38</v>
      </c>
      <c r="C225" s="288" t="s">
        <v>646</v>
      </c>
      <c r="D225" s="288" t="s">
        <v>800</v>
      </c>
      <c r="E225" s="288"/>
      <c r="F225" s="288" t="s">
        <v>600</v>
      </c>
      <c r="G225" s="288" t="s">
        <v>576</v>
      </c>
      <c r="H225" s="288"/>
      <c r="I225" s="317" t="s">
        <v>275</v>
      </c>
      <c r="J225" s="310"/>
      <c r="K225" s="289" t="s">
        <v>93</v>
      </c>
      <c r="L22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5" s="290" t="s">
        <v>387</v>
      </c>
      <c r="N225" s="290">
        <v>200</v>
      </c>
      <c r="O225" s="292">
        <v>0.8</v>
      </c>
      <c r="P225" s="291">
        <f>IFERROR(_xlfn.LET(_xlpm.boxType, K225, _xlpm.tallos, N225, _xlpm.cost, O225, _xlpm.precio, Q225,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25" s="297">
        <v>2.19</v>
      </c>
      <c r="R225" s="292" t="s">
        <v>285</v>
      </c>
      <c r="S22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5" s="292">
        <v>0.8</v>
      </c>
      <c r="U22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25" s="294">
        <v>1.29</v>
      </c>
    </row>
    <row r="226" spans="1:22" x14ac:dyDescent="0.25">
      <c r="A226" s="281" t="s">
        <v>85</v>
      </c>
      <c r="B226" s="282">
        <f>_xlfn.XLOOKUP(Catalogo[[#This Row],[Finca]], Fincas[Nombre], Fincas[ID])</f>
        <v>38</v>
      </c>
      <c r="C226" s="281" t="s">
        <v>646</v>
      </c>
      <c r="D226" s="281" t="s">
        <v>801</v>
      </c>
      <c r="E226" s="281"/>
      <c r="F226" s="281" t="s">
        <v>503</v>
      </c>
      <c r="G226" s="281"/>
      <c r="H226" s="281"/>
      <c r="I226" s="316" t="s">
        <v>273</v>
      </c>
      <c r="J226" s="308"/>
      <c r="K226" s="282" t="s">
        <v>31</v>
      </c>
      <c r="L22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6" s="283" t="s">
        <v>383</v>
      </c>
      <c r="N226" s="283">
        <v>50</v>
      </c>
      <c r="O226" s="285">
        <v>0.6</v>
      </c>
      <c r="P226" s="284">
        <f>IFERROR(_xlfn.LET(_xlpm.boxType, K226, _xlpm.tallos, N226, _xlpm.cost, O226, _xlpm.precio, Q226,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26" s="295">
        <v>1.89</v>
      </c>
      <c r="R226" s="285" t="s">
        <v>283</v>
      </c>
      <c r="S22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6" s="285">
        <v>0.6</v>
      </c>
      <c r="U22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26" s="287">
        <v>1.0900000000000001</v>
      </c>
    </row>
    <row r="227" spans="1:22" x14ac:dyDescent="0.25">
      <c r="A227" s="277" t="s">
        <v>85</v>
      </c>
      <c r="B227" s="278">
        <f>_xlfn.XLOOKUP(Catalogo[[#This Row],[Finca]], Fincas[Nombre], Fincas[ID])</f>
        <v>38</v>
      </c>
      <c r="C227" s="277" t="s">
        <v>646</v>
      </c>
      <c r="D227" s="277" t="s">
        <v>801</v>
      </c>
      <c r="E227" s="277"/>
      <c r="F227" s="277" t="s">
        <v>503</v>
      </c>
      <c r="G227" s="277"/>
      <c r="H227" s="277"/>
      <c r="I227" s="311" t="s">
        <v>273</v>
      </c>
      <c r="J227" s="309"/>
      <c r="K227" s="278" t="s">
        <v>35</v>
      </c>
      <c r="L22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7" s="279" t="s">
        <v>385</v>
      </c>
      <c r="N227" s="279">
        <v>150</v>
      </c>
      <c r="O227" s="276">
        <v>0.6</v>
      </c>
      <c r="P227" s="280">
        <f>IFERROR(_xlfn.LET(_xlpm.boxType, K227, _xlpm.tallos, N227, _xlpm.cost, O227, _xlpm.precio, Q227,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27" s="296">
        <v>1.79</v>
      </c>
      <c r="R227" s="276" t="s">
        <v>284</v>
      </c>
      <c r="S22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7" s="276">
        <v>0.6</v>
      </c>
      <c r="U22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27" s="274">
        <v>0.99</v>
      </c>
    </row>
    <row r="228" spans="1:22" ht="15.75" thickBot="1" x14ac:dyDescent="0.3">
      <c r="A228" s="288" t="s">
        <v>85</v>
      </c>
      <c r="B228" s="289">
        <f>_xlfn.XLOOKUP(Catalogo[[#This Row],[Finca]], Fincas[Nombre], Fincas[ID])</f>
        <v>38</v>
      </c>
      <c r="C228" s="288" t="s">
        <v>646</v>
      </c>
      <c r="D228" s="288" t="s">
        <v>801</v>
      </c>
      <c r="E228" s="288"/>
      <c r="F228" s="288" t="s">
        <v>503</v>
      </c>
      <c r="G228" s="288"/>
      <c r="H228" s="288"/>
      <c r="I228" s="317" t="s">
        <v>273</v>
      </c>
      <c r="J228" s="310"/>
      <c r="K228" s="289" t="s">
        <v>93</v>
      </c>
      <c r="L22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8" s="290" t="s">
        <v>387</v>
      </c>
      <c r="N228" s="290">
        <v>300</v>
      </c>
      <c r="O228" s="292">
        <v>0.6</v>
      </c>
      <c r="P228" s="291">
        <f>IFERROR(_xlfn.LET(_xlpm.boxType, K228, _xlpm.tallos, N228, _xlpm.cost, O228, _xlpm.precio, Q228,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28" s="297">
        <v>1.79</v>
      </c>
      <c r="R228" s="292" t="s">
        <v>285</v>
      </c>
      <c r="S22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8" s="292">
        <v>0.6</v>
      </c>
      <c r="U22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28" s="294">
        <v>0.99</v>
      </c>
    </row>
    <row r="229" spans="1:22" x14ac:dyDescent="0.25">
      <c r="A229" s="277" t="s">
        <v>85</v>
      </c>
      <c r="B229" s="278">
        <f>_xlfn.XLOOKUP(Catalogo[[#This Row],[Finca]], Fincas[Nombre], Fincas[ID])</f>
        <v>38</v>
      </c>
      <c r="C229" s="277" t="s">
        <v>646</v>
      </c>
      <c r="D229" s="277" t="s">
        <v>801</v>
      </c>
      <c r="E229" s="277"/>
      <c r="F229" s="277" t="s">
        <v>503</v>
      </c>
      <c r="G229" s="277"/>
      <c r="H229" s="277"/>
      <c r="I229" s="311" t="s">
        <v>274</v>
      </c>
      <c r="J229" s="309"/>
      <c r="K229" s="278" t="s">
        <v>31</v>
      </c>
      <c r="L2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29" s="279" t="s">
        <v>383</v>
      </c>
      <c r="N229" s="279">
        <v>50</v>
      </c>
      <c r="O229" s="276">
        <v>0.7</v>
      </c>
      <c r="P229" s="280">
        <f>IFERROR(_xlfn.LET(_xlpm.boxType, K229, _xlpm.tallos, N229, _xlpm.cost, O229, _xlpm.precio, Q229,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29" s="296">
        <v>1.99</v>
      </c>
      <c r="R229" s="276" t="s">
        <v>283</v>
      </c>
      <c r="S2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29" s="276">
        <v>0.7</v>
      </c>
      <c r="U22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29" s="274">
        <v>1.19</v>
      </c>
    </row>
    <row r="230" spans="1:22" x14ac:dyDescent="0.25">
      <c r="A230" s="277" t="s">
        <v>85</v>
      </c>
      <c r="B230" s="278">
        <f>_xlfn.XLOOKUP(Catalogo[[#This Row],[Finca]], Fincas[Nombre], Fincas[ID])</f>
        <v>38</v>
      </c>
      <c r="C230" s="277" t="s">
        <v>646</v>
      </c>
      <c r="D230" s="277" t="s">
        <v>801</v>
      </c>
      <c r="E230" s="277"/>
      <c r="F230" s="277" t="s">
        <v>503</v>
      </c>
      <c r="G230" s="277"/>
      <c r="H230" s="277"/>
      <c r="I230" s="311" t="s">
        <v>274</v>
      </c>
      <c r="J230" s="309"/>
      <c r="K230" s="278" t="s">
        <v>35</v>
      </c>
      <c r="L2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0" s="279" t="s">
        <v>385</v>
      </c>
      <c r="N230" s="279">
        <v>125</v>
      </c>
      <c r="O230" s="276">
        <v>0.7</v>
      </c>
      <c r="P230" s="280">
        <f>IFERROR(_xlfn.LET(_xlpm.boxType, K230, _xlpm.tallos, N230, _xlpm.cost, O230, _xlpm.precio, Q230,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30" s="296">
        <v>1.89</v>
      </c>
      <c r="R230" s="276" t="s">
        <v>284</v>
      </c>
      <c r="S2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0" s="276">
        <v>0.7</v>
      </c>
      <c r="U23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30" s="274">
        <v>1.19</v>
      </c>
    </row>
    <row r="231" spans="1:22" ht="15.75" thickBot="1" x14ac:dyDescent="0.3">
      <c r="A231" s="277" t="s">
        <v>85</v>
      </c>
      <c r="B231" s="278">
        <f>_xlfn.XLOOKUP(Catalogo[[#This Row],[Finca]], Fincas[Nombre], Fincas[ID])</f>
        <v>38</v>
      </c>
      <c r="C231" s="277" t="s">
        <v>646</v>
      </c>
      <c r="D231" s="277" t="s">
        <v>801</v>
      </c>
      <c r="E231" s="277"/>
      <c r="F231" s="277" t="s">
        <v>503</v>
      </c>
      <c r="G231" s="277"/>
      <c r="H231" s="277"/>
      <c r="I231" s="311" t="s">
        <v>274</v>
      </c>
      <c r="J231" s="309"/>
      <c r="K231" s="278" t="s">
        <v>93</v>
      </c>
      <c r="L23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1" s="279" t="s">
        <v>387</v>
      </c>
      <c r="N231" s="279">
        <v>250</v>
      </c>
      <c r="O231" s="276">
        <v>0.7</v>
      </c>
      <c r="P231" s="280">
        <f>IFERROR(_xlfn.LET(_xlpm.boxType, K231, _xlpm.tallos, N231, _xlpm.cost, O231, _xlpm.precio, Q231,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31" s="296">
        <v>1.89</v>
      </c>
      <c r="R231" s="276" t="s">
        <v>285</v>
      </c>
      <c r="S23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1" s="276">
        <v>0.7</v>
      </c>
      <c r="U23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31" s="274">
        <v>1.19</v>
      </c>
    </row>
    <row r="232" spans="1:22" x14ac:dyDescent="0.25">
      <c r="A232" s="281" t="s">
        <v>85</v>
      </c>
      <c r="B232" s="282">
        <f>_xlfn.XLOOKUP(Catalogo[[#This Row],[Finca]], Fincas[Nombre], Fincas[ID])</f>
        <v>38</v>
      </c>
      <c r="C232" s="281" t="s">
        <v>646</v>
      </c>
      <c r="D232" s="281" t="s">
        <v>801</v>
      </c>
      <c r="E232" s="281"/>
      <c r="F232" s="281" t="s">
        <v>503</v>
      </c>
      <c r="G232" s="281"/>
      <c r="H232" s="281"/>
      <c r="I232" s="316" t="s">
        <v>275</v>
      </c>
      <c r="J232" s="308"/>
      <c r="K232" s="282" t="s">
        <v>31</v>
      </c>
      <c r="L23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2" s="283" t="s">
        <v>383</v>
      </c>
      <c r="N232" s="283">
        <v>50</v>
      </c>
      <c r="O232" s="285">
        <v>0.8</v>
      </c>
      <c r="P232" s="284">
        <f>IFERROR(_xlfn.LET(_xlpm.boxType, K232, _xlpm.tallos, N232, _xlpm.cost, O232, _xlpm.precio, Q232,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32" s="295">
        <v>2.19</v>
      </c>
      <c r="R232" s="285" t="s">
        <v>283</v>
      </c>
      <c r="S23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2" s="285">
        <v>0.8</v>
      </c>
      <c r="U23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32" s="287">
        <v>1.29</v>
      </c>
    </row>
    <row r="233" spans="1:22" x14ac:dyDescent="0.25">
      <c r="A233" s="277" t="s">
        <v>85</v>
      </c>
      <c r="B233" s="278">
        <f>_xlfn.XLOOKUP(Catalogo[[#This Row],[Finca]], Fincas[Nombre], Fincas[ID])</f>
        <v>38</v>
      </c>
      <c r="C233" s="277" t="s">
        <v>646</v>
      </c>
      <c r="D233" s="277" t="s">
        <v>801</v>
      </c>
      <c r="E233" s="277"/>
      <c r="F233" s="277" t="s">
        <v>503</v>
      </c>
      <c r="G233" s="277"/>
      <c r="H233" s="277"/>
      <c r="I233" s="311" t="s">
        <v>275</v>
      </c>
      <c r="J233" s="309"/>
      <c r="K233" s="278" t="s">
        <v>35</v>
      </c>
      <c r="L23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3" s="279" t="s">
        <v>385</v>
      </c>
      <c r="N233" s="279">
        <v>100</v>
      </c>
      <c r="O233" s="276">
        <v>0.8</v>
      </c>
      <c r="P233" s="280">
        <f>IFERROR(_xlfn.LET(_xlpm.boxType, K233, _xlpm.tallos, N233, _xlpm.cost, O233, _xlpm.precio, Q233,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33" s="296">
        <v>2.19</v>
      </c>
      <c r="R233" s="276" t="s">
        <v>284</v>
      </c>
      <c r="S23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3" s="276">
        <v>0.8</v>
      </c>
      <c r="U23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33" s="274">
        <v>1.29</v>
      </c>
    </row>
    <row r="234" spans="1:22" ht="15.75" thickBot="1" x14ac:dyDescent="0.3">
      <c r="A234" s="288" t="s">
        <v>85</v>
      </c>
      <c r="B234" s="289">
        <f>_xlfn.XLOOKUP(Catalogo[[#This Row],[Finca]], Fincas[Nombre], Fincas[ID])</f>
        <v>38</v>
      </c>
      <c r="C234" s="288" t="s">
        <v>646</v>
      </c>
      <c r="D234" s="288" t="s">
        <v>801</v>
      </c>
      <c r="E234" s="288"/>
      <c r="F234" s="288" t="s">
        <v>503</v>
      </c>
      <c r="G234" s="288"/>
      <c r="H234" s="288"/>
      <c r="I234" s="317" t="s">
        <v>275</v>
      </c>
      <c r="J234" s="310"/>
      <c r="K234" s="289" t="s">
        <v>93</v>
      </c>
      <c r="L23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4" s="290" t="s">
        <v>387</v>
      </c>
      <c r="N234" s="290">
        <v>200</v>
      </c>
      <c r="O234" s="292">
        <v>0.8</v>
      </c>
      <c r="P234" s="291">
        <f>IFERROR(_xlfn.LET(_xlpm.boxType, K234, _xlpm.tallos, N234, _xlpm.cost, O234, _xlpm.precio, Q234,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34" s="297">
        <v>2.19</v>
      </c>
      <c r="R234" s="292" t="s">
        <v>285</v>
      </c>
      <c r="S23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4" s="292">
        <v>0.8</v>
      </c>
      <c r="U23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34" s="294">
        <v>1.29</v>
      </c>
    </row>
    <row r="235" spans="1:22" x14ac:dyDescent="0.25">
      <c r="A235" s="281" t="s">
        <v>85</v>
      </c>
      <c r="B235" s="282">
        <f>_xlfn.XLOOKUP(Catalogo[[#This Row],[Finca]], Fincas[Nombre], Fincas[ID])</f>
        <v>38</v>
      </c>
      <c r="C235" s="281" t="s">
        <v>646</v>
      </c>
      <c r="D235" s="281" t="s">
        <v>802</v>
      </c>
      <c r="E235" s="281"/>
      <c r="F235" s="281" t="s">
        <v>503</v>
      </c>
      <c r="G235" s="281"/>
      <c r="H235" s="281"/>
      <c r="I235" s="316" t="s">
        <v>273</v>
      </c>
      <c r="J235" s="308"/>
      <c r="K235" s="282" t="s">
        <v>31</v>
      </c>
      <c r="L23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5" s="283" t="s">
        <v>383</v>
      </c>
      <c r="N235" s="283">
        <v>50</v>
      </c>
      <c r="O235" s="285">
        <v>0.6</v>
      </c>
      <c r="P235" s="284">
        <f>IFERROR(_xlfn.LET(_xlpm.boxType, K235, _xlpm.tallos, N235, _xlpm.cost, O235, _xlpm.precio, Q235,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35" s="295">
        <v>1.89</v>
      </c>
      <c r="R235" s="285" t="s">
        <v>283</v>
      </c>
      <c r="S23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5" s="285">
        <v>0.6</v>
      </c>
      <c r="U23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35" s="287">
        <v>1.0900000000000001</v>
      </c>
    </row>
    <row r="236" spans="1:22" x14ac:dyDescent="0.25">
      <c r="A236" s="277" t="s">
        <v>85</v>
      </c>
      <c r="B236" s="278">
        <f>_xlfn.XLOOKUP(Catalogo[[#This Row],[Finca]], Fincas[Nombre], Fincas[ID])</f>
        <v>38</v>
      </c>
      <c r="C236" s="277" t="s">
        <v>646</v>
      </c>
      <c r="D236" s="277" t="s">
        <v>802</v>
      </c>
      <c r="E236" s="277"/>
      <c r="F236" s="277" t="s">
        <v>503</v>
      </c>
      <c r="G236" s="277"/>
      <c r="H236" s="277"/>
      <c r="I236" s="311" t="s">
        <v>273</v>
      </c>
      <c r="J236" s="309"/>
      <c r="K236" s="278" t="s">
        <v>35</v>
      </c>
      <c r="L23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6" s="279" t="s">
        <v>385</v>
      </c>
      <c r="N236" s="279">
        <v>150</v>
      </c>
      <c r="O236" s="276">
        <v>0.6</v>
      </c>
      <c r="P236" s="280">
        <f>IFERROR(_xlfn.LET(_xlpm.boxType, K236, _xlpm.tallos, N236, _xlpm.cost, O236, _xlpm.precio, Q236,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36" s="296">
        <v>1.79</v>
      </c>
      <c r="R236" s="276" t="s">
        <v>284</v>
      </c>
      <c r="S23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6" s="276">
        <v>0.6</v>
      </c>
      <c r="U23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36" s="274">
        <v>0.99</v>
      </c>
    </row>
    <row r="237" spans="1:22" ht="15.75" thickBot="1" x14ac:dyDescent="0.3">
      <c r="A237" s="288" t="s">
        <v>85</v>
      </c>
      <c r="B237" s="289">
        <f>_xlfn.XLOOKUP(Catalogo[[#This Row],[Finca]], Fincas[Nombre], Fincas[ID])</f>
        <v>38</v>
      </c>
      <c r="C237" s="288" t="s">
        <v>646</v>
      </c>
      <c r="D237" s="288" t="s">
        <v>802</v>
      </c>
      <c r="E237" s="288"/>
      <c r="F237" s="288" t="s">
        <v>503</v>
      </c>
      <c r="G237" s="288"/>
      <c r="H237" s="288"/>
      <c r="I237" s="317" t="s">
        <v>273</v>
      </c>
      <c r="J237" s="310"/>
      <c r="K237" s="289" t="s">
        <v>93</v>
      </c>
      <c r="L23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7" s="290" t="s">
        <v>387</v>
      </c>
      <c r="N237" s="290">
        <v>300</v>
      </c>
      <c r="O237" s="292">
        <v>0.6</v>
      </c>
      <c r="P237" s="291">
        <f>IFERROR(_xlfn.LET(_xlpm.boxType, K237, _xlpm.tallos, N237, _xlpm.cost, O237, _xlpm.precio, Q237,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37" s="297">
        <v>1.79</v>
      </c>
      <c r="R237" s="292" t="s">
        <v>285</v>
      </c>
      <c r="S23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7" s="292">
        <v>0.6</v>
      </c>
      <c r="U23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37" s="294">
        <v>0.99</v>
      </c>
    </row>
    <row r="238" spans="1:22" x14ac:dyDescent="0.25">
      <c r="A238" s="277" t="s">
        <v>85</v>
      </c>
      <c r="B238" s="278">
        <f>_xlfn.XLOOKUP(Catalogo[[#This Row],[Finca]], Fincas[Nombre], Fincas[ID])</f>
        <v>38</v>
      </c>
      <c r="C238" s="277" t="s">
        <v>646</v>
      </c>
      <c r="D238" s="277" t="s">
        <v>802</v>
      </c>
      <c r="E238" s="277"/>
      <c r="F238" s="277" t="s">
        <v>503</v>
      </c>
      <c r="G238" s="277"/>
      <c r="H238" s="277"/>
      <c r="I238" s="311" t="s">
        <v>274</v>
      </c>
      <c r="J238" s="309"/>
      <c r="K238" s="278" t="s">
        <v>31</v>
      </c>
      <c r="L2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8" s="279" t="s">
        <v>383</v>
      </c>
      <c r="N238" s="279">
        <v>50</v>
      </c>
      <c r="O238" s="276">
        <v>0.7</v>
      </c>
      <c r="P238" s="280">
        <f>IFERROR(_xlfn.LET(_xlpm.boxType, K238, _xlpm.tallos, N238, _xlpm.cost, O238, _xlpm.precio, Q238,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38" s="296">
        <v>1.99</v>
      </c>
      <c r="R238" s="276" t="s">
        <v>283</v>
      </c>
      <c r="S2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8" s="276">
        <v>0.7</v>
      </c>
      <c r="U2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38" s="274">
        <v>1.19</v>
      </c>
    </row>
    <row r="239" spans="1:22" x14ac:dyDescent="0.25">
      <c r="A239" s="277" t="s">
        <v>85</v>
      </c>
      <c r="B239" s="278">
        <f>_xlfn.XLOOKUP(Catalogo[[#This Row],[Finca]], Fincas[Nombre], Fincas[ID])</f>
        <v>38</v>
      </c>
      <c r="C239" s="277" t="s">
        <v>646</v>
      </c>
      <c r="D239" s="277" t="s">
        <v>802</v>
      </c>
      <c r="E239" s="277"/>
      <c r="F239" s="277" t="s">
        <v>503</v>
      </c>
      <c r="G239" s="277"/>
      <c r="H239" s="277"/>
      <c r="I239" s="311" t="s">
        <v>274</v>
      </c>
      <c r="J239" s="309"/>
      <c r="K239" s="278" t="s">
        <v>35</v>
      </c>
      <c r="L2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39" s="279" t="s">
        <v>385</v>
      </c>
      <c r="N239" s="279">
        <v>125</v>
      </c>
      <c r="O239" s="276">
        <v>0.7</v>
      </c>
      <c r="P239" s="280">
        <f>IFERROR(_xlfn.LET(_xlpm.boxType, K239, _xlpm.tallos, N239, _xlpm.cost, O239, _xlpm.precio, Q239,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39" s="296">
        <v>1.89</v>
      </c>
      <c r="R239" s="276" t="s">
        <v>284</v>
      </c>
      <c r="S2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39" s="276">
        <v>0.7</v>
      </c>
      <c r="U23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39" s="274">
        <v>1.19</v>
      </c>
    </row>
    <row r="240" spans="1:22" ht="15.75" thickBot="1" x14ac:dyDescent="0.3">
      <c r="A240" s="277" t="s">
        <v>85</v>
      </c>
      <c r="B240" s="278">
        <f>_xlfn.XLOOKUP(Catalogo[[#This Row],[Finca]], Fincas[Nombre], Fincas[ID])</f>
        <v>38</v>
      </c>
      <c r="C240" s="277" t="s">
        <v>646</v>
      </c>
      <c r="D240" s="277" t="s">
        <v>802</v>
      </c>
      <c r="E240" s="277"/>
      <c r="F240" s="277" t="s">
        <v>503</v>
      </c>
      <c r="G240" s="277"/>
      <c r="H240" s="277"/>
      <c r="I240" s="311" t="s">
        <v>274</v>
      </c>
      <c r="J240" s="309"/>
      <c r="K240" s="278" t="s">
        <v>93</v>
      </c>
      <c r="L24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0" s="279" t="s">
        <v>387</v>
      </c>
      <c r="N240" s="279">
        <v>250</v>
      </c>
      <c r="O240" s="276">
        <v>0.7</v>
      </c>
      <c r="P240" s="280">
        <f>IFERROR(_xlfn.LET(_xlpm.boxType, K240, _xlpm.tallos, N240, _xlpm.cost, O240, _xlpm.precio, Q240,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40" s="296">
        <v>1.89</v>
      </c>
      <c r="R240" s="276" t="s">
        <v>285</v>
      </c>
      <c r="S24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0" s="276">
        <v>0.7</v>
      </c>
      <c r="U24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0" s="274">
        <v>1.19</v>
      </c>
    </row>
    <row r="241" spans="1:22" x14ac:dyDescent="0.25">
      <c r="A241" s="281" t="s">
        <v>85</v>
      </c>
      <c r="B241" s="282">
        <f>_xlfn.XLOOKUP(Catalogo[[#This Row],[Finca]], Fincas[Nombre], Fincas[ID])</f>
        <v>38</v>
      </c>
      <c r="C241" s="281" t="s">
        <v>646</v>
      </c>
      <c r="D241" s="281" t="s">
        <v>802</v>
      </c>
      <c r="E241" s="281"/>
      <c r="F241" s="281" t="s">
        <v>503</v>
      </c>
      <c r="G241" s="281"/>
      <c r="H241" s="281"/>
      <c r="I241" s="316" t="s">
        <v>275</v>
      </c>
      <c r="J241" s="308"/>
      <c r="K241" s="282" t="s">
        <v>31</v>
      </c>
      <c r="L24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1" s="283" t="s">
        <v>383</v>
      </c>
      <c r="N241" s="283">
        <v>50</v>
      </c>
      <c r="O241" s="285">
        <v>0.8</v>
      </c>
      <c r="P241" s="284">
        <f>IFERROR(_xlfn.LET(_xlpm.boxType, K241, _xlpm.tallos, N241, _xlpm.cost, O241, _xlpm.precio, Q241,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41" s="295">
        <v>2.19</v>
      </c>
      <c r="R241" s="285" t="s">
        <v>283</v>
      </c>
      <c r="S24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1" s="285">
        <v>0.8</v>
      </c>
      <c r="U24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41" s="287">
        <v>1.29</v>
      </c>
    </row>
    <row r="242" spans="1:22" x14ac:dyDescent="0.25">
      <c r="A242" s="277" t="s">
        <v>85</v>
      </c>
      <c r="B242" s="278">
        <f>_xlfn.XLOOKUP(Catalogo[[#This Row],[Finca]], Fincas[Nombre], Fincas[ID])</f>
        <v>38</v>
      </c>
      <c r="C242" s="277" t="s">
        <v>646</v>
      </c>
      <c r="D242" s="277" t="s">
        <v>802</v>
      </c>
      <c r="E242" s="277"/>
      <c r="F242" s="277" t="s">
        <v>503</v>
      </c>
      <c r="G242" s="277"/>
      <c r="H242" s="277"/>
      <c r="I242" s="311" t="s">
        <v>275</v>
      </c>
      <c r="J242" s="309"/>
      <c r="K242" s="278" t="s">
        <v>35</v>
      </c>
      <c r="L24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2" s="279" t="s">
        <v>385</v>
      </c>
      <c r="N242" s="279">
        <v>100</v>
      </c>
      <c r="O242" s="276">
        <v>0.8</v>
      </c>
      <c r="P242" s="280">
        <f>IFERROR(_xlfn.LET(_xlpm.boxType, K242, _xlpm.tallos, N242, _xlpm.cost, O242, _xlpm.precio, Q242,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42" s="296">
        <v>2.19</v>
      </c>
      <c r="R242" s="276" t="s">
        <v>284</v>
      </c>
      <c r="S24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2" s="276">
        <v>0.8</v>
      </c>
      <c r="U24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42" s="274">
        <v>1.29</v>
      </c>
    </row>
    <row r="243" spans="1:22" ht="15.75" thickBot="1" x14ac:dyDescent="0.3">
      <c r="A243" s="288" t="s">
        <v>85</v>
      </c>
      <c r="B243" s="289">
        <f>_xlfn.XLOOKUP(Catalogo[[#This Row],[Finca]], Fincas[Nombre], Fincas[ID])</f>
        <v>38</v>
      </c>
      <c r="C243" s="288" t="s">
        <v>646</v>
      </c>
      <c r="D243" s="288" t="s">
        <v>802</v>
      </c>
      <c r="E243" s="288"/>
      <c r="F243" s="288" t="s">
        <v>503</v>
      </c>
      <c r="G243" s="288"/>
      <c r="H243" s="288"/>
      <c r="I243" s="317" t="s">
        <v>275</v>
      </c>
      <c r="J243" s="310"/>
      <c r="K243" s="289" t="s">
        <v>93</v>
      </c>
      <c r="L24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3" s="290" t="s">
        <v>387</v>
      </c>
      <c r="N243" s="290">
        <v>200</v>
      </c>
      <c r="O243" s="292">
        <v>0.8</v>
      </c>
      <c r="P243" s="291">
        <f>IFERROR(_xlfn.LET(_xlpm.boxType, K243, _xlpm.tallos, N243, _xlpm.cost, O243, _xlpm.precio, Q243,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43" s="297">
        <v>2.19</v>
      </c>
      <c r="R243" s="292" t="s">
        <v>285</v>
      </c>
      <c r="S24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3" s="292">
        <v>0.8</v>
      </c>
      <c r="U24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43" s="294">
        <v>1.29</v>
      </c>
    </row>
    <row r="244" spans="1:22" x14ac:dyDescent="0.25">
      <c r="A244" s="281" t="s">
        <v>85</v>
      </c>
      <c r="B244" s="282">
        <f>_xlfn.XLOOKUP(Catalogo[[#This Row],[Finca]], Fincas[Nombre], Fincas[ID])</f>
        <v>38</v>
      </c>
      <c r="C244" s="281" t="s">
        <v>646</v>
      </c>
      <c r="D244" s="281" t="s">
        <v>803</v>
      </c>
      <c r="E244" s="281"/>
      <c r="F244" s="281" t="s">
        <v>557</v>
      </c>
      <c r="G244" s="281"/>
      <c r="H244" s="281"/>
      <c r="I244" s="316" t="s">
        <v>273</v>
      </c>
      <c r="J244" s="308"/>
      <c r="K244" s="282" t="s">
        <v>31</v>
      </c>
      <c r="L24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4" s="283" t="s">
        <v>383</v>
      </c>
      <c r="N244" s="283">
        <v>50</v>
      </c>
      <c r="O244" s="285">
        <v>0.6</v>
      </c>
      <c r="P244" s="284">
        <f>IFERROR(_xlfn.LET(_xlpm.boxType, K244, _xlpm.tallos, N244, _xlpm.cost, O244, _xlpm.precio, Q244,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44" s="295">
        <v>1.89</v>
      </c>
      <c r="R244" s="285" t="s">
        <v>283</v>
      </c>
      <c r="S24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4" s="285">
        <v>0.6</v>
      </c>
      <c r="U24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44" s="287">
        <v>1.0900000000000001</v>
      </c>
    </row>
    <row r="245" spans="1:22" x14ac:dyDescent="0.25">
      <c r="A245" s="277" t="s">
        <v>85</v>
      </c>
      <c r="B245" s="278">
        <f>_xlfn.XLOOKUP(Catalogo[[#This Row],[Finca]], Fincas[Nombre], Fincas[ID])</f>
        <v>38</v>
      </c>
      <c r="C245" s="277" t="s">
        <v>646</v>
      </c>
      <c r="D245" s="277" t="s">
        <v>803</v>
      </c>
      <c r="E245" s="277"/>
      <c r="F245" s="277" t="s">
        <v>557</v>
      </c>
      <c r="G245" s="277"/>
      <c r="H245" s="277"/>
      <c r="I245" s="311" t="s">
        <v>273</v>
      </c>
      <c r="J245" s="309"/>
      <c r="K245" s="278" t="s">
        <v>35</v>
      </c>
      <c r="L24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5" s="279" t="s">
        <v>385</v>
      </c>
      <c r="N245" s="279">
        <v>150</v>
      </c>
      <c r="O245" s="276">
        <v>0.6</v>
      </c>
      <c r="P245" s="280">
        <f>IFERROR(_xlfn.LET(_xlpm.boxType, K245, _xlpm.tallos, N245, _xlpm.cost, O245, _xlpm.precio, Q245,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45" s="296">
        <v>1.79</v>
      </c>
      <c r="R245" s="276" t="s">
        <v>284</v>
      </c>
      <c r="S24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5" s="276">
        <v>0.6</v>
      </c>
      <c r="U24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45" s="274">
        <v>0.99</v>
      </c>
    </row>
    <row r="246" spans="1:22" ht="15.75" thickBot="1" x14ac:dyDescent="0.3">
      <c r="A246" s="288" t="s">
        <v>85</v>
      </c>
      <c r="B246" s="289">
        <f>_xlfn.XLOOKUP(Catalogo[[#This Row],[Finca]], Fincas[Nombre], Fincas[ID])</f>
        <v>38</v>
      </c>
      <c r="C246" s="288" t="s">
        <v>646</v>
      </c>
      <c r="D246" s="288" t="s">
        <v>803</v>
      </c>
      <c r="E246" s="288"/>
      <c r="F246" s="288" t="s">
        <v>557</v>
      </c>
      <c r="G246" s="288"/>
      <c r="H246" s="288"/>
      <c r="I246" s="317" t="s">
        <v>273</v>
      </c>
      <c r="J246" s="310"/>
      <c r="K246" s="289" t="s">
        <v>93</v>
      </c>
      <c r="L24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6" s="290" t="s">
        <v>387</v>
      </c>
      <c r="N246" s="290">
        <v>300</v>
      </c>
      <c r="O246" s="292">
        <v>0.6</v>
      </c>
      <c r="P246" s="291">
        <f>IFERROR(_xlfn.LET(_xlpm.boxType, K246, _xlpm.tallos, N246, _xlpm.cost, O246, _xlpm.precio, Q246,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46" s="297">
        <v>1.79</v>
      </c>
      <c r="R246" s="292" t="s">
        <v>285</v>
      </c>
      <c r="S24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6" s="292">
        <v>0.6</v>
      </c>
      <c r="U24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46" s="294">
        <v>0.99</v>
      </c>
    </row>
    <row r="247" spans="1:22" x14ac:dyDescent="0.25">
      <c r="A247" s="277" t="s">
        <v>85</v>
      </c>
      <c r="B247" s="278">
        <f>_xlfn.XLOOKUP(Catalogo[[#This Row],[Finca]], Fincas[Nombre], Fincas[ID])</f>
        <v>38</v>
      </c>
      <c r="C247" s="277" t="s">
        <v>646</v>
      </c>
      <c r="D247" s="277" t="s">
        <v>803</v>
      </c>
      <c r="E247" s="277"/>
      <c r="F247" s="277" t="s">
        <v>557</v>
      </c>
      <c r="G247" s="277"/>
      <c r="H247" s="277"/>
      <c r="I247" s="311" t="s">
        <v>274</v>
      </c>
      <c r="J247" s="309"/>
      <c r="K247" s="278" t="s">
        <v>31</v>
      </c>
      <c r="L2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7" s="279" t="s">
        <v>383</v>
      </c>
      <c r="N247" s="279">
        <v>50</v>
      </c>
      <c r="O247" s="276">
        <v>0.7</v>
      </c>
      <c r="P247" s="280">
        <f>IFERROR(_xlfn.LET(_xlpm.boxType, K247, _xlpm.tallos, N247, _xlpm.cost, O247, _xlpm.precio, Q247,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47" s="296">
        <v>1.99</v>
      </c>
      <c r="R247" s="276" t="s">
        <v>283</v>
      </c>
      <c r="S2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7" s="276">
        <v>0.7</v>
      </c>
      <c r="U2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47" s="274">
        <v>1.19</v>
      </c>
    </row>
    <row r="248" spans="1:22" x14ac:dyDescent="0.25">
      <c r="A248" s="277" t="s">
        <v>85</v>
      </c>
      <c r="B248" s="278">
        <f>_xlfn.XLOOKUP(Catalogo[[#This Row],[Finca]], Fincas[Nombre], Fincas[ID])</f>
        <v>38</v>
      </c>
      <c r="C248" s="277" t="s">
        <v>646</v>
      </c>
      <c r="D248" s="277" t="s">
        <v>803</v>
      </c>
      <c r="E248" s="277"/>
      <c r="F248" s="277" t="s">
        <v>557</v>
      </c>
      <c r="G248" s="277"/>
      <c r="H248" s="277"/>
      <c r="I248" s="311" t="s">
        <v>274</v>
      </c>
      <c r="J248" s="309"/>
      <c r="K248" s="278" t="s">
        <v>35</v>
      </c>
      <c r="L24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8" s="279" t="s">
        <v>385</v>
      </c>
      <c r="N248" s="279">
        <v>125</v>
      </c>
      <c r="O248" s="276">
        <v>0.7</v>
      </c>
      <c r="P248" s="280">
        <f>IFERROR(_xlfn.LET(_xlpm.boxType, K248, _xlpm.tallos, N248, _xlpm.cost, O248, _xlpm.precio, Q248,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48" s="296">
        <v>1.89</v>
      </c>
      <c r="R248" s="276" t="s">
        <v>284</v>
      </c>
      <c r="S24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8" s="276">
        <v>0.7</v>
      </c>
      <c r="U24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8" s="274">
        <v>1.19</v>
      </c>
    </row>
    <row r="249" spans="1:22" ht="15.75" thickBot="1" x14ac:dyDescent="0.3">
      <c r="A249" s="277" t="s">
        <v>85</v>
      </c>
      <c r="B249" s="278">
        <f>_xlfn.XLOOKUP(Catalogo[[#This Row],[Finca]], Fincas[Nombre], Fincas[ID])</f>
        <v>38</v>
      </c>
      <c r="C249" s="277" t="s">
        <v>646</v>
      </c>
      <c r="D249" s="277" t="s">
        <v>803</v>
      </c>
      <c r="E249" s="277"/>
      <c r="F249" s="277" t="s">
        <v>557</v>
      </c>
      <c r="G249" s="277"/>
      <c r="H249" s="277"/>
      <c r="I249" s="311" t="s">
        <v>274</v>
      </c>
      <c r="J249" s="309"/>
      <c r="K249" s="278" t="s">
        <v>93</v>
      </c>
      <c r="L24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49" s="279" t="s">
        <v>387</v>
      </c>
      <c r="N249" s="279">
        <v>250</v>
      </c>
      <c r="O249" s="276">
        <v>0.7</v>
      </c>
      <c r="P249" s="280">
        <f>IFERROR(_xlfn.LET(_xlpm.boxType, K249, _xlpm.tallos, N249, _xlpm.cost, O249, _xlpm.precio, Q249,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49" s="296">
        <v>1.89</v>
      </c>
      <c r="R249" s="276" t="s">
        <v>285</v>
      </c>
      <c r="S24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49" s="276">
        <v>0.7</v>
      </c>
      <c r="U24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49" s="274">
        <v>1.19</v>
      </c>
    </row>
    <row r="250" spans="1:22" x14ac:dyDescent="0.25">
      <c r="A250" s="281" t="s">
        <v>85</v>
      </c>
      <c r="B250" s="282">
        <f>_xlfn.XLOOKUP(Catalogo[[#This Row],[Finca]], Fincas[Nombre], Fincas[ID])</f>
        <v>38</v>
      </c>
      <c r="C250" s="281" t="s">
        <v>646</v>
      </c>
      <c r="D250" s="281" t="s">
        <v>803</v>
      </c>
      <c r="E250" s="281"/>
      <c r="F250" s="281" t="s">
        <v>557</v>
      </c>
      <c r="G250" s="281"/>
      <c r="H250" s="281"/>
      <c r="I250" s="316" t="s">
        <v>275</v>
      </c>
      <c r="J250" s="308"/>
      <c r="K250" s="282" t="s">
        <v>31</v>
      </c>
      <c r="L25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0" s="283" t="s">
        <v>383</v>
      </c>
      <c r="N250" s="283">
        <v>50</v>
      </c>
      <c r="O250" s="285">
        <v>0.8</v>
      </c>
      <c r="P250" s="284">
        <f>IFERROR(_xlfn.LET(_xlpm.boxType, K250, _xlpm.tallos, N250, _xlpm.cost, O250, _xlpm.precio, Q250,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50" s="295">
        <v>2.19</v>
      </c>
      <c r="R250" s="285" t="s">
        <v>283</v>
      </c>
      <c r="S25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0" s="285">
        <v>0.8</v>
      </c>
      <c r="U25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50" s="287">
        <v>1.29</v>
      </c>
    </row>
    <row r="251" spans="1:22" x14ac:dyDescent="0.25">
      <c r="A251" s="277" t="s">
        <v>85</v>
      </c>
      <c r="B251" s="278">
        <f>_xlfn.XLOOKUP(Catalogo[[#This Row],[Finca]], Fincas[Nombre], Fincas[ID])</f>
        <v>38</v>
      </c>
      <c r="C251" s="277" t="s">
        <v>646</v>
      </c>
      <c r="D251" s="277" t="s">
        <v>803</v>
      </c>
      <c r="E251" s="277"/>
      <c r="F251" s="277" t="s">
        <v>557</v>
      </c>
      <c r="G251" s="277"/>
      <c r="H251" s="277"/>
      <c r="I251" s="311" t="s">
        <v>275</v>
      </c>
      <c r="J251" s="309"/>
      <c r="K251" s="278" t="s">
        <v>35</v>
      </c>
      <c r="L25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1" s="279" t="s">
        <v>385</v>
      </c>
      <c r="N251" s="279">
        <v>100</v>
      </c>
      <c r="O251" s="276">
        <v>0.8</v>
      </c>
      <c r="P251" s="280">
        <f>IFERROR(_xlfn.LET(_xlpm.boxType, K251, _xlpm.tallos, N251, _xlpm.cost, O251, _xlpm.precio, Q251,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51" s="296">
        <v>2.19</v>
      </c>
      <c r="R251" s="276" t="s">
        <v>284</v>
      </c>
      <c r="S25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1" s="276">
        <v>0.8</v>
      </c>
      <c r="U25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51" s="274">
        <v>1.29</v>
      </c>
    </row>
    <row r="252" spans="1:22" ht="15.75" thickBot="1" x14ac:dyDescent="0.3">
      <c r="A252" s="288" t="s">
        <v>85</v>
      </c>
      <c r="B252" s="289">
        <f>_xlfn.XLOOKUP(Catalogo[[#This Row],[Finca]], Fincas[Nombre], Fincas[ID])</f>
        <v>38</v>
      </c>
      <c r="C252" s="288" t="s">
        <v>646</v>
      </c>
      <c r="D252" s="288" t="s">
        <v>803</v>
      </c>
      <c r="E252" s="288"/>
      <c r="F252" s="288" t="s">
        <v>557</v>
      </c>
      <c r="G252" s="288"/>
      <c r="H252" s="288"/>
      <c r="I252" s="317" t="s">
        <v>275</v>
      </c>
      <c r="J252" s="310"/>
      <c r="K252" s="289" t="s">
        <v>93</v>
      </c>
      <c r="L25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2" s="290" t="s">
        <v>387</v>
      </c>
      <c r="N252" s="290">
        <v>200</v>
      </c>
      <c r="O252" s="292">
        <v>0.8</v>
      </c>
      <c r="P252" s="291">
        <f>IFERROR(_xlfn.LET(_xlpm.boxType, K252, _xlpm.tallos, N252, _xlpm.cost, O252, _xlpm.precio, Q252,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52" s="297">
        <v>2.19</v>
      </c>
      <c r="R252" s="292" t="s">
        <v>285</v>
      </c>
      <c r="S25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2" s="292">
        <v>0.8</v>
      </c>
      <c r="U25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52" s="294">
        <v>1.29</v>
      </c>
    </row>
    <row r="253" spans="1:22" x14ac:dyDescent="0.25">
      <c r="A253" s="281" t="s">
        <v>85</v>
      </c>
      <c r="B253" s="282">
        <f>_xlfn.XLOOKUP(Catalogo[[#This Row],[Finca]], Fincas[Nombre], Fincas[ID])</f>
        <v>38</v>
      </c>
      <c r="C253" s="281" t="s">
        <v>646</v>
      </c>
      <c r="D253" s="281" t="s">
        <v>804</v>
      </c>
      <c r="E253" s="281"/>
      <c r="F253" s="281" t="s">
        <v>526</v>
      </c>
      <c r="G253" s="281"/>
      <c r="H253" s="281"/>
      <c r="I253" s="316" t="s">
        <v>273</v>
      </c>
      <c r="J253" s="308"/>
      <c r="K253" s="282" t="s">
        <v>31</v>
      </c>
      <c r="L25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3" s="283" t="s">
        <v>383</v>
      </c>
      <c r="N253" s="283">
        <v>50</v>
      </c>
      <c r="O253" s="285">
        <v>0.6</v>
      </c>
      <c r="P253" s="284">
        <f>IFERROR(_xlfn.LET(_xlpm.boxType, K253, _xlpm.tallos, N253, _xlpm.cost, O253, _xlpm.precio, Q253,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0.21186067019400345</v>
      </c>
      <c r="Q253" s="295">
        <v>1.89</v>
      </c>
      <c r="R253" s="285" t="s">
        <v>283</v>
      </c>
      <c r="S25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3" s="285">
        <v>0.6</v>
      </c>
      <c r="U25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0.22443961032819448</v>
      </c>
      <c r="V253" s="287">
        <v>1.0900000000000001</v>
      </c>
    </row>
    <row r="254" spans="1:22" x14ac:dyDescent="0.25">
      <c r="A254" s="277" t="s">
        <v>85</v>
      </c>
      <c r="B254" s="278">
        <f>_xlfn.XLOOKUP(Catalogo[[#This Row],[Finca]], Fincas[Nombre], Fincas[ID])</f>
        <v>38</v>
      </c>
      <c r="C254" s="277" t="s">
        <v>646</v>
      </c>
      <c r="D254" s="277" t="s">
        <v>804</v>
      </c>
      <c r="E254" s="277"/>
      <c r="F254" s="277" t="s">
        <v>526</v>
      </c>
      <c r="G254" s="277"/>
      <c r="H254" s="277"/>
      <c r="I254" s="311" t="s">
        <v>273</v>
      </c>
      <c r="J254" s="309"/>
      <c r="K254" s="278" t="s">
        <v>35</v>
      </c>
      <c r="L25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4" s="279" t="s">
        <v>385</v>
      </c>
      <c r="N254" s="279">
        <v>150</v>
      </c>
      <c r="O254" s="276">
        <v>0.6</v>
      </c>
      <c r="P254" s="280">
        <f>IFERROR(_xlfn.LET(_xlpm.boxType, K254, _xlpm.tallos, N254, _xlpm.cost, O254, _xlpm.precio, Q254,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0.33659217877094971</v>
      </c>
      <c r="Q254" s="296">
        <v>1.79</v>
      </c>
      <c r="R254" s="276" t="s">
        <v>284</v>
      </c>
      <c r="S25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4" s="276">
        <v>0.6</v>
      </c>
      <c r="U25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54" s="274">
        <v>0.99</v>
      </c>
    </row>
    <row r="255" spans="1:22" ht="15.75" thickBot="1" x14ac:dyDescent="0.3">
      <c r="A255" s="288" t="s">
        <v>85</v>
      </c>
      <c r="B255" s="289">
        <f>_xlfn.XLOOKUP(Catalogo[[#This Row],[Finca]], Fincas[Nombre], Fincas[ID])</f>
        <v>38</v>
      </c>
      <c r="C255" s="288" t="s">
        <v>646</v>
      </c>
      <c r="D255" s="288" t="s">
        <v>804</v>
      </c>
      <c r="E255" s="288"/>
      <c r="F255" s="288" t="s">
        <v>526</v>
      </c>
      <c r="G255" s="288"/>
      <c r="H255" s="288"/>
      <c r="I255" s="317" t="s">
        <v>273</v>
      </c>
      <c r="J255" s="310"/>
      <c r="K255" s="289" t="s">
        <v>93</v>
      </c>
      <c r="L25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5" s="290" t="s">
        <v>387</v>
      </c>
      <c r="N255" s="290">
        <v>300</v>
      </c>
      <c r="O255" s="292">
        <v>0.6</v>
      </c>
      <c r="P255" s="291">
        <f>IFERROR(_xlfn.LET(_xlpm.boxType, K255, _xlpm.tallos, N255, _xlpm.cost, O255, _xlpm.precio, Q255,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0.30749534450651772</v>
      </c>
      <c r="Q255" s="297">
        <v>1.79</v>
      </c>
      <c r="R255" s="292" t="s">
        <v>285</v>
      </c>
      <c r="S25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5" s="292">
        <v>0.6</v>
      </c>
      <c r="U25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0.2502343017806935</v>
      </c>
      <c r="V255" s="294">
        <v>0.99</v>
      </c>
    </row>
    <row r="256" spans="1:22" x14ac:dyDescent="0.25">
      <c r="A256" s="277" t="s">
        <v>85</v>
      </c>
      <c r="B256" s="278">
        <f>_xlfn.XLOOKUP(Catalogo[[#This Row],[Finca]], Fincas[Nombre], Fincas[ID])</f>
        <v>38</v>
      </c>
      <c r="C256" s="277" t="s">
        <v>646</v>
      </c>
      <c r="D256" s="277" t="s">
        <v>804</v>
      </c>
      <c r="E256" s="277"/>
      <c r="F256" s="277" t="s">
        <v>526</v>
      </c>
      <c r="G256" s="277"/>
      <c r="H256" s="277"/>
      <c r="I256" s="311" t="s">
        <v>274</v>
      </c>
      <c r="J256" s="309"/>
      <c r="K256" s="278" t="s">
        <v>31</v>
      </c>
      <c r="L2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6" s="279" t="s">
        <v>383</v>
      </c>
      <c r="N256" s="279">
        <v>50</v>
      </c>
      <c r="O256" s="276">
        <v>0.7</v>
      </c>
      <c r="P256" s="280">
        <f>IFERROR(_xlfn.LET(_xlpm.boxType, K256, _xlpm.tallos, N256, _xlpm.cost, O256, _xlpm.precio, Q256,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0.18865159128978226</v>
      </c>
      <c r="Q256" s="296">
        <v>1.99</v>
      </c>
      <c r="R256" s="276" t="s">
        <v>283</v>
      </c>
      <c r="S2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6" s="276">
        <v>0.7</v>
      </c>
      <c r="U25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0.22030667937277992</v>
      </c>
      <c r="V256" s="274">
        <v>1.19</v>
      </c>
    </row>
    <row r="257" spans="1:22" x14ac:dyDescent="0.25">
      <c r="A257" s="277" t="s">
        <v>85</v>
      </c>
      <c r="B257" s="278">
        <f>_xlfn.XLOOKUP(Catalogo[[#This Row],[Finca]], Fincas[Nombre], Fincas[ID])</f>
        <v>38</v>
      </c>
      <c r="C257" s="277" t="s">
        <v>646</v>
      </c>
      <c r="D257" s="277" t="s">
        <v>804</v>
      </c>
      <c r="E257" s="277"/>
      <c r="F257" s="277" t="s">
        <v>526</v>
      </c>
      <c r="G257" s="277"/>
      <c r="H257" s="277"/>
      <c r="I257" s="311" t="s">
        <v>274</v>
      </c>
      <c r="J257" s="309"/>
      <c r="K257" s="278" t="s">
        <v>35</v>
      </c>
      <c r="L2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7" s="279" t="s">
        <v>385</v>
      </c>
      <c r="N257" s="279">
        <v>125</v>
      </c>
      <c r="O257" s="276">
        <v>0.7</v>
      </c>
      <c r="P257" s="280">
        <f>IFERROR(_xlfn.LET(_xlpm.boxType, K257, _xlpm.tallos, N257, _xlpm.cost, O257, _xlpm.precio, Q257,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0.25595238095238082</v>
      </c>
      <c r="Q257" s="296">
        <v>1.89</v>
      </c>
      <c r="R257" s="276" t="s">
        <v>284</v>
      </c>
      <c r="S2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7" s="276">
        <v>0.7</v>
      </c>
      <c r="U25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57" s="274">
        <v>1.19</v>
      </c>
    </row>
    <row r="258" spans="1:22" ht="15.75" thickBot="1" x14ac:dyDescent="0.3">
      <c r="A258" s="277" t="s">
        <v>85</v>
      </c>
      <c r="B258" s="278">
        <f>_xlfn.XLOOKUP(Catalogo[[#This Row],[Finca]], Fincas[Nombre], Fincas[ID])</f>
        <v>38</v>
      </c>
      <c r="C258" s="277" t="s">
        <v>646</v>
      </c>
      <c r="D258" s="277" t="s">
        <v>804</v>
      </c>
      <c r="E258" s="277"/>
      <c r="F258" s="277" t="s">
        <v>526</v>
      </c>
      <c r="G258" s="277"/>
      <c r="H258" s="277"/>
      <c r="I258" s="311" t="s">
        <v>274</v>
      </c>
      <c r="J258" s="309"/>
      <c r="K258" s="278" t="s">
        <v>93</v>
      </c>
      <c r="L25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8" s="279" t="s">
        <v>387</v>
      </c>
      <c r="N258" s="279">
        <v>250</v>
      </c>
      <c r="O258" s="276">
        <v>0.7</v>
      </c>
      <c r="P258" s="280">
        <f>IFERROR(_xlfn.LET(_xlpm.boxType, K258, _xlpm.tallos, N258, _xlpm.cost, O258, _xlpm.precio, Q258,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0.22839506172839508</v>
      </c>
      <c r="Q258" s="296">
        <v>1.89</v>
      </c>
      <c r="R258" s="276" t="s">
        <v>285</v>
      </c>
      <c r="S25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8" s="276">
        <v>0.7</v>
      </c>
      <c r="U25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0.2636229749631811</v>
      </c>
      <c r="V258" s="274">
        <v>1.19</v>
      </c>
    </row>
    <row r="259" spans="1:22" x14ac:dyDescent="0.25">
      <c r="A259" s="281" t="s">
        <v>85</v>
      </c>
      <c r="B259" s="282">
        <f>_xlfn.XLOOKUP(Catalogo[[#This Row],[Finca]], Fincas[Nombre], Fincas[ID])</f>
        <v>38</v>
      </c>
      <c r="C259" s="281" t="s">
        <v>646</v>
      </c>
      <c r="D259" s="281" t="s">
        <v>804</v>
      </c>
      <c r="E259" s="281"/>
      <c r="F259" s="281" t="s">
        <v>526</v>
      </c>
      <c r="G259" s="281"/>
      <c r="H259" s="281"/>
      <c r="I259" s="316" t="s">
        <v>275</v>
      </c>
      <c r="J259" s="308"/>
      <c r="K259" s="282" t="s">
        <v>31</v>
      </c>
      <c r="L25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59" s="283" t="s">
        <v>383</v>
      </c>
      <c r="N259" s="283">
        <v>50</v>
      </c>
      <c r="O259" s="285">
        <v>0.8</v>
      </c>
      <c r="P259" s="284">
        <f>IFERROR(_xlfn.LET(_xlpm.boxType, K259, _xlpm.tallos, N259, _xlpm.cost, O259, _xlpm.precio, Q259,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59" s="295">
        <v>2.19</v>
      </c>
      <c r="R259" s="285" t="s">
        <v>283</v>
      </c>
      <c r="S25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59" s="285">
        <v>0.8</v>
      </c>
      <c r="U25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0.21681451290657727</v>
      </c>
      <c r="V259" s="287">
        <v>1.29</v>
      </c>
    </row>
    <row r="260" spans="1:22" x14ac:dyDescent="0.25">
      <c r="A260" s="277" t="s">
        <v>85</v>
      </c>
      <c r="B260" s="278">
        <f>_xlfn.XLOOKUP(Catalogo[[#This Row],[Finca]], Fincas[Nombre], Fincas[ID])</f>
        <v>38</v>
      </c>
      <c r="C260" s="277" t="s">
        <v>646</v>
      </c>
      <c r="D260" s="277" t="s">
        <v>804</v>
      </c>
      <c r="E260" s="277"/>
      <c r="F260" s="277" t="s">
        <v>526</v>
      </c>
      <c r="G260" s="277"/>
      <c r="H260" s="277"/>
      <c r="I260" s="311" t="s">
        <v>275</v>
      </c>
      <c r="J260" s="309"/>
      <c r="K260" s="278" t="s">
        <v>35</v>
      </c>
      <c r="L26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0" s="279" t="s">
        <v>385</v>
      </c>
      <c r="N260" s="279">
        <v>100</v>
      </c>
      <c r="O260" s="276">
        <v>0.8</v>
      </c>
      <c r="P260" s="280">
        <f>IFERROR(_xlfn.LET(_xlpm.boxType, K260, _xlpm.tallos, N260, _xlpm.cost, O260, _xlpm.precio, Q260,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0.24372146118721449</v>
      </c>
      <c r="Q260" s="296">
        <v>2.19</v>
      </c>
      <c r="R260" s="276" t="s">
        <v>284</v>
      </c>
      <c r="S26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0" s="276">
        <v>0.8</v>
      </c>
      <c r="U26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60" s="274">
        <v>1.29</v>
      </c>
    </row>
    <row r="261" spans="1:22" ht="15.75" thickBot="1" x14ac:dyDescent="0.3">
      <c r="A261" s="288" t="s">
        <v>85</v>
      </c>
      <c r="B261" s="289">
        <f>_xlfn.XLOOKUP(Catalogo[[#This Row],[Finca]], Fincas[Nombre], Fincas[ID])</f>
        <v>38</v>
      </c>
      <c r="C261" s="288" t="s">
        <v>646</v>
      </c>
      <c r="D261" s="288" t="s">
        <v>804</v>
      </c>
      <c r="E261" s="288"/>
      <c r="F261" s="288" t="s">
        <v>526</v>
      </c>
      <c r="G261" s="288"/>
      <c r="H261" s="288"/>
      <c r="I261" s="317" t="s">
        <v>275</v>
      </c>
      <c r="J261" s="310"/>
      <c r="K261" s="289" t="s">
        <v>93</v>
      </c>
      <c r="L26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1" s="290" t="s">
        <v>387</v>
      </c>
      <c r="N261" s="290">
        <v>200</v>
      </c>
      <c r="O261" s="292">
        <v>0.8</v>
      </c>
      <c r="P261" s="291">
        <f>IFERROR(_xlfn.LET(_xlpm.boxType, K261, _xlpm.tallos, N261, _xlpm.cost, O261, _xlpm.precio, Q261,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0.21042617960426169</v>
      </c>
      <c r="Q261" s="297">
        <v>2.19</v>
      </c>
      <c r="R261" s="292" t="s">
        <v>285</v>
      </c>
      <c r="S26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1" s="292">
        <v>0.8</v>
      </c>
      <c r="U26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0.20083113561895638</v>
      </c>
      <c r="V261" s="294">
        <v>1.29</v>
      </c>
    </row>
    <row r="262" spans="1:22" x14ac:dyDescent="0.25">
      <c r="A262" s="277"/>
      <c r="B262" s="278">
        <f>_xlfn.XLOOKUP(Catalogo[[#This Row],[Finca]], Fincas[Nombre], Fincas[ID])</f>
        <v>0</v>
      </c>
      <c r="C262" s="277"/>
      <c r="D262" s="277"/>
      <c r="E262" s="277"/>
      <c r="F262" s="277"/>
      <c r="G262" s="277"/>
      <c r="H262" s="277"/>
      <c r="I262" s="311"/>
      <c r="J262" s="309"/>
      <c r="K262" s="278"/>
      <c r="L26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62" s="279"/>
      <c r="N262" s="279"/>
      <c r="O262" s="276"/>
      <c r="P262" s="280" t="str">
        <f>IFERROR(_xlfn.LET(_xlpm.boxType, K262, _xlpm.tallos, N262, _xlpm.cost, O262, _xlpm.precio, Q262,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62" s="296"/>
      <c r="R262" s="276"/>
      <c r="S26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62" s="276"/>
      <c r="U262" s="69"/>
    </row>
    <row r="263" spans="1:22" ht="15.75" thickBot="1" x14ac:dyDescent="0.3">
      <c r="A263" s="277"/>
      <c r="B263" s="278">
        <f>_xlfn.XLOOKUP(Catalogo[[#This Row],[Finca]], Fincas[Nombre], Fincas[ID])</f>
        <v>0</v>
      </c>
      <c r="C263" s="277"/>
      <c r="D263" s="277"/>
      <c r="E263" s="277"/>
      <c r="F263" s="277"/>
      <c r="G263" s="277"/>
      <c r="H263" s="277"/>
      <c r="I263" s="311"/>
      <c r="J263" s="309"/>
      <c r="K263" s="278"/>
      <c r="L26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263" s="279"/>
      <c r="N263" s="279"/>
      <c r="O263" s="276"/>
      <c r="P263" s="280" t="str">
        <f>IFERROR(_xlfn.LET(_xlpm.boxType, K263, _xlpm.tallos, N263, _xlpm.cost, O263, _xlpm.precio, Q263,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263" s="296"/>
      <c r="R263" s="276"/>
      <c r="S26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263" s="276"/>
      <c r="U263" s="69"/>
    </row>
    <row r="264" spans="1:22" x14ac:dyDescent="0.25">
      <c r="A264" s="281" t="s">
        <v>85</v>
      </c>
      <c r="B264" s="282">
        <f>_xlfn.XLOOKUP(Catalogo[[#This Row],[Finca]], Fincas[Nombre], Fincas[ID])</f>
        <v>38</v>
      </c>
      <c r="C264" s="281" t="s">
        <v>646</v>
      </c>
      <c r="D264" s="281" t="s">
        <v>805</v>
      </c>
      <c r="E264" s="281"/>
      <c r="F264" s="281" t="s">
        <v>534</v>
      </c>
      <c r="G264" s="281"/>
      <c r="H264" s="281"/>
      <c r="I264" s="316" t="s">
        <v>273</v>
      </c>
      <c r="J264" s="308"/>
      <c r="K264" s="282" t="s">
        <v>31</v>
      </c>
      <c r="L26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4" s="283" t="s">
        <v>383</v>
      </c>
      <c r="N264" s="283">
        <v>50</v>
      </c>
      <c r="O264" s="285">
        <v>0.26</v>
      </c>
      <c r="P264" s="284">
        <f>IFERROR(_xlfn.LET(_xlpm.boxType, K264, _xlpm.tallos, N264, _xlpm.cost, O264, _xlpm.precio, Q264,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64" s="295">
        <v>1.29</v>
      </c>
      <c r="R264" s="285" t="s">
        <v>283</v>
      </c>
      <c r="S26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4" s="285">
        <v>0.26</v>
      </c>
      <c r="U26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64" s="287">
        <v>0.75</v>
      </c>
    </row>
    <row r="265" spans="1:22" x14ac:dyDescent="0.25">
      <c r="A265" s="277" t="s">
        <v>85</v>
      </c>
      <c r="B265" s="278">
        <f>_xlfn.XLOOKUP(Catalogo[[#This Row],[Finca]], Fincas[Nombre], Fincas[ID])</f>
        <v>38</v>
      </c>
      <c r="C265" s="277" t="s">
        <v>646</v>
      </c>
      <c r="D265" s="277" t="s">
        <v>805</v>
      </c>
      <c r="E265" s="277"/>
      <c r="F265" s="277" t="s">
        <v>534</v>
      </c>
      <c r="G265" s="277"/>
      <c r="H265" s="277"/>
      <c r="I265" s="311" t="s">
        <v>273</v>
      </c>
      <c r="J265" s="309"/>
      <c r="K265" s="278" t="s">
        <v>35</v>
      </c>
      <c r="L2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5" s="279" t="s">
        <v>385</v>
      </c>
      <c r="N265" s="279">
        <v>150</v>
      </c>
      <c r="O265" s="276">
        <v>0.26</v>
      </c>
      <c r="P265" s="280">
        <f>IFERROR(_xlfn.LET(_xlpm.boxType, K265, _xlpm.tallos, N265, _xlpm.cost, O265, _xlpm.precio, Q265,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65" s="296">
        <v>1.19</v>
      </c>
      <c r="R265" s="276" t="s">
        <v>284</v>
      </c>
      <c r="S2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5" s="276">
        <v>0.26</v>
      </c>
      <c r="U26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65" s="274">
        <v>0.69</v>
      </c>
    </row>
    <row r="266" spans="1:22" ht="15.75" thickBot="1" x14ac:dyDescent="0.3">
      <c r="A266" s="288" t="s">
        <v>85</v>
      </c>
      <c r="B266" s="289">
        <f>_xlfn.XLOOKUP(Catalogo[[#This Row],[Finca]], Fincas[Nombre], Fincas[ID])</f>
        <v>38</v>
      </c>
      <c r="C266" s="288" t="s">
        <v>646</v>
      </c>
      <c r="D266" s="288" t="s">
        <v>805</v>
      </c>
      <c r="E266" s="288"/>
      <c r="F266" s="288" t="s">
        <v>534</v>
      </c>
      <c r="G266" s="288"/>
      <c r="H266" s="288"/>
      <c r="I266" s="317" t="s">
        <v>273</v>
      </c>
      <c r="J266" s="310"/>
      <c r="K266" s="289" t="s">
        <v>93</v>
      </c>
      <c r="L26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6" s="290" t="s">
        <v>387</v>
      </c>
      <c r="N266" s="290">
        <v>300</v>
      </c>
      <c r="O266" s="292">
        <v>0.26</v>
      </c>
      <c r="P266" s="291">
        <f>IFERROR(_xlfn.LET(_xlpm.boxType, K266, _xlpm.tallos, N266, _xlpm.cost, O266, _xlpm.precio, Q266,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66" s="297">
        <v>1.19</v>
      </c>
      <c r="R266" s="292" t="s">
        <v>285</v>
      </c>
      <c r="S26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6" s="292">
        <v>0.26</v>
      </c>
      <c r="U26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66" s="294">
        <v>0.69</v>
      </c>
    </row>
    <row r="267" spans="1:22" x14ac:dyDescent="0.25">
      <c r="A267" s="277" t="s">
        <v>85</v>
      </c>
      <c r="B267" s="278">
        <f>_xlfn.XLOOKUP(Catalogo[[#This Row],[Finca]], Fincas[Nombre], Fincas[ID])</f>
        <v>38</v>
      </c>
      <c r="C267" s="277" t="s">
        <v>646</v>
      </c>
      <c r="D267" s="277" t="s">
        <v>805</v>
      </c>
      <c r="E267" s="277"/>
      <c r="F267" s="277" t="s">
        <v>534</v>
      </c>
      <c r="G267" s="277"/>
      <c r="H267" s="277"/>
      <c r="I267" s="311" t="s">
        <v>274</v>
      </c>
      <c r="J267" s="309"/>
      <c r="K267" s="278" t="s">
        <v>31</v>
      </c>
      <c r="L2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7" s="279" t="s">
        <v>383</v>
      </c>
      <c r="N267" s="279">
        <v>50</v>
      </c>
      <c r="O267" s="276">
        <v>0.36</v>
      </c>
      <c r="P267" s="280">
        <f>IFERROR(_xlfn.LET(_xlpm.boxType, K267, _xlpm.tallos, N267, _xlpm.cost, O267, _xlpm.precio, Q267,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67" s="296">
        <v>1.49</v>
      </c>
      <c r="R267" s="276" t="s">
        <v>283</v>
      </c>
      <c r="S2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7" s="276">
        <v>0.36</v>
      </c>
      <c r="U26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67" s="274">
        <v>0.85</v>
      </c>
    </row>
    <row r="268" spans="1:22" x14ac:dyDescent="0.25">
      <c r="A268" s="277" t="s">
        <v>85</v>
      </c>
      <c r="B268" s="278">
        <f>_xlfn.XLOOKUP(Catalogo[[#This Row],[Finca]], Fincas[Nombre], Fincas[ID])</f>
        <v>38</v>
      </c>
      <c r="C268" s="277" t="s">
        <v>646</v>
      </c>
      <c r="D268" s="277" t="s">
        <v>805</v>
      </c>
      <c r="E268" s="277"/>
      <c r="F268" s="277" t="s">
        <v>534</v>
      </c>
      <c r="G268" s="277"/>
      <c r="H268" s="277"/>
      <c r="I268" s="311" t="s">
        <v>274</v>
      </c>
      <c r="J268" s="309"/>
      <c r="K268" s="278" t="s">
        <v>35</v>
      </c>
      <c r="L26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8" s="279" t="s">
        <v>385</v>
      </c>
      <c r="N268" s="279">
        <v>125</v>
      </c>
      <c r="O268" s="276">
        <v>0.36</v>
      </c>
      <c r="P268" s="280">
        <f>IFERROR(_xlfn.LET(_xlpm.boxType, K268, _xlpm.tallos, N268, _xlpm.cost, O268, _xlpm.precio, Q268,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68" s="296">
        <v>1.39</v>
      </c>
      <c r="R268" s="276" t="s">
        <v>284</v>
      </c>
      <c r="S26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8" s="276">
        <v>0.36</v>
      </c>
      <c r="U26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68" s="274">
        <v>0.79</v>
      </c>
    </row>
    <row r="269" spans="1:22" ht="15.75" thickBot="1" x14ac:dyDescent="0.3">
      <c r="A269" s="277" t="s">
        <v>85</v>
      </c>
      <c r="B269" s="278">
        <f>_xlfn.XLOOKUP(Catalogo[[#This Row],[Finca]], Fincas[Nombre], Fincas[ID])</f>
        <v>38</v>
      </c>
      <c r="C269" s="277" t="s">
        <v>646</v>
      </c>
      <c r="D269" s="277" t="s">
        <v>805</v>
      </c>
      <c r="E269" s="277"/>
      <c r="F269" s="277" t="s">
        <v>534</v>
      </c>
      <c r="G269" s="277"/>
      <c r="H269" s="277"/>
      <c r="I269" s="311" t="s">
        <v>274</v>
      </c>
      <c r="J269" s="309"/>
      <c r="K269" s="278" t="s">
        <v>93</v>
      </c>
      <c r="L26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69" s="279" t="s">
        <v>387</v>
      </c>
      <c r="N269" s="279">
        <v>250</v>
      </c>
      <c r="O269" s="276">
        <v>0.36</v>
      </c>
      <c r="P269" s="280">
        <f>IFERROR(_xlfn.LET(_xlpm.boxType, K269, _xlpm.tallos, N269, _xlpm.cost, O269, _xlpm.precio, Q269,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69" s="296">
        <v>1.39</v>
      </c>
      <c r="R269" s="276" t="s">
        <v>285</v>
      </c>
      <c r="S26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69" s="276">
        <v>0.36</v>
      </c>
      <c r="U26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69" s="274">
        <v>0.79</v>
      </c>
    </row>
    <row r="270" spans="1:22" x14ac:dyDescent="0.25">
      <c r="A270" s="281" t="s">
        <v>85</v>
      </c>
      <c r="B270" s="282">
        <f>_xlfn.XLOOKUP(Catalogo[[#This Row],[Finca]], Fincas[Nombre], Fincas[ID])</f>
        <v>38</v>
      </c>
      <c r="C270" s="281" t="s">
        <v>646</v>
      </c>
      <c r="D270" s="281" t="s">
        <v>805</v>
      </c>
      <c r="E270" s="281"/>
      <c r="F270" s="281" t="s">
        <v>534</v>
      </c>
      <c r="G270" s="281"/>
      <c r="H270" s="281"/>
      <c r="I270" s="316" t="s">
        <v>275</v>
      </c>
      <c r="J270" s="308"/>
      <c r="K270" s="282" t="s">
        <v>31</v>
      </c>
      <c r="L27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0" s="283" t="s">
        <v>383</v>
      </c>
      <c r="N270" s="283">
        <v>50</v>
      </c>
      <c r="O270" s="285">
        <v>0.42</v>
      </c>
      <c r="P270" s="284">
        <f>IFERROR(_xlfn.LET(_xlpm.boxType, K270, _xlpm.tallos, N270, _xlpm.cost, O270, _xlpm.precio, Q270,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70" s="295">
        <v>1.59</v>
      </c>
      <c r="R270" s="285" t="s">
        <v>283</v>
      </c>
      <c r="S27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0" s="285">
        <v>0.42</v>
      </c>
      <c r="U27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70" s="287">
        <v>0.99</v>
      </c>
    </row>
    <row r="271" spans="1:22" x14ac:dyDescent="0.25">
      <c r="A271" s="277" t="s">
        <v>85</v>
      </c>
      <c r="B271" s="278">
        <f>_xlfn.XLOOKUP(Catalogo[[#This Row],[Finca]], Fincas[Nombre], Fincas[ID])</f>
        <v>38</v>
      </c>
      <c r="C271" s="277" t="s">
        <v>646</v>
      </c>
      <c r="D271" s="277" t="s">
        <v>805</v>
      </c>
      <c r="E271" s="277"/>
      <c r="F271" s="277" t="s">
        <v>534</v>
      </c>
      <c r="G271" s="277"/>
      <c r="H271" s="277"/>
      <c r="I271" s="311" t="s">
        <v>275</v>
      </c>
      <c r="J271" s="309"/>
      <c r="K271" s="278" t="s">
        <v>35</v>
      </c>
      <c r="L27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1" s="279" t="s">
        <v>385</v>
      </c>
      <c r="N271" s="279">
        <v>100</v>
      </c>
      <c r="O271" s="276">
        <v>0.42</v>
      </c>
      <c r="P271" s="280">
        <f>IFERROR(_xlfn.LET(_xlpm.boxType, K271, _xlpm.tallos, N271, _xlpm.cost, O271, _xlpm.precio, Q271,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71" s="296">
        <v>1.59</v>
      </c>
      <c r="R271" s="276" t="s">
        <v>284</v>
      </c>
      <c r="S27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1" s="276">
        <v>0.42</v>
      </c>
      <c r="U27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71" s="274">
        <v>0.89</v>
      </c>
    </row>
    <row r="272" spans="1:22" ht="15.75" thickBot="1" x14ac:dyDescent="0.3">
      <c r="A272" s="288" t="s">
        <v>85</v>
      </c>
      <c r="B272" s="289">
        <f>_xlfn.XLOOKUP(Catalogo[[#This Row],[Finca]], Fincas[Nombre], Fincas[ID])</f>
        <v>38</v>
      </c>
      <c r="C272" s="288" t="s">
        <v>646</v>
      </c>
      <c r="D272" s="288" t="s">
        <v>805</v>
      </c>
      <c r="E272" s="288"/>
      <c r="F272" s="288" t="s">
        <v>534</v>
      </c>
      <c r="G272" s="288"/>
      <c r="H272" s="288"/>
      <c r="I272" s="317" t="s">
        <v>275</v>
      </c>
      <c r="J272" s="310"/>
      <c r="K272" s="289" t="s">
        <v>93</v>
      </c>
      <c r="L27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2" s="290" t="s">
        <v>387</v>
      </c>
      <c r="N272" s="290">
        <v>200</v>
      </c>
      <c r="O272" s="292">
        <v>0.42</v>
      </c>
      <c r="P272" s="291">
        <f>IFERROR(_xlfn.LET(_xlpm.boxType, K272, _xlpm.tallos, N272, _xlpm.cost, O272, _xlpm.precio, Q272,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72" s="297">
        <v>1.59</v>
      </c>
      <c r="R272" s="292" t="s">
        <v>285</v>
      </c>
      <c r="S27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2" s="292">
        <v>0.42</v>
      </c>
      <c r="U27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72" s="294">
        <v>0.89</v>
      </c>
    </row>
    <row r="273" spans="1:22" x14ac:dyDescent="0.25">
      <c r="A273" s="281" t="s">
        <v>85</v>
      </c>
      <c r="B273" s="282">
        <f>_xlfn.XLOOKUP(Catalogo[[#This Row],[Finca]], Fincas[Nombre], Fincas[ID])</f>
        <v>38</v>
      </c>
      <c r="C273" s="281" t="s">
        <v>646</v>
      </c>
      <c r="D273" s="281" t="s">
        <v>806</v>
      </c>
      <c r="E273" s="281"/>
      <c r="F273" s="281" t="s">
        <v>570</v>
      </c>
      <c r="G273" s="281"/>
      <c r="H273" s="281"/>
      <c r="I273" s="316" t="s">
        <v>273</v>
      </c>
      <c r="J273" s="308"/>
      <c r="K273" s="282" t="s">
        <v>31</v>
      </c>
      <c r="L27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3" s="283" t="s">
        <v>383</v>
      </c>
      <c r="N273" s="283">
        <v>50</v>
      </c>
      <c r="O273" s="285">
        <v>0.26</v>
      </c>
      <c r="P273" s="284">
        <f>IFERROR(_xlfn.LET(_xlpm.boxType, K273, _xlpm.tallos, N273, _xlpm.cost, O273, _xlpm.precio, Q273,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73" s="295">
        <v>1.29</v>
      </c>
      <c r="R273" s="285" t="s">
        <v>283</v>
      </c>
      <c r="S27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3" s="285">
        <v>0.26</v>
      </c>
      <c r="U27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73" s="287">
        <v>0.75</v>
      </c>
    </row>
    <row r="274" spans="1:22" x14ac:dyDescent="0.25">
      <c r="A274" s="277" t="s">
        <v>85</v>
      </c>
      <c r="B274" s="278">
        <f>_xlfn.XLOOKUP(Catalogo[[#This Row],[Finca]], Fincas[Nombre], Fincas[ID])</f>
        <v>38</v>
      </c>
      <c r="C274" s="277" t="s">
        <v>646</v>
      </c>
      <c r="D274" s="277" t="s">
        <v>806</v>
      </c>
      <c r="E274" s="277"/>
      <c r="F274" s="277" t="s">
        <v>570</v>
      </c>
      <c r="G274" s="277"/>
      <c r="H274" s="277"/>
      <c r="I274" s="311" t="s">
        <v>273</v>
      </c>
      <c r="J274" s="309"/>
      <c r="K274" s="278" t="s">
        <v>35</v>
      </c>
      <c r="L27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4" s="279" t="s">
        <v>385</v>
      </c>
      <c r="N274" s="279">
        <v>150</v>
      </c>
      <c r="O274" s="276">
        <v>0.26</v>
      </c>
      <c r="P274" s="280">
        <f>IFERROR(_xlfn.LET(_xlpm.boxType, K274, _xlpm.tallos, N274, _xlpm.cost, O274, _xlpm.precio, Q274,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74" s="296">
        <v>1.19</v>
      </c>
      <c r="R274" s="276" t="s">
        <v>284</v>
      </c>
      <c r="S27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4" s="276">
        <v>0.26</v>
      </c>
      <c r="U27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74" s="274">
        <v>0.69</v>
      </c>
    </row>
    <row r="275" spans="1:22" ht="15.75" thickBot="1" x14ac:dyDescent="0.3">
      <c r="A275" s="288" t="s">
        <v>85</v>
      </c>
      <c r="B275" s="289">
        <f>_xlfn.XLOOKUP(Catalogo[[#This Row],[Finca]], Fincas[Nombre], Fincas[ID])</f>
        <v>38</v>
      </c>
      <c r="C275" s="288" t="s">
        <v>646</v>
      </c>
      <c r="D275" s="288" t="s">
        <v>806</v>
      </c>
      <c r="E275" s="288"/>
      <c r="F275" s="288" t="s">
        <v>570</v>
      </c>
      <c r="G275" s="288"/>
      <c r="H275" s="288"/>
      <c r="I275" s="317" t="s">
        <v>273</v>
      </c>
      <c r="J275" s="310"/>
      <c r="K275" s="289" t="s">
        <v>93</v>
      </c>
      <c r="L27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5" s="290" t="s">
        <v>387</v>
      </c>
      <c r="N275" s="290">
        <v>300</v>
      </c>
      <c r="O275" s="292">
        <v>0.26</v>
      </c>
      <c r="P275" s="291">
        <f>IFERROR(_xlfn.LET(_xlpm.boxType, K275, _xlpm.tallos, N275, _xlpm.cost, O275, _xlpm.precio, Q275,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75" s="297">
        <v>1.19</v>
      </c>
      <c r="R275" s="292" t="s">
        <v>285</v>
      </c>
      <c r="S27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5" s="292">
        <v>0.26</v>
      </c>
      <c r="U27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75" s="294">
        <v>0.69</v>
      </c>
    </row>
    <row r="276" spans="1:22" x14ac:dyDescent="0.25">
      <c r="A276" s="277" t="s">
        <v>85</v>
      </c>
      <c r="B276" s="278">
        <f>_xlfn.XLOOKUP(Catalogo[[#This Row],[Finca]], Fincas[Nombre], Fincas[ID])</f>
        <v>38</v>
      </c>
      <c r="C276" s="277" t="s">
        <v>646</v>
      </c>
      <c r="D276" s="277" t="s">
        <v>806</v>
      </c>
      <c r="E276" s="277"/>
      <c r="F276" s="277" t="s">
        <v>570</v>
      </c>
      <c r="G276" s="277"/>
      <c r="H276" s="277"/>
      <c r="I276" s="311" t="s">
        <v>274</v>
      </c>
      <c r="J276" s="309"/>
      <c r="K276" s="278" t="s">
        <v>31</v>
      </c>
      <c r="L27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6" s="279" t="s">
        <v>383</v>
      </c>
      <c r="N276" s="279">
        <v>50</v>
      </c>
      <c r="O276" s="276">
        <v>0.36</v>
      </c>
      <c r="P276" s="280">
        <f>IFERROR(_xlfn.LET(_xlpm.boxType, K276, _xlpm.tallos, N276, _xlpm.cost, O276, _xlpm.precio, Q276,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76" s="296">
        <v>1.49</v>
      </c>
      <c r="R276" s="276" t="s">
        <v>283</v>
      </c>
      <c r="S27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6" s="276">
        <v>0.36</v>
      </c>
      <c r="U27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76" s="274">
        <v>0.85</v>
      </c>
    </row>
    <row r="277" spans="1:22" x14ac:dyDescent="0.25">
      <c r="A277" s="277" t="s">
        <v>85</v>
      </c>
      <c r="B277" s="278">
        <f>_xlfn.XLOOKUP(Catalogo[[#This Row],[Finca]], Fincas[Nombre], Fincas[ID])</f>
        <v>38</v>
      </c>
      <c r="C277" s="277" t="s">
        <v>646</v>
      </c>
      <c r="D277" s="277" t="s">
        <v>806</v>
      </c>
      <c r="E277" s="277"/>
      <c r="F277" s="277" t="s">
        <v>570</v>
      </c>
      <c r="G277" s="277"/>
      <c r="H277" s="277"/>
      <c r="I277" s="311" t="s">
        <v>274</v>
      </c>
      <c r="J277" s="309"/>
      <c r="K277" s="278" t="s">
        <v>35</v>
      </c>
      <c r="L27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7" s="279" t="s">
        <v>385</v>
      </c>
      <c r="N277" s="279">
        <v>125</v>
      </c>
      <c r="O277" s="276">
        <v>0.36</v>
      </c>
      <c r="P277" s="280">
        <f>IFERROR(_xlfn.LET(_xlpm.boxType, K277, _xlpm.tallos, N277, _xlpm.cost, O277, _xlpm.precio, Q277,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77" s="296">
        <v>1.39</v>
      </c>
      <c r="R277" s="276" t="s">
        <v>284</v>
      </c>
      <c r="S27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7" s="276">
        <v>0.36</v>
      </c>
      <c r="U27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77" s="274">
        <v>0.79</v>
      </c>
    </row>
    <row r="278" spans="1:22" ht="15.75" thickBot="1" x14ac:dyDescent="0.3">
      <c r="A278" s="277" t="s">
        <v>85</v>
      </c>
      <c r="B278" s="278">
        <f>_xlfn.XLOOKUP(Catalogo[[#This Row],[Finca]], Fincas[Nombre], Fincas[ID])</f>
        <v>38</v>
      </c>
      <c r="C278" s="277" t="s">
        <v>646</v>
      </c>
      <c r="D278" s="277" t="s">
        <v>806</v>
      </c>
      <c r="E278" s="277"/>
      <c r="F278" s="277" t="s">
        <v>570</v>
      </c>
      <c r="G278" s="277"/>
      <c r="H278" s="277"/>
      <c r="I278" s="311" t="s">
        <v>274</v>
      </c>
      <c r="J278" s="309"/>
      <c r="K278" s="278" t="s">
        <v>93</v>
      </c>
      <c r="L27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8" s="279" t="s">
        <v>387</v>
      </c>
      <c r="N278" s="279">
        <v>250</v>
      </c>
      <c r="O278" s="276">
        <v>0.36</v>
      </c>
      <c r="P278" s="280">
        <f>IFERROR(_xlfn.LET(_xlpm.boxType, K278, _xlpm.tallos, N278, _xlpm.cost, O278, _xlpm.precio, Q278,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78" s="296">
        <v>1.39</v>
      </c>
      <c r="R278" s="276" t="s">
        <v>285</v>
      </c>
      <c r="S27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8" s="276">
        <v>0.36</v>
      </c>
      <c r="U27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78" s="274">
        <v>0.79</v>
      </c>
    </row>
    <row r="279" spans="1:22" x14ac:dyDescent="0.25">
      <c r="A279" s="281" t="s">
        <v>85</v>
      </c>
      <c r="B279" s="282">
        <f>_xlfn.XLOOKUP(Catalogo[[#This Row],[Finca]], Fincas[Nombre], Fincas[ID])</f>
        <v>38</v>
      </c>
      <c r="C279" s="281" t="s">
        <v>646</v>
      </c>
      <c r="D279" s="281" t="s">
        <v>806</v>
      </c>
      <c r="E279" s="281"/>
      <c r="F279" s="281" t="s">
        <v>570</v>
      </c>
      <c r="G279" s="281"/>
      <c r="H279" s="281"/>
      <c r="I279" s="316" t="s">
        <v>275</v>
      </c>
      <c r="J279" s="308"/>
      <c r="K279" s="282" t="s">
        <v>31</v>
      </c>
      <c r="L27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79" s="283" t="s">
        <v>383</v>
      </c>
      <c r="N279" s="283">
        <v>50</v>
      </c>
      <c r="O279" s="285">
        <v>0.42</v>
      </c>
      <c r="P279" s="284">
        <f>IFERROR(_xlfn.LET(_xlpm.boxType, K279, _xlpm.tallos, N279, _xlpm.cost, O279, _xlpm.precio, Q279,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79" s="295">
        <v>1.59</v>
      </c>
      <c r="R279" s="285" t="s">
        <v>283</v>
      </c>
      <c r="S27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79" s="285">
        <v>0.42</v>
      </c>
      <c r="U27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79" s="287">
        <v>0.99</v>
      </c>
    </row>
    <row r="280" spans="1:22" x14ac:dyDescent="0.25">
      <c r="A280" s="277" t="s">
        <v>85</v>
      </c>
      <c r="B280" s="278">
        <f>_xlfn.XLOOKUP(Catalogo[[#This Row],[Finca]], Fincas[Nombre], Fincas[ID])</f>
        <v>38</v>
      </c>
      <c r="C280" s="277" t="s">
        <v>646</v>
      </c>
      <c r="D280" s="277" t="s">
        <v>806</v>
      </c>
      <c r="E280" s="277"/>
      <c r="F280" s="277" t="s">
        <v>570</v>
      </c>
      <c r="G280" s="277"/>
      <c r="H280" s="277"/>
      <c r="I280" s="311" t="s">
        <v>275</v>
      </c>
      <c r="J280" s="309"/>
      <c r="K280" s="278" t="s">
        <v>35</v>
      </c>
      <c r="L28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0" s="279" t="s">
        <v>385</v>
      </c>
      <c r="N280" s="279">
        <v>100</v>
      </c>
      <c r="O280" s="276">
        <v>0.42</v>
      </c>
      <c r="P280" s="280">
        <f>IFERROR(_xlfn.LET(_xlpm.boxType, K280, _xlpm.tallos, N280, _xlpm.cost, O280, _xlpm.precio, Q280,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80" s="296">
        <v>1.59</v>
      </c>
      <c r="R280" s="276" t="s">
        <v>284</v>
      </c>
      <c r="S28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0" s="276">
        <v>0.42</v>
      </c>
      <c r="U28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80" s="274">
        <v>0.89</v>
      </c>
    </row>
    <row r="281" spans="1:22" ht="15.75" thickBot="1" x14ac:dyDescent="0.3">
      <c r="A281" s="288" t="s">
        <v>85</v>
      </c>
      <c r="B281" s="289">
        <f>_xlfn.XLOOKUP(Catalogo[[#This Row],[Finca]], Fincas[Nombre], Fincas[ID])</f>
        <v>38</v>
      </c>
      <c r="C281" s="288" t="s">
        <v>646</v>
      </c>
      <c r="D281" s="288" t="s">
        <v>806</v>
      </c>
      <c r="E281" s="288"/>
      <c r="F281" s="288" t="s">
        <v>570</v>
      </c>
      <c r="G281" s="288"/>
      <c r="H281" s="288"/>
      <c r="I281" s="317" t="s">
        <v>275</v>
      </c>
      <c r="J281" s="310"/>
      <c r="K281" s="289" t="s">
        <v>93</v>
      </c>
      <c r="L28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1" s="290" t="s">
        <v>387</v>
      </c>
      <c r="N281" s="290">
        <v>200</v>
      </c>
      <c r="O281" s="292">
        <v>0.42</v>
      </c>
      <c r="P281" s="291">
        <f>IFERROR(_xlfn.LET(_xlpm.boxType, K281, _xlpm.tallos, N281, _xlpm.cost, O281, _xlpm.precio, Q281,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81" s="297">
        <v>1.59</v>
      </c>
      <c r="R281" s="292" t="s">
        <v>285</v>
      </c>
      <c r="S28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1" s="292">
        <v>0.42</v>
      </c>
      <c r="U28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81" s="294">
        <v>0.89</v>
      </c>
    </row>
    <row r="282" spans="1:22" x14ac:dyDescent="0.25">
      <c r="A282" s="281" t="s">
        <v>85</v>
      </c>
      <c r="B282" s="282">
        <f>_xlfn.XLOOKUP(Catalogo[[#This Row],[Finca]], Fincas[Nombre], Fincas[ID])</f>
        <v>38</v>
      </c>
      <c r="C282" s="281" t="s">
        <v>646</v>
      </c>
      <c r="D282" s="281" t="s">
        <v>807</v>
      </c>
      <c r="E282" s="281"/>
      <c r="F282" s="281" t="s">
        <v>534</v>
      </c>
      <c r="G282" s="281"/>
      <c r="H282" s="281"/>
      <c r="I282" s="316" t="s">
        <v>273</v>
      </c>
      <c r="J282" s="308"/>
      <c r="K282" s="282" t="s">
        <v>31</v>
      </c>
      <c r="L28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2" s="283" t="s">
        <v>383</v>
      </c>
      <c r="N282" s="283">
        <v>50</v>
      </c>
      <c r="O282" s="285">
        <v>0.26</v>
      </c>
      <c r="P282" s="284">
        <f>IFERROR(_xlfn.LET(_xlpm.boxType, K282, _xlpm.tallos, N282, _xlpm.cost, O282, _xlpm.precio, Q282,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82" s="295">
        <v>1.29</v>
      </c>
      <c r="R282" s="285" t="s">
        <v>283</v>
      </c>
      <c r="S28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2" s="285">
        <v>0.26</v>
      </c>
      <c r="U28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82" s="287">
        <v>0.75</v>
      </c>
    </row>
    <row r="283" spans="1:22" x14ac:dyDescent="0.25">
      <c r="A283" s="277" t="s">
        <v>85</v>
      </c>
      <c r="B283" s="278">
        <f>_xlfn.XLOOKUP(Catalogo[[#This Row],[Finca]], Fincas[Nombre], Fincas[ID])</f>
        <v>38</v>
      </c>
      <c r="C283" s="277" t="s">
        <v>646</v>
      </c>
      <c r="D283" s="277" t="s">
        <v>807</v>
      </c>
      <c r="E283" s="277"/>
      <c r="F283" s="277" t="s">
        <v>534</v>
      </c>
      <c r="G283" s="277"/>
      <c r="H283" s="277"/>
      <c r="I283" s="311" t="s">
        <v>273</v>
      </c>
      <c r="J283" s="309"/>
      <c r="K283" s="278" t="s">
        <v>35</v>
      </c>
      <c r="L28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3" s="279" t="s">
        <v>385</v>
      </c>
      <c r="N283" s="279">
        <v>150</v>
      </c>
      <c r="O283" s="276">
        <v>0.26</v>
      </c>
      <c r="P283" s="280">
        <f>IFERROR(_xlfn.LET(_xlpm.boxType, K283, _xlpm.tallos, N283, _xlpm.cost, O283, _xlpm.precio, Q283,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83" s="296">
        <v>1.19</v>
      </c>
      <c r="R283" s="276" t="s">
        <v>284</v>
      </c>
      <c r="S28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3" s="276">
        <v>0.26</v>
      </c>
      <c r="U28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83" s="274">
        <v>0.69</v>
      </c>
    </row>
    <row r="284" spans="1:22" ht="15.75" thickBot="1" x14ac:dyDescent="0.3">
      <c r="A284" s="288" t="s">
        <v>85</v>
      </c>
      <c r="B284" s="289">
        <f>_xlfn.XLOOKUP(Catalogo[[#This Row],[Finca]], Fincas[Nombre], Fincas[ID])</f>
        <v>38</v>
      </c>
      <c r="C284" s="288" t="s">
        <v>646</v>
      </c>
      <c r="D284" s="288" t="s">
        <v>807</v>
      </c>
      <c r="E284" s="288"/>
      <c r="F284" s="288" t="s">
        <v>534</v>
      </c>
      <c r="G284" s="288"/>
      <c r="H284" s="288"/>
      <c r="I284" s="317" t="s">
        <v>273</v>
      </c>
      <c r="J284" s="310"/>
      <c r="K284" s="289" t="s">
        <v>93</v>
      </c>
      <c r="L28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4" s="290" t="s">
        <v>387</v>
      </c>
      <c r="N284" s="290">
        <v>300</v>
      </c>
      <c r="O284" s="292">
        <v>0.26</v>
      </c>
      <c r="P284" s="291">
        <f>IFERROR(_xlfn.LET(_xlpm.boxType, K284, _xlpm.tallos, N284, _xlpm.cost, O284, _xlpm.precio, Q284,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84" s="297">
        <v>1.19</v>
      </c>
      <c r="R284" s="292" t="s">
        <v>285</v>
      </c>
      <c r="S28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4" s="292">
        <v>0.26</v>
      </c>
      <c r="U28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84" s="294">
        <v>0.69</v>
      </c>
    </row>
    <row r="285" spans="1:22" x14ac:dyDescent="0.25">
      <c r="A285" s="277" t="s">
        <v>85</v>
      </c>
      <c r="B285" s="278">
        <f>_xlfn.XLOOKUP(Catalogo[[#This Row],[Finca]], Fincas[Nombre], Fincas[ID])</f>
        <v>38</v>
      </c>
      <c r="C285" s="277" t="s">
        <v>646</v>
      </c>
      <c r="D285" s="277" t="s">
        <v>807</v>
      </c>
      <c r="E285" s="277"/>
      <c r="F285" s="277" t="s">
        <v>534</v>
      </c>
      <c r="G285" s="277"/>
      <c r="H285" s="277"/>
      <c r="I285" s="311" t="s">
        <v>274</v>
      </c>
      <c r="J285" s="309"/>
      <c r="K285" s="278" t="s">
        <v>31</v>
      </c>
      <c r="L28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5" s="279" t="s">
        <v>383</v>
      </c>
      <c r="N285" s="279">
        <v>50</v>
      </c>
      <c r="O285" s="276">
        <v>0.36</v>
      </c>
      <c r="P285" s="280">
        <f>IFERROR(_xlfn.LET(_xlpm.boxType, K285, _xlpm.tallos, N285, _xlpm.cost, O285, _xlpm.precio, Q285,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85" s="296">
        <v>1.49</v>
      </c>
      <c r="R285" s="276" t="s">
        <v>283</v>
      </c>
      <c r="S28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5" s="276">
        <v>0.36</v>
      </c>
      <c r="U28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85" s="274">
        <v>0.85</v>
      </c>
    </row>
    <row r="286" spans="1:22" x14ac:dyDescent="0.25">
      <c r="A286" s="277" t="s">
        <v>85</v>
      </c>
      <c r="B286" s="278">
        <f>_xlfn.XLOOKUP(Catalogo[[#This Row],[Finca]], Fincas[Nombre], Fincas[ID])</f>
        <v>38</v>
      </c>
      <c r="C286" s="277" t="s">
        <v>646</v>
      </c>
      <c r="D286" s="277" t="s">
        <v>807</v>
      </c>
      <c r="E286" s="277"/>
      <c r="F286" s="277" t="s">
        <v>534</v>
      </c>
      <c r="G286" s="277"/>
      <c r="H286" s="277"/>
      <c r="I286" s="311" t="s">
        <v>274</v>
      </c>
      <c r="J286" s="309"/>
      <c r="K286" s="278" t="s">
        <v>35</v>
      </c>
      <c r="L28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6" s="279" t="s">
        <v>385</v>
      </c>
      <c r="N286" s="279">
        <v>125</v>
      </c>
      <c r="O286" s="276">
        <v>0.36</v>
      </c>
      <c r="P286" s="280">
        <f>IFERROR(_xlfn.LET(_xlpm.boxType, K286, _xlpm.tallos, N286, _xlpm.cost, O286, _xlpm.precio, Q286,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86" s="296">
        <v>1.39</v>
      </c>
      <c r="R286" s="276" t="s">
        <v>284</v>
      </c>
      <c r="S28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6" s="276">
        <v>0.36</v>
      </c>
      <c r="U28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86" s="274">
        <v>0.79</v>
      </c>
    </row>
    <row r="287" spans="1:22" ht="15.75" thickBot="1" x14ac:dyDescent="0.3">
      <c r="A287" s="277" t="s">
        <v>85</v>
      </c>
      <c r="B287" s="278">
        <f>_xlfn.XLOOKUP(Catalogo[[#This Row],[Finca]], Fincas[Nombre], Fincas[ID])</f>
        <v>38</v>
      </c>
      <c r="C287" s="277" t="s">
        <v>646</v>
      </c>
      <c r="D287" s="277" t="s">
        <v>807</v>
      </c>
      <c r="E287" s="277"/>
      <c r="F287" s="277" t="s">
        <v>534</v>
      </c>
      <c r="G287" s="277"/>
      <c r="H287" s="277"/>
      <c r="I287" s="311" t="s">
        <v>274</v>
      </c>
      <c r="J287" s="309"/>
      <c r="K287" s="278" t="s">
        <v>93</v>
      </c>
      <c r="L28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7" s="279" t="s">
        <v>387</v>
      </c>
      <c r="N287" s="279">
        <v>250</v>
      </c>
      <c r="O287" s="276">
        <v>0.36</v>
      </c>
      <c r="P287" s="280">
        <f>IFERROR(_xlfn.LET(_xlpm.boxType, K287, _xlpm.tallos, N287, _xlpm.cost, O287, _xlpm.precio, Q287,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87" s="296">
        <v>1.39</v>
      </c>
      <c r="R287" s="276" t="s">
        <v>285</v>
      </c>
      <c r="S28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7" s="276">
        <v>0.36</v>
      </c>
      <c r="U28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87" s="274">
        <v>0.79</v>
      </c>
    </row>
    <row r="288" spans="1:22" x14ac:dyDescent="0.25">
      <c r="A288" s="281" t="s">
        <v>85</v>
      </c>
      <c r="B288" s="282">
        <f>_xlfn.XLOOKUP(Catalogo[[#This Row],[Finca]], Fincas[Nombre], Fincas[ID])</f>
        <v>38</v>
      </c>
      <c r="C288" s="281" t="s">
        <v>646</v>
      </c>
      <c r="D288" s="281" t="s">
        <v>807</v>
      </c>
      <c r="E288" s="281"/>
      <c r="F288" s="281" t="s">
        <v>534</v>
      </c>
      <c r="G288" s="281"/>
      <c r="H288" s="281"/>
      <c r="I288" s="316" t="s">
        <v>275</v>
      </c>
      <c r="J288" s="308"/>
      <c r="K288" s="282" t="s">
        <v>31</v>
      </c>
      <c r="L28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8" s="283" t="s">
        <v>383</v>
      </c>
      <c r="N288" s="283">
        <v>50</v>
      </c>
      <c r="O288" s="285">
        <v>0.42</v>
      </c>
      <c r="P288" s="284">
        <f>IFERROR(_xlfn.LET(_xlpm.boxType, K288, _xlpm.tallos, N288, _xlpm.cost, O288, _xlpm.precio, Q288,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88" s="295">
        <v>1.59</v>
      </c>
      <c r="R288" s="285" t="s">
        <v>283</v>
      </c>
      <c r="S28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8" s="285">
        <v>0.42</v>
      </c>
      <c r="U28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88" s="287">
        <v>0.99</v>
      </c>
    </row>
    <row r="289" spans="1:22" x14ac:dyDescent="0.25">
      <c r="A289" s="277" t="s">
        <v>85</v>
      </c>
      <c r="B289" s="278">
        <f>_xlfn.XLOOKUP(Catalogo[[#This Row],[Finca]], Fincas[Nombre], Fincas[ID])</f>
        <v>38</v>
      </c>
      <c r="C289" s="277" t="s">
        <v>646</v>
      </c>
      <c r="D289" s="277" t="s">
        <v>807</v>
      </c>
      <c r="E289" s="277"/>
      <c r="F289" s="277" t="s">
        <v>534</v>
      </c>
      <c r="G289" s="277"/>
      <c r="H289" s="277"/>
      <c r="I289" s="311" t="s">
        <v>275</v>
      </c>
      <c r="J289" s="309"/>
      <c r="K289" s="278" t="s">
        <v>35</v>
      </c>
      <c r="L28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89" s="279" t="s">
        <v>385</v>
      </c>
      <c r="N289" s="279">
        <v>100</v>
      </c>
      <c r="O289" s="276">
        <v>0.42</v>
      </c>
      <c r="P289" s="280">
        <f>IFERROR(_xlfn.LET(_xlpm.boxType, K289, _xlpm.tallos, N289, _xlpm.cost, O289, _xlpm.precio, Q289,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89" s="296">
        <v>1.59</v>
      </c>
      <c r="R289" s="276" t="s">
        <v>284</v>
      </c>
      <c r="S28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89" s="276">
        <v>0.42</v>
      </c>
      <c r="U28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89" s="274">
        <v>0.89</v>
      </c>
    </row>
    <row r="290" spans="1:22" ht="15.75" thickBot="1" x14ac:dyDescent="0.3">
      <c r="A290" s="288" t="s">
        <v>85</v>
      </c>
      <c r="B290" s="289">
        <f>_xlfn.XLOOKUP(Catalogo[[#This Row],[Finca]], Fincas[Nombre], Fincas[ID])</f>
        <v>38</v>
      </c>
      <c r="C290" s="288" t="s">
        <v>646</v>
      </c>
      <c r="D290" s="288" t="s">
        <v>807</v>
      </c>
      <c r="E290" s="288"/>
      <c r="F290" s="288" t="s">
        <v>534</v>
      </c>
      <c r="G290" s="288"/>
      <c r="H290" s="288"/>
      <c r="I290" s="317" t="s">
        <v>275</v>
      </c>
      <c r="J290" s="310"/>
      <c r="K290" s="289" t="s">
        <v>93</v>
      </c>
      <c r="L29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0" s="290" t="s">
        <v>387</v>
      </c>
      <c r="N290" s="290">
        <v>200</v>
      </c>
      <c r="O290" s="292">
        <v>0.42</v>
      </c>
      <c r="P290" s="291">
        <f>IFERROR(_xlfn.LET(_xlpm.boxType, K290, _xlpm.tallos, N290, _xlpm.cost, O290, _xlpm.precio, Q290,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90" s="297">
        <v>1.59</v>
      </c>
      <c r="R290" s="292" t="s">
        <v>285</v>
      </c>
      <c r="S29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0" s="292">
        <v>0.42</v>
      </c>
      <c r="U29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90" s="294">
        <v>0.89</v>
      </c>
    </row>
    <row r="291" spans="1:22" x14ac:dyDescent="0.25">
      <c r="A291" s="281" t="s">
        <v>85</v>
      </c>
      <c r="B291" s="282">
        <f>_xlfn.XLOOKUP(Catalogo[[#This Row],[Finca]], Fincas[Nombre], Fincas[ID])</f>
        <v>38</v>
      </c>
      <c r="C291" s="281" t="s">
        <v>646</v>
      </c>
      <c r="D291" s="281" t="s">
        <v>808</v>
      </c>
      <c r="E291" s="281"/>
      <c r="F291" s="281" t="s">
        <v>608</v>
      </c>
      <c r="G291" s="281"/>
      <c r="H291" s="281"/>
      <c r="I291" s="316" t="s">
        <v>273</v>
      </c>
      <c r="J291" s="308"/>
      <c r="K291" s="282" t="s">
        <v>31</v>
      </c>
      <c r="L29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1" s="283" t="s">
        <v>383</v>
      </c>
      <c r="N291" s="283">
        <v>50</v>
      </c>
      <c r="O291" s="285">
        <v>0.26</v>
      </c>
      <c r="P291" s="284">
        <f>IFERROR(_xlfn.LET(_xlpm.boxType, K291, _xlpm.tallos, N291, _xlpm.cost, O291, _xlpm.precio, Q291,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291" s="295">
        <v>1.29</v>
      </c>
      <c r="R291" s="285" t="s">
        <v>283</v>
      </c>
      <c r="S29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1" s="285">
        <v>0.26</v>
      </c>
      <c r="U29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291" s="287">
        <v>0.75</v>
      </c>
    </row>
    <row r="292" spans="1:22" x14ac:dyDescent="0.25">
      <c r="A292" s="277" t="s">
        <v>85</v>
      </c>
      <c r="B292" s="278">
        <f>_xlfn.XLOOKUP(Catalogo[[#This Row],[Finca]], Fincas[Nombre], Fincas[ID])</f>
        <v>38</v>
      </c>
      <c r="C292" s="277" t="s">
        <v>646</v>
      </c>
      <c r="D292" s="277" t="s">
        <v>808</v>
      </c>
      <c r="E292" s="277"/>
      <c r="F292" s="277" t="s">
        <v>608</v>
      </c>
      <c r="G292" s="277"/>
      <c r="H292" s="277"/>
      <c r="I292" s="311" t="s">
        <v>273</v>
      </c>
      <c r="J292" s="309"/>
      <c r="K292" s="278" t="s">
        <v>35</v>
      </c>
      <c r="L29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2" s="279" t="s">
        <v>385</v>
      </c>
      <c r="N292" s="279">
        <v>150</v>
      </c>
      <c r="O292" s="276">
        <v>0.26</v>
      </c>
      <c r="P292" s="280">
        <f>IFERROR(_xlfn.LET(_xlpm.boxType, K292, _xlpm.tallos, N292, _xlpm.cost, O292, _xlpm.precio, Q292,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292" s="296">
        <v>1.19</v>
      </c>
      <c r="R292" s="276" t="s">
        <v>284</v>
      </c>
      <c r="S29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2" s="276">
        <v>0.26</v>
      </c>
      <c r="U29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92" s="274">
        <v>0.69</v>
      </c>
    </row>
    <row r="293" spans="1:22" ht="15.75" thickBot="1" x14ac:dyDescent="0.3">
      <c r="A293" s="288" t="s">
        <v>85</v>
      </c>
      <c r="B293" s="289">
        <f>_xlfn.XLOOKUP(Catalogo[[#This Row],[Finca]], Fincas[Nombre], Fincas[ID])</f>
        <v>38</v>
      </c>
      <c r="C293" s="288" t="s">
        <v>646</v>
      </c>
      <c r="D293" s="288" t="s">
        <v>808</v>
      </c>
      <c r="E293" s="288"/>
      <c r="F293" s="288" t="s">
        <v>608</v>
      </c>
      <c r="G293" s="288"/>
      <c r="H293" s="288"/>
      <c r="I293" s="317" t="s">
        <v>273</v>
      </c>
      <c r="J293" s="310"/>
      <c r="K293" s="289" t="s">
        <v>93</v>
      </c>
      <c r="L29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3" s="290" t="s">
        <v>387</v>
      </c>
      <c r="N293" s="290">
        <v>300</v>
      </c>
      <c r="O293" s="292">
        <v>0.26</v>
      </c>
      <c r="P293" s="291">
        <f>IFERROR(_xlfn.LET(_xlpm.boxType, K293, _xlpm.tallos, N293, _xlpm.cost, O293, _xlpm.precio, Q293,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293" s="297">
        <v>1.19</v>
      </c>
      <c r="R293" s="292" t="s">
        <v>285</v>
      </c>
      <c r="S29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3" s="292">
        <v>0.26</v>
      </c>
      <c r="U29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293" s="294">
        <v>0.69</v>
      </c>
    </row>
    <row r="294" spans="1:22" x14ac:dyDescent="0.25">
      <c r="A294" s="277" t="s">
        <v>85</v>
      </c>
      <c r="B294" s="278">
        <f>_xlfn.XLOOKUP(Catalogo[[#This Row],[Finca]], Fincas[Nombre], Fincas[ID])</f>
        <v>38</v>
      </c>
      <c r="C294" s="277" t="s">
        <v>646</v>
      </c>
      <c r="D294" s="277" t="s">
        <v>808</v>
      </c>
      <c r="E294" s="277"/>
      <c r="F294" s="277" t="s">
        <v>608</v>
      </c>
      <c r="G294" s="277"/>
      <c r="H294" s="277"/>
      <c r="I294" s="311" t="s">
        <v>274</v>
      </c>
      <c r="J294" s="309"/>
      <c r="K294" s="278" t="s">
        <v>31</v>
      </c>
      <c r="L29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4" s="279" t="s">
        <v>383</v>
      </c>
      <c r="N294" s="279">
        <v>50</v>
      </c>
      <c r="O294" s="276">
        <v>0.36</v>
      </c>
      <c r="P294" s="280">
        <f>IFERROR(_xlfn.LET(_xlpm.boxType, K294, _xlpm.tallos, N294, _xlpm.cost, O294, _xlpm.precio, Q294,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294" s="296">
        <v>1.49</v>
      </c>
      <c r="R294" s="276" t="s">
        <v>283</v>
      </c>
      <c r="S29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4" s="276">
        <v>0.36</v>
      </c>
      <c r="U29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294" s="274">
        <v>0.85</v>
      </c>
    </row>
    <row r="295" spans="1:22" x14ac:dyDescent="0.25">
      <c r="A295" s="277" t="s">
        <v>85</v>
      </c>
      <c r="B295" s="278">
        <f>_xlfn.XLOOKUP(Catalogo[[#This Row],[Finca]], Fincas[Nombre], Fincas[ID])</f>
        <v>38</v>
      </c>
      <c r="C295" s="277" t="s">
        <v>646</v>
      </c>
      <c r="D295" s="277" t="s">
        <v>808</v>
      </c>
      <c r="E295" s="277"/>
      <c r="F295" s="277" t="s">
        <v>608</v>
      </c>
      <c r="G295" s="277"/>
      <c r="H295" s="277"/>
      <c r="I295" s="311" t="s">
        <v>274</v>
      </c>
      <c r="J295" s="309"/>
      <c r="K295" s="278" t="s">
        <v>35</v>
      </c>
      <c r="L29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5" s="279" t="s">
        <v>385</v>
      </c>
      <c r="N295" s="279">
        <v>125</v>
      </c>
      <c r="O295" s="276">
        <v>0.36</v>
      </c>
      <c r="P295" s="280">
        <f>IFERROR(_xlfn.LET(_xlpm.boxType, K295, _xlpm.tallos, N295, _xlpm.cost, O295, _xlpm.precio, Q295,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295" s="296">
        <v>1.39</v>
      </c>
      <c r="R295" s="276" t="s">
        <v>284</v>
      </c>
      <c r="S29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5" s="276">
        <v>0.36</v>
      </c>
      <c r="U29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95" s="274">
        <v>0.79</v>
      </c>
    </row>
    <row r="296" spans="1:22" ht="15.75" thickBot="1" x14ac:dyDescent="0.3">
      <c r="A296" s="277" t="s">
        <v>85</v>
      </c>
      <c r="B296" s="278">
        <f>_xlfn.XLOOKUP(Catalogo[[#This Row],[Finca]], Fincas[Nombre], Fincas[ID])</f>
        <v>38</v>
      </c>
      <c r="C296" s="277" t="s">
        <v>646</v>
      </c>
      <c r="D296" s="277" t="s">
        <v>808</v>
      </c>
      <c r="E296" s="277"/>
      <c r="F296" s="277" t="s">
        <v>608</v>
      </c>
      <c r="G296" s="277"/>
      <c r="H296" s="277"/>
      <c r="I296" s="311" t="s">
        <v>274</v>
      </c>
      <c r="J296" s="309"/>
      <c r="K296" s="278" t="s">
        <v>93</v>
      </c>
      <c r="L29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6" s="279" t="s">
        <v>387</v>
      </c>
      <c r="N296" s="279">
        <v>250</v>
      </c>
      <c r="O296" s="276">
        <v>0.36</v>
      </c>
      <c r="P296" s="280">
        <f>IFERROR(_xlfn.LET(_xlpm.boxType, K296, _xlpm.tallos, N296, _xlpm.cost, O296, _xlpm.precio, Q296,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296" s="296">
        <v>1.39</v>
      </c>
      <c r="R296" s="276" t="s">
        <v>285</v>
      </c>
      <c r="S29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6" s="276">
        <v>0.36</v>
      </c>
      <c r="U29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296" s="274">
        <v>0.79</v>
      </c>
    </row>
    <row r="297" spans="1:22" x14ac:dyDescent="0.25">
      <c r="A297" s="281" t="s">
        <v>85</v>
      </c>
      <c r="B297" s="282">
        <f>_xlfn.XLOOKUP(Catalogo[[#This Row],[Finca]], Fincas[Nombre], Fincas[ID])</f>
        <v>38</v>
      </c>
      <c r="C297" s="281" t="s">
        <v>646</v>
      </c>
      <c r="D297" s="281" t="s">
        <v>808</v>
      </c>
      <c r="E297" s="281"/>
      <c r="F297" s="281" t="s">
        <v>608</v>
      </c>
      <c r="G297" s="281"/>
      <c r="H297" s="281"/>
      <c r="I297" s="316" t="s">
        <v>275</v>
      </c>
      <c r="J297" s="308"/>
      <c r="K297" s="282" t="s">
        <v>31</v>
      </c>
      <c r="L29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7" s="283" t="s">
        <v>383</v>
      </c>
      <c r="N297" s="283">
        <v>50</v>
      </c>
      <c r="O297" s="285">
        <v>0.42</v>
      </c>
      <c r="P297" s="284">
        <f>IFERROR(_xlfn.LET(_xlpm.boxType, K297, _xlpm.tallos, N297, _xlpm.cost, O297, _xlpm.precio, Q297,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97" s="295">
        <v>1.59</v>
      </c>
      <c r="R297" s="285" t="s">
        <v>283</v>
      </c>
      <c r="S29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7" s="285">
        <v>0.42</v>
      </c>
      <c r="U29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297" s="287">
        <v>0.99</v>
      </c>
    </row>
    <row r="298" spans="1:22" x14ac:dyDescent="0.25">
      <c r="A298" s="277" t="s">
        <v>85</v>
      </c>
      <c r="B298" s="278">
        <f>_xlfn.XLOOKUP(Catalogo[[#This Row],[Finca]], Fincas[Nombre], Fincas[ID])</f>
        <v>38</v>
      </c>
      <c r="C298" s="277" t="s">
        <v>646</v>
      </c>
      <c r="D298" s="277" t="s">
        <v>808</v>
      </c>
      <c r="E298" s="277"/>
      <c r="F298" s="277" t="s">
        <v>608</v>
      </c>
      <c r="G298" s="277"/>
      <c r="H298" s="277"/>
      <c r="I298" s="311" t="s">
        <v>275</v>
      </c>
      <c r="J298" s="309"/>
      <c r="K298" s="278" t="s">
        <v>35</v>
      </c>
      <c r="L29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8" s="279" t="s">
        <v>385</v>
      </c>
      <c r="N298" s="279">
        <v>100</v>
      </c>
      <c r="O298" s="276">
        <v>0.42</v>
      </c>
      <c r="P298" s="280">
        <f>IFERROR(_xlfn.LET(_xlpm.boxType, K298, _xlpm.tallos, N298, _xlpm.cost, O298, _xlpm.precio, Q298,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298" s="296">
        <v>1.59</v>
      </c>
      <c r="R298" s="276" t="s">
        <v>284</v>
      </c>
      <c r="S29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8" s="276">
        <v>0.42</v>
      </c>
      <c r="U29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98" s="274">
        <v>0.89</v>
      </c>
    </row>
    <row r="299" spans="1:22" ht="15.75" thickBot="1" x14ac:dyDescent="0.3">
      <c r="A299" s="288" t="s">
        <v>85</v>
      </c>
      <c r="B299" s="289">
        <f>_xlfn.XLOOKUP(Catalogo[[#This Row],[Finca]], Fincas[Nombre], Fincas[ID])</f>
        <v>38</v>
      </c>
      <c r="C299" s="288" t="s">
        <v>646</v>
      </c>
      <c r="D299" s="288" t="s">
        <v>808</v>
      </c>
      <c r="E299" s="288"/>
      <c r="F299" s="288" t="s">
        <v>608</v>
      </c>
      <c r="G299" s="288"/>
      <c r="H299" s="288"/>
      <c r="I299" s="317" t="s">
        <v>275</v>
      </c>
      <c r="J299" s="310"/>
      <c r="K299" s="289" t="s">
        <v>93</v>
      </c>
      <c r="L29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299" s="290" t="s">
        <v>387</v>
      </c>
      <c r="N299" s="290">
        <v>200</v>
      </c>
      <c r="O299" s="292">
        <v>0.42</v>
      </c>
      <c r="P299" s="291">
        <f>IFERROR(_xlfn.LET(_xlpm.boxType, K299, _xlpm.tallos, N299, _xlpm.cost, O299, _xlpm.precio, Q299,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299" s="297">
        <v>1.59</v>
      </c>
      <c r="R299" s="292" t="s">
        <v>285</v>
      </c>
      <c r="S29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299" s="292">
        <v>0.42</v>
      </c>
      <c r="U29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299" s="294">
        <v>0.89</v>
      </c>
    </row>
    <row r="300" spans="1:22" x14ac:dyDescent="0.25">
      <c r="A300" s="281" t="s">
        <v>85</v>
      </c>
      <c r="B300" s="282">
        <f>_xlfn.XLOOKUP(Catalogo[[#This Row],[Finca]], Fincas[Nombre], Fincas[ID])</f>
        <v>38</v>
      </c>
      <c r="C300" s="281" t="s">
        <v>646</v>
      </c>
      <c r="D300" s="281" t="s">
        <v>809</v>
      </c>
      <c r="E300" s="281"/>
      <c r="F300" s="281" t="s">
        <v>526</v>
      </c>
      <c r="G300" s="281"/>
      <c r="H300" s="281"/>
      <c r="I300" s="316" t="s">
        <v>273</v>
      </c>
      <c r="J300" s="308"/>
      <c r="K300" s="282" t="s">
        <v>31</v>
      </c>
      <c r="L30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0" s="283" t="s">
        <v>383</v>
      </c>
      <c r="N300" s="283">
        <v>50</v>
      </c>
      <c r="O300" s="285">
        <v>0.26</v>
      </c>
      <c r="P300" s="284">
        <f>IFERROR(_xlfn.LET(_xlpm.boxType, K300, _xlpm.tallos, N300, _xlpm.cost, O300, _xlpm.precio, Q300,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00" s="295">
        <v>1.29</v>
      </c>
      <c r="R300" s="285" t="s">
        <v>283</v>
      </c>
      <c r="S30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0" s="285">
        <v>0.26</v>
      </c>
      <c r="U30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00" s="287">
        <v>0.75</v>
      </c>
    </row>
    <row r="301" spans="1:22" x14ac:dyDescent="0.25">
      <c r="A301" s="277" t="s">
        <v>85</v>
      </c>
      <c r="B301" s="278">
        <f>_xlfn.XLOOKUP(Catalogo[[#This Row],[Finca]], Fincas[Nombre], Fincas[ID])</f>
        <v>38</v>
      </c>
      <c r="C301" s="277" t="s">
        <v>646</v>
      </c>
      <c r="D301" s="277" t="s">
        <v>809</v>
      </c>
      <c r="E301" s="277"/>
      <c r="F301" s="277" t="s">
        <v>526</v>
      </c>
      <c r="G301" s="277"/>
      <c r="H301" s="277"/>
      <c r="I301" s="311" t="s">
        <v>273</v>
      </c>
      <c r="J301" s="309"/>
      <c r="K301" s="278" t="s">
        <v>35</v>
      </c>
      <c r="L30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1" s="279" t="s">
        <v>385</v>
      </c>
      <c r="N301" s="279">
        <v>150</v>
      </c>
      <c r="O301" s="276">
        <v>0.26</v>
      </c>
      <c r="P301" s="280">
        <f>IFERROR(_xlfn.LET(_xlpm.boxType, K301, _xlpm.tallos, N301, _xlpm.cost, O301, _xlpm.precio, Q301,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01" s="296">
        <v>1.19</v>
      </c>
      <c r="R301" s="276" t="s">
        <v>284</v>
      </c>
      <c r="S30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1" s="276">
        <v>0.26</v>
      </c>
      <c r="U30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01" s="274">
        <v>0.69</v>
      </c>
    </row>
    <row r="302" spans="1:22" ht="15.75" thickBot="1" x14ac:dyDescent="0.3">
      <c r="A302" s="288" t="s">
        <v>85</v>
      </c>
      <c r="B302" s="289">
        <f>_xlfn.XLOOKUP(Catalogo[[#This Row],[Finca]], Fincas[Nombre], Fincas[ID])</f>
        <v>38</v>
      </c>
      <c r="C302" s="288" t="s">
        <v>646</v>
      </c>
      <c r="D302" s="288" t="s">
        <v>809</v>
      </c>
      <c r="E302" s="288"/>
      <c r="F302" s="288" t="s">
        <v>526</v>
      </c>
      <c r="G302" s="288"/>
      <c r="H302" s="288"/>
      <c r="I302" s="317" t="s">
        <v>273</v>
      </c>
      <c r="J302" s="310"/>
      <c r="K302" s="289" t="s">
        <v>93</v>
      </c>
      <c r="L30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2" s="290" t="s">
        <v>387</v>
      </c>
      <c r="N302" s="290">
        <v>300</v>
      </c>
      <c r="O302" s="292">
        <v>0.26</v>
      </c>
      <c r="P302" s="291">
        <f>IFERROR(_xlfn.LET(_xlpm.boxType, K302, _xlpm.tallos, N302, _xlpm.cost, O302, _xlpm.precio, Q302,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02" s="297">
        <v>1.19</v>
      </c>
      <c r="R302" s="292" t="s">
        <v>285</v>
      </c>
      <c r="S30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2" s="292">
        <v>0.26</v>
      </c>
      <c r="U30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02" s="294">
        <v>0.69</v>
      </c>
    </row>
    <row r="303" spans="1:22" x14ac:dyDescent="0.25">
      <c r="A303" s="277" t="s">
        <v>85</v>
      </c>
      <c r="B303" s="278">
        <f>_xlfn.XLOOKUP(Catalogo[[#This Row],[Finca]], Fincas[Nombre], Fincas[ID])</f>
        <v>38</v>
      </c>
      <c r="C303" s="277" t="s">
        <v>646</v>
      </c>
      <c r="D303" s="277" t="s">
        <v>809</v>
      </c>
      <c r="E303" s="277"/>
      <c r="F303" s="277" t="s">
        <v>526</v>
      </c>
      <c r="G303" s="277"/>
      <c r="H303" s="277"/>
      <c r="I303" s="311" t="s">
        <v>274</v>
      </c>
      <c r="J303" s="309"/>
      <c r="K303" s="278" t="s">
        <v>31</v>
      </c>
      <c r="L30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3" s="279" t="s">
        <v>383</v>
      </c>
      <c r="N303" s="279">
        <v>50</v>
      </c>
      <c r="O303" s="276">
        <v>0.36</v>
      </c>
      <c r="P303" s="280">
        <f>IFERROR(_xlfn.LET(_xlpm.boxType, K303, _xlpm.tallos, N303, _xlpm.cost, O303, _xlpm.precio, Q303,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03" s="296">
        <v>1.49</v>
      </c>
      <c r="R303" s="276" t="s">
        <v>283</v>
      </c>
      <c r="S30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3" s="276">
        <v>0.36</v>
      </c>
      <c r="U30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03" s="274">
        <v>0.85</v>
      </c>
    </row>
    <row r="304" spans="1:22" x14ac:dyDescent="0.25">
      <c r="A304" s="277" t="s">
        <v>85</v>
      </c>
      <c r="B304" s="278">
        <f>_xlfn.XLOOKUP(Catalogo[[#This Row],[Finca]], Fincas[Nombre], Fincas[ID])</f>
        <v>38</v>
      </c>
      <c r="C304" s="277" t="s">
        <v>646</v>
      </c>
      <c r="D304" s="277" t="s">
        <v>809</v>
      </c>
      <c r="E304" s="277"/>
      <c r="F304" s="277" t="s">
        <v>526</v>
      </c>
      <c r="G304" s="277"/>
      <c r="H304" s="277"/>
      <c r="I304" s="311" t="s">
        <v>274</v>
      </c>
      <c r="J304" s="309"/>
      <c r="K304" s="278" t="s">
        <v>35</v>
      </c>
      <c r="L30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4" s="279" t="s">
        <v>385</v>
      </c>
      <c r="N304" s="279">
        <v>125</v>
      </c>
      <c r="O304" s="276">
        <v>0.36</v>
      </c>
      <c r="P304" s="280">
        <f>IFERROR(_xlfn.LET(_xlpm.boxType, K304, _xlpm.tallos, N304, _xlpm.cost, O304, _xlpm.precio, Q304,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04" s="296">
        <v>1.39</v>
      </c>
      <c r="R304" s="276" t="s">
        <v>284</v>
      </c>
      <c r="S30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4" s="276">
        <v>0.36</v>
      </c>
      <c r="U30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04" s="274">
        <v>0.79</v>
      </c>
    </row>
    <row r="305" spans="1:22" ht="15.75" thickBot="1" x14ac:dyDescent="0.3">
      <c r="A305" s="277" t="s">
        <v>85</v>
      </c>
      <c r="B305" s="278">
        <f>_xlfn.XLOOKUP(Catalogo[[#This Row],[Finca]], Fincas[Nombre], Fincas[ID])</f>
        <v>38</v>
      </c>
      <c r="C305" s="277" t="s">
        <v>646</v>
      </c>
      <c r="D305" s="277" t="s">
        <v>809</v>
      </c>
      <c r="E305" s="277"/>
      <c r="F305" s="277" t="s">
        <v>526</v>
      </c>
      <c r="G305" s="277"/>
      <c r="H305" s="277"/>
      <c r="I305" s="311" t="s">
        <v>274</v>
      </c>
      <c r="J305" s="309"/>
      <c r="K305" s="278" t="s">
        <v>93</v>
      </c>
      <c r="L30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5" s="279" t="s">
        <v>387</v>
      </c>
      <c r="N305" s="279">
        <v>250</v>
      </c>
      <c r="O305" s="276">
        <v>0.36</v>
      </c>
      <c r="P305" s="280">
        <f>IFERROR(_xlfn.LET(_xlpm.boxType, K305, _xlpm.tallos, N305, _xlpm.cost, O305, _xlpm.precio, Q305,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05" s="296">
        <v>1.39</v>
      </c>
      <c r="R305" s="276" t="s">
        <v>285</v>
      </c>
      <c r="S30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5" s="276">
        <v>0.36</v>
      </c>
      <c r="U30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05" s="274">
        <v>0.79</v>
      </c>
    </row>
    <row r="306" spans="1:22" x14ac:dyDescent="0.25">
      <c r="A306" s="281" t="s">
        <v>85</v>
      </c>
      <c r="B306" s="282">
        <f>_xlfn.XLOOKUP(Catalogo[[#This Row],[Finca]], Fincas[Nombre], Fincas[ID])</f>
        <v>38</v>
      </c>
      <c r="C306" s="281" t="s">
        <v>646</v>
      </c>
      <c r="D306" s="281" t="s">
        <v>809</v>
      </c>
      <c r="E306" s="281"/>
      <c r="F306" s="281" t="s">
        <v>526</v>
      </c>
      <c r="G306" s="281"/>
      <c r="H306" s="281"/>
      <c r="I306" s="316" t="s">
        <v>275</v>
      </c>
      <c r="J306" s="308"/>
      <c r="K306" s="282" t="s">
        <v>31</v>
      </c>
      <c r="L30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6" s="283" t="s">
        <v>383</v>
      </c>
      <c r="N306" s="283">
        <v>50</v>
      </c>
      <c r="O306" s="285">
        <v>0.42</v>
      </c>
      <c r="P306" s="284">
        <f>IFERROR(_xlfn.LET(_xlpm.boxType, K306, _xlpm.tallos, N306, _xlpm.cost, O306, _xlpm.precio, Q306,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06" s="295">
        <v>1.59</v>
      </c>
      <c r="R306" s="285" t="s">
        <v>283</v>
      </c>
      <c r="S30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6" s="285">
        <v>0.42</v>
      </c>
      <c r="U30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06" s="287">
        <v>0.99</v>
      </c>
    </row>
    <row r="307" spans="1:22" x14ac:dyDescent="0.25">
      <c r="A307" s="277" t="s">
        <v>85</v>
      </c>
      <c r="B307" s="278">
        <f>_xlfn.XLOOKUP(Catalogo[[#This Row],[Finca]], Fincas[Nombre], Fincas[ID])</f>
        <v>38</v>
      </c>
      <c r="C307" s="277" t="s">
        <v>646</v>
      </c>
      <c r="D307" s="277" t="s">
        <v>809</v>
      </c>
      <c r="E307" s="277"/>
      <c r="F307" s="277" t="s">
        <v>526</v>
      </c>
      <c r="G307" s="277"/>
      <c r="H307" s="277"/>
      <c r="I307" s="311" t="s">
        <v>275</v>
      </c>
      <c r="J307" s="309"/>
      <c r="K307" s="278" t="s">
        <v>35</v>
      </c>
      <c r="L30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7" s="279" t="s">
        <v>385</v>
      </c>
      <c r="N307" s="279">
        <v>100</v>
      </c>
      <c r="O307" s="276">
        <v>0.42</v>
      </c>
      <c r="P307" s="280">
        <f>IFERROR(_xlfn.LET(_xlpm.boxType, K307, _xlpm.tallos, N307, _xlpm.cost, O307, _xlpm.precio, Q307,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07" s="296">
        <v>1.59</v>
      </c>
      <c r="R307" s="276" t="s">
        <v>284</v>
      </c>
      <c r="S30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7" s="276">
        <v>0.42</v>
      </c>
      <c r="U30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07" s="274">
        <v>0.89</v>
      </c>
    </row>
    <row r="308" spans="1:22" ht="15.75" thickBot="1" x14ac:dyDescent="0.3">
      <c r="A308" s="288" t="s">
        <v>85</v>
      </c>
      <c r="B308" s="289">
        <f>_xlfn.XLOOKUP(Catalogo[[#This Row],[Finca]], Fincas[Nombre], Fincas[ID])</f>
        <v>38</v>
      </c>
      <c r="C308" s="288" t="s">
        <v>646</v>
      </c>
      <c r="D308" s="288" t="s">
        <v>809</v>
      </c>
      <c r="E308" s="288"/>
      <c r="F308" s="288" t="s">
        <v>526</v>
      </c>
      <c r="G308" s="288"/>
      <c r="H308" s="288"/>
      <c r="I308" s="317" t="s">
        <v>275</v>
      </c>
      <c r="J308" s="310"/>
      <c r="K308" s="289" t="s">
        <v>93</v>
      </c>
      <c r="L30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8" s="290" t="s">
        <v>387</v>
      </c>
      <c r="N308" s="290">
        <v>200</v>
      </c>
      <c r="O308" s="292">
        <v>0.42</v>
      </c>
      <c r="P308" s="291">
        <f>IFERROR(_xlfn.LET(_xlpm.boxType, K308, _xlpm.tallos, N308, _xlpm.cost, O308, _xlpm.precio, Q308,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08" s="297">
        <v>1.59</v>
      </c>
      <c r="R308" s="292" t="s">
        <v>285</v>
      </c>
      <c r="S30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8" s="292">
        <v>0.42</v>
      </c>
      <c r="U30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08" s="294">
        <v>0.89</v>
      </c>
    </row>
    <row r="309" spans="1:22" x14ac:dyDescent="0.25">
      <c r="A309" s="281" t="s">
        <v>85</v>
      </c>
      <c r="B309" s="282">
        <f>_xlfn.XLOOKUP(Catalogo[[#This Row],[Finca]], Fincas[Nombre], Fincas[ID])</f>
        <v>38</v>
      </c>
      <c r="C309" s="281" t="s">
        <v>646</v>
      </c>
      <c r="D309" s="281" t="s">
        <v>810</v>
      </c>
      <c r="E309" s="281"/>
      <c r="F309" s="281" t="s">
        <v>570</v>
      </c>
      <c r="G309" s="281"/>
      <c r="H309" s="281"/>
      <c r="I309" s="316" t="s">
        <v>273</v>
      </c>
      <c r="J309" s="308"/>
      <c r="K309" s="282" t="s">
        <v>31</v>
      </c>
      <c r="L30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09" s="283" t="s">
        <v>383</v>
      </c>
      <c r="N309" s="283">
        <v>50</v>
      </c>
      <c r="O309" s="285">
        <v>0.26</v>
      </c>
      <c r="P309" s="284">
        <f>IFERROR(_xlfn.LET(_xlpm.boxType, K309, _xlpm.tallos, N309, _xlpm.cost, O309, _xlpm.precio, Q309,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09" s="295">
        <v>1.29</v>
      </c>
      <c r="R309" s="285" t="s">
        <v>283</v>
      </c>
      <c r="S30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09" s="285">
        <v>0.26</v>
      </c>
      <c r="U30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09" s="287">
        <v>0.75</v>
      </c>
    </row>
    <row r="310" spans="1:22" x14ac:dyDescent="0.25">
      <c r="A310" s="277" t="s">
        <v>85</v>
      </c>
      <c r="B310" s="278">
        <f>_xlfn.XLOOKUP(Catalogo[[#This Row],[Finca]], Fincas[Nombre], Fincas[ID])</f>
        <v>38</v>
      </c>
      <c r="C310" s="277" t="s">
        <v>646</v>
      </c>
      <c r="D310" s="277" t="s">
        <v>810</v>
      </c>
      <c r="E310" s="277"/>
      <c r="F310" s="277" t="s">
        <v>570</v>
      </c>
      <c r="G310" s="277"/>
      <c r="H310" s="277"/>
      <c r="I310" s="311" t="s">
        <v>273</v>
      </c>
      <c r="J310" s="309"/>
      <c r="K310" s="278" t="s">
        <v>35</v>
      </c>
      <c r="L3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0" s="279" t="s">
        <v>385</v>
      </c>
      <c r="N310" s="279">
        <v>150</v>
      </c>
      <c r="O310" s="276">
        <v>0.26</v>
      </c>
      <c r="P310" s="280">
        <f>IFERROR(_xlfn.LET(_xlpm.boxType, K310, _xlpm.tallos, N310, _xlpm.cost, O310, _xlpm.precio, Q310,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10" s="296">
        <v>1.19</v>
      </c>
      <c r="R310" s="276" t="s">
        <v>284</v>
      </c>
      <c r="S3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0" s="276">
        <v>0.26</v>
      </c>
      <c r="U31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10" s="274">
        <v>0.69</v>
      </c>
    </row>
    <row r="311" spans="1:22" ht="15.75" thickBot="1" x14ac:dyDescent="0.3">
      <c r="A311" s="288" t="s">
        <v>85</v>
      </c>
      <c r="B311" s="289">
        <f>_xlfn.XLOOKUP(Catalogo[[#This Row],[Finca]], Fincas[Nombre], Fincas[ID])</f>
        <v>38</v>
      </c>
      <c r="C311" s="288" t="s">
        <v>646</v>
      </c>
      <c r="D311" s="288" t="s">
        <v>810</v>
      </c>
      <c r="E311" s="288"/>
      <c r="F311" s="288" t="s">
        <v>570</v>
      </c>
      <c r="G311" s="288"/>
      <c r="H311" s="288"/>
      <c r="I311" s="317" t="s">
        <v>273</v>
      </c>
      <c r="J311" s="310"/>
      <c r="K311" s="289" t="s">
        <v>93</v>
      </c>
      <c r="L31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1" s="290" t="s">
        <v>387</v>
      </c>
      <c r="N311" s="290">
        <v>300</v>
      </c>
      <c r="O311" s="292">
        <v>0.26</v>
      </c>
      <c r="P311" s="291">
        <f>IFERROR(_xlfn.LET(_xlpm.boxType, K311, _xlpm.tallos, N311, _xlpm.cost, O311, _xlpm.precio, Q311,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11" s="297">
        <v>1.19</v>
      </c>
      <c r="R311" s="292" t="s">
        <v>285</v>
      </c>
      <c r="S31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1" s="292">
        <v>0.26</v>
      </c>
      <c r="U31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11" s="294">
        <v>0.69</v>
      </c>
    </row>
    <row r="312" spans="1:22" x14ac:dyDescent="0.25">
      <c r="A312" s="277" t="s">
        <v>85</v>
      </c>
      <c r="B312" s="278">
        <f>_xlfn.XLOOKUP(Catalogo[[#This Row],[Finca]], Fincas[Nombre], Fincas[ID])</f>
        <v>38</v>
      </c>
      <c r="C312" s="277" t="s">
        <v>646</v>
      </c>
      <c r="D312" s="277" t="s">
        <v>810</v>
      </c>
      <c r="E312" s="277"/>
      <c r="F312" s="277" t="s">
        <v>570</v>
      </c>
      <c r="G312" s="277"/>
      <c r="H312" s="277"/>
      <c r="I312" s="311" t="s">
        <v>274</v>
      </c>
      <c r="J312" s="309"/>
      <c r="K312" s="278" t="s">
        <v>31</v>
      </c>
      <c r="L31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2" s="279" t="s">
        <v>383</v>
      </c>
      <c r="N312" s="279">
        <v>50</v>
      </c>
      <c r="O312" s="276">
        <v>0.36</v>
      </c>
      <c r="P312" s="280">
        <f>IFERROR(_xlfn.LET(_xlpm.boxType, K312, _xlpm.tallos, N312, _xlpm.cost, O312, _xlpm.precio, Q312,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12" s="296">
        <v>1.49</v>
      </c>
      <c r="R312" s="276" t="s">
        <v>283</v>
      </c>
      <c r="S31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2" s="276">
        <v>0.36</v>
      </c>
      <c r="U31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12" s="274">
        <v>0.85</v>
      </c>
    </row>
    <row r="313" spans="1:22" x14ac:dyDescent="0.25">
      <c r="A313" s="277" t="s">
        <v>85</v>
      </c>
      <c r="B313" s="278">
        <f>_xlfn.XLOOKUP(Catalogo[[#This Row],[Finca]], Fincas[Nombre], Fincas[ID])</f>
        <v>38</v>
      </c>
      <c r="C313" s="277" t="s">
        <v>646</v>
      </c>
      <c r="D313" s="277" t="s">
        <v>810</v>
      </c>
      <c r="E313" s="277"/>
      <c r="F313" s="277" t="s">
        <v>570</v>
      </c>
      <c r="G313" s="277"/>
      <c r="H313" s="277"/>
      <c r="I313" s="311" t="s">
        <v>274</v>
      </c>
      <c r="J313" s="309"/>
      <c r="K313" s="278" t="s">
        <v>35</v>
      </c>
      <c r="L31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3" s="279" t="s">
        <v>385</v>
      </c>
      <c r="N313" s="279">
        <v>125</v>
      </c>
      <c r="O313" s="276">
        <v>0.36</v>
      </c>
      <c r="P313" s="280">
        <f>IFERROR(_xlfn.LET(_xlpm.boxType, K313, _xlpm.tallos, N313, _xlpm.cost, O313, _xlpm.precio, Q313,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13" s="296">
        <v>1.39</v>
      </c>
      <c r="R313" s="276" t="s">
        <v>284</v>
      </c>
      <c r="S31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3" s="276">
        <v>0.36</v>
      </c>
      <c r="U31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13" s="274">
        <v>0.79</v>
      </c>
    </row>
    <row r="314" spans="1:22" ht="15.75" thickBot="1" x14ac:dyDescent="0.3">
      <c r="A314" s="277" t="s">
        <v>85</v>
      </c>
      <c r="B314" s="278">
        <f>_xlfn.XLOOKUP(Catalogo[[#This Row],[Finca]], Fincas[Nombre], Fincas[ID])</f>
        <v>38</v>
      </c>
      <c r="C314" s="277" t="s">
        <v>646</v>
      </c>
      <c r="D314" s="277" t="s">
        <v>810</v>
      </c>
      <c r="E314" s="277"/>
      <c r="F314" s="277" t="s">
        <v>570</v>
      </c>
      <c r="G314" s="277"/>
      <c r="H314" s="277"/>
      <c r="I314" s="311" t="s">
        <v>274</v>
      </c>
      <c r="J314" s="309"/>
      <c r="K314" s="278" t="s">
        <v>93</v>
      </c>
      <c r="L31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4" s="279" t="s">
        <v>387</v>
      </c>
      <c r="N314" s="279">
        <v>250</v>
      </c>
      <c r="O314" s="276">
        <v>0.36</v>
      </c>
      <c r="P314" s="280">
        <f>IFERROR(_xlfn.LET(_xlpm.boxType, K314, _xlpm.tallos, N314, _xlpm.cost, O314, _xlpm.precio, Q314,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14" s="296">
        <v>1.39</v>
      </c>
      <c r="R314" s="276" t="s">
        <v>285</v>
      </c>
      <c r="S31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4" s="276">
        <v>0.36</v>
      </c>
      <c r="U31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14" s="274">
        <v>0.79</v>
      </c>
    </row>
    <row r="315" spans="1:22" x14ac:dyDescent="0.25">
      <c r="A315" s="281" t="s">
        <v>85</v>
      </c>
      <c r="B315" s="282">
        <f>_xlfn.XLOOKUP(Catalogo[[#This Row],[Finca]], Fincas[Nombre], Fincas[ID])</f>
        <v>38</v>
      </c>
      <c r="C315" s="281" t="s">
        <v>646</v>
      </c>
      <c r="D315" s="281" t="s">
        <v>810</v>
      </c>
      <c r="E315" s="281"/>
      <c r="F315" s="281" t="s">
        <v>570</v>
      </c>
      <c r="G315" s="281"/>
      <c r="H315" s="281"/>
      <c r="I315" s="316" t="s">
        <v>275</v>
      </c>
      <c r="J315" s="308"/>
      <c r="K315" s="282" t="s">
        <v>31</v>
      </c>
      <c r="L31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5" s="283" t="s">
        <v>383</v>
      </c>
      <c r="N315" s="283">
        <v>50</v>
      </c>
      <c r="O315" s="285">
        <v>0.42</v>
      </c>
      <c r="P315" s="284">
        <f>IFERROR(_xlfn.LET(_xlpm.boxType, K315, _xlpm.tallos, N315, _xlpm.cost, O315, _xlpm.precio, Q315,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15" s="295">
        <v>1.59</v>
      </c>
      <c r="R315" s="285" t="s">
        <v>283</v>
      </c>
      <c r="S31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5" s="285">
        <v>0.42</v>
      </c>
      <c r="U31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15" s="287">
        <v>0.99</v>
      </c>
    </row>
    <row r="316" spans="1:22" x14ac:dyDescent="0.25">
      <c r="A316" s="277" t="s">
        <v>85</v>
      </c>
      <c r="B316" s="278">
        <f>_xlfn.XLOOKUP(Catalogo[[#This Row],[Finca]], Fincas[Nombre], Fincas[ID])</f>
        <v>38</v>
      </c>
      <c r="C316" s="277" t="s">
        <v>646</v>
      </c>
      <c r="D316" s="277" t="s">
        <v>810</v>
      </c>
      <c r="E316" s="277"/>
      <c r="F316" s="277" t="s">
        <v>570</v>
      </c>
      <c r="G316" s="277"/>
      <c r="H316" s="277"/>
      <c r="I316" s="311" t="s">
        <v>275</v>
      </c>
      <c r="J316" s="309"/>
      <c r="K316" s="278" t="s">
        <v>35</v>
      </c>
      <c r="L31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6" s="279" t="s">
        <v>385</v>
      </c>
      <c r="N316" s="279">
        <v>100</v>
      </c>
      <c r="O316" s="276">
        <v>0.42</v>
      </c>
      <c r="P316" s="280">
        <f>IFERROR(_xlfn.LET(_xlpm.boxType, K316, _xlpm.tallos, N316, _xlpm.cost, O316, _xlpm.precio, Q316,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16" s="296">
        <v>1.59</v>
      </c>
      <c r="R316" s="276" t="s">
        <v>284</v>
      </c>
      <c r="S31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6" s="276">
        <v>0.42</v>
      </c>
      <c r="U31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16" s="274">
        <v>0.89</v>
      </c>
    </row>
    <row r="317" spans="1:22" ht="15.75" thickBot="1" x14ac:dyDescent="0.3">
      <c r="A317" s="288" t="s">
        <v>85</v>
      </c>
      <c r="B317" s="289">
        <f>_xlfn.XLOOKUP(Catalogo[[#This Row],[Finca]], Fincas[Nombre], Fincas[ID])</f>
        <v>38</v>
      </c>
      <c r="C317" s="288" t="s">
        <v>646</v>
      </c>
      <c r="D317" s="288" t="s">
        <v>810</v>
      </c>
      <c r="E317" s="288"/>
      <c r="F317" s="288" t="s">
        <v>570</v>
      </c>
      <c r="G317" s="288"/>
      <c r="H317" s="288"/>
      <c r="I317" s="317" t="s">
        <v>275</v>
      </c>
      <c r="J317" s="310"/>
      <c r="K317" s="289" t="s">
        <v>93</v>
      </c>
      <c r="L31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7" s="290" t="s">
        <v>387</v>
      </c>
      <c r="N317" s="290">
        <v>200</v>
      </c>
      <c r="O317" s="292">
        <v>0.42</v>
      </c>
      <c r="P317" s="291">
        <f>IFERROR(_xlfn.LET(_xlpm.boxType, K317, _xlpm.tallos, N317, _xlpm.cost, O317, _xlpm.precio, Q317,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17" s="297">
        <v>1.59</v>
      </c>
      <c r="R317" s="292" t="s">
        <v>285</v>
      </c>
      <c r="S31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7" s="292">
        <v>0.42</v>
      </c>
      <c r="U31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17" s="294">
        <v>0.89</v>
      </c>
    </row>
    <row r="318" spans="1:22" x14ac:dyDescent="0.25">
      <c r="A318" s="281" t="s">
        <v>85</v>
      </c>
      <c r="B318" s="282">
        <f>_xlfn.XLOOKUP(Catalogo[[#This Row],[Finca]], Fincas[Nombre], Fincas[ID])</f>
        <v>38</v>
      </c>
      <c r="C318" s="281" t="s">
        <v>646</v>
      </c>
      <c r="D318" s="281" t="s">
        <v>811</v>
      </c>
      <c r="E318" s="281"/>
      <c r="F318" s="281" t="s">
        <v>503</v>
      </c>
      <c r="G318" s="281"/>
      <c r="H318" s="281"/>
      <c r="I318" s="316" t="s">
        <v>273</v>
      </c>
      <c r="J318" s="308"/>
      <c r="K318" s="282" t="s">
        <v>31</v>
      </c>
      <c r="L31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8" s="283" t="s">
        <v>383</v>
      </c>
      <c r="N318" s="283">
        <v>50</v>
      </c>
      <c r="O318" s="285">
        <v>0.26</v>
      </c>
      <c r="P318" s="284">
        <f>IFERROR(_xlfn.LET(_xlpm.boxType, K318, _xlpm.tallos, N318, _xlpm.cost, O318, _xlpm.precio, Q318,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18" s="295">
        <v>1.29</v>
      </c>
      <c r="R318" s="285" t="s">
        <v>283</v>
      </c>
      <c r="S31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8" s="285">
        <v>0.26</v>
      </c>
      <c r="U31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18" s="287">
        <v>0.75</v>
      </c>
    </row>
    <row r="319" spans="1:22" x14ac:dyDescent="0.25">
      <c r="A319" s="277" t="s">
        <v>85</v>
      </c>
      <c r="B319" s="278">
        <f>_xlfn.XLOOKUP(Catalogo[[#This Row],[Finca]], Fincas[Nombre], Fincas[ID])</f>
        <v>38</v>
      </c>
      <c r="C319" s="277" t="s">
        <v>646</v>
      </c>
      <c r="D319" s="277" t="s">
        <v>811</v>
      </c>
      <c r="E319" s="277"/>
      <c r="F319" s="277" t="s">
        <v>503</v>
      </c>
      <c r="G319" s="277"/>
      <c r="H319" s="277"/>
      <c r="I319" s="311" t="s">
        <v>273</v>
      </c>
      <c r="J319" s="309"/>
      <c r="K319" s="278" t="s">
        <v>35</v>
      </c>
      <c r="L3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19" s="279" t="s">
        <v>385</v>
      </c>
      <c r="N319" s="279">
        <v>150</v>
      </c>
      <c r="O319" s="276">
        <v>0.26</v>
      </c>
      <c r="P319" s="280">
        <f>IFERROR(_xlfn.LET(_xlpm.boxType, K319, _xlpm.tallos, N319, _xlpm.cost, O319, _xlpm.precio, Q319,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19" s="296">
        <v>1.19</v>
      </c>
      <c r="R319" s="276" t="s">
        <v>284</v>
      </c>
      <c r="S3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19" s="276">
        <v>0.26</v>
      </c>
      <c r="U31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19" s="274">
        <v>0.69</v>
      </c>
    </row>
    <row r="320" spans="1:22" ht="15.75" thickBot="1" x14ac:dyDescent="0.3">
      <c r="A320" s="288" t="s">
        <v>85</v>
      </c>
      <c r="B320" s="289">
        <f>_xlfn.XLOOKUP(Catalogo[[#This Row],[Finca]], Fincas[Nombre], Fincas[ID])</f>
        <v>38</v>
      </c>
      <c r="C320" s="288" t="s">
        <v>646</v>
      </c>
      <c r="D320" s="288" t="s">
        <v>811</v>
      </c>
      <c r="E320" s="288"/>
      <c r="F320" s="288" t="s">
        <v>503</v>
      </c>
      <c r="G320" s="288"/>
      <c r="H320" s="288"/>
      <c r="I320" s="317" t="s">
        <v>273</v>
      </c>
      <c r="J320" s="310"/>
      <c r="K320" s="289" t="s">
        <v>93</v>
      </c>
      <c r="L32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0" s="290" t="s">
        <v>387</v>
      </c>
      <c r="N320" s="290">
        <v>300</v>
      </c>
      <c r="O320" s="292">
        <v>0.26</v>
      </c>
      <c r="P320" s="291">
        <f>IFERROR(_xlfn.LET(_xlpm.boxType, K320, _xlpm.tallos, N320, _xlpm.cost, O320, _xlpm.precio, Q320,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20" s="297">
        <v>1.19</v>
      </c>
      <c r="R320" s="292" t="s">
        <v>285</v>
      </c>
      <c r="S32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0" s="292">
        <v>0.26</v>
      </c>
      <c r="U32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20" s="294">
        <v>0.69</v>
      </c>
    </row>
    <row r="321" spans="1:22" x14ac:dyDescent="0.25">
      <c r="A321" s="277" t="s">
        <v>85</v>
      </c>
      <c r="B321" s="278">
        <f>_xlfn.XLOOKUP(Catalogo[[#This Row],[Finca]], Fincas[Nombre], Fincas[ID])</f>
        <v>38</v>
      </c>
      <c r="C321" s="277" t="s">
        <v>646</v>
      </c>
      <c r="D321" s="277" t="s">
        <v>811</v>
      </c>
      <c r="E321" s="277"/>
      <c r="F321" s="277" t="s">
        <v>503</v>
      </c>
      <c r="G321" s="277"/>
      <c r="H321" s="277"/>
      <c r="I321" s="311" t="s">
        <v>274</v>
      </c>
      <c r="J321" s="309"/>
      <c r="K321" s="278" t="s">
        <v>31</v>
      </c>
      <c r="L32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1" s="279" t="s">
        <v>383</v>
      </c>
      <c r="N321" s="279">
        <v>50</v>
      </c>
      <c r="O321" s="276">
        <v>0.36</v>
      </c>
      <c r="P321" s="280">
        <f>IFERROR(_xlfn.LET(_xlpm.boxType, K321, _xlpm.tallos, N321, _xlpm.cost, O321, _xlpm.precio, Q321,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21" s="296">
        <v>1.49</v>
      </c>
      <c r="R321" s="276" t="s">
        <v>283</v>
      </c>
      <c r="S32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1" s="276">
        <v>0.36</v>
      </c>
      <c r="U32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21" s="274">
        <v>0.85</v>
      </c>
    </row>
    <row r="322" spans="1:22" x14ac:dyDescent="0.25">
      <c r="A322" s="277" t="s">
        <v>85</v>
      </c>
      <c r="B322" s="278">
        <f>_xlfn.XLOOKUP(Catalogo[[#This Row],[Finca]], Fincas[Nombre], Fincas[ID])</f>
        <v>38</v>
      </c>
      <c r="C322" s="277" t="s">
        <v>646</v>
      </c>
      <c r="D322" s="277" t="s">
        <v>811</v>
      </c>
      <c r="E322" s="277"/>
      <c r="F322" s="277" t="s">
        <v>503</v>
      </c>
      <c r="G322" s="277"/>
      <c r="H322" s="277"/>
      <c r="I322" s="311" t="s">
        <v>274</v>
      </c>
      <c r="J322" s="309"/>
      <c r="K322" s="278" t="s">
        <v>35</v>
      </c>
      <c r="L32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2" s="279" t="s">
        <v>385</v>
      </c>
      <c r="N322" s="279">
        <v>125</v>
      </c>
      <c r="O322" s="276">
        <v>0.36</v>
      </c>
      <c r="P322" s="280">
        <f>IFERROR(_xlfn.LET(_xlpm.boxType, K322, _xlpm.tallos, N322, _xlpm.cost, O322, _xlpm.precio, Q322,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22" s="296">
        <v>1.39</v>
      </c>
      <c r="R322" s="276" t="s">
        <v>284</v>
      </c>
      <c r="S32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2" s="276">
        <v>0.36</v>
      </c>
      <c r="U32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22" s="274">
        <v>0.79</v>
      </c>
    </row>
    <row r="323" spans="1:22" ht="15.75" thickBot="1" x14ac:dyDescent="0.3">
      <c r="A323" s="277" t="s">
        <v>85</v>
      </c>
      <c r="B323" s="278">
        <f>_xlfn.XLOOKUP(Catalogo[[#This Row],[Finca]], Fincas[Nombre], Fincas[ID])</f>
        <v>38</v>
      </c>
      <c r="C323" s="277" t="s">
        <v>646</v>
      </c>
      <c r="D323" s="277" t="s">
        <v>811</v>
      </c>
      <c r="E323" s="277"/>
      <c r="F323" s="277" t="s">
        <v>503</v>
      </c>
      <c r="G323" s="277"/>
      <c r="H323" s="277"/>
      <c r="I323" s="311" t="s">
        <v>274</v>
      </c>
      <c r="J323" s="309"/>
      <c r="K323" s="278" t="s">
        <v>93</v>
      </c>
      <c r="L32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3" s="279" t="s">
        <v>387</v>
      </c>
      <c r="N323" s="279">
        <v>250</v>
      </c>
      <c r="O323" s="276">
        <v>0.36</v>
      </c>
      <c r="P323" s="280">
        <f>IFERROR(_xlfn.LET(_xlpm.boxType, K323, _xlpm.tallos, N323, _xlpm.cost, O323, _xlpm.precio, Q323,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23" s="296">
        <v>1.39</v>
      </c>
      <c r="R323" s="276" t="s">
        <v>285</v>
      </c>
      <c r="S32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3" s="276">
        <v>0.36</v>
      </c>
      <c r="U32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23" s="274">
        <v>0.79</v>
      </c>
    </row>
    <row r="324" spans="1:22" x14ac:dyDescent="0.25">
      <c r="A324" s="281" t="s">
        <v>85</v>
      </c>
      <c r="B324" s="282">
        <f>_xlfn.XLOOKUP(Catalogo[[#This Row],[Finca]], Fincas[Nombre], Fincas[ID])</f>
        <v>38</v>
      </c>
      <c r="C324" s="281" t="s">
        <v>646</v>
      </c>
      <c r="D324" s="281" t="s">
        <v>811</v>
      </c>
      <c r="E324" s="281"/>
      <c r="F324" s="281" t="s">
        <v>503</v>
      </c>
      <c r="G324" s="281"/>
      <c r="H324" s="281"/>
      <c r="I324" s="316" t="s">
        <v>275</v>
      </c>
      <c r="J324" s="308"/>
      <c r="K324" s="282" t="s">
        <v>31</v>
      </c>
      <c r="L32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4" s="283" t="s">
        <v>383</v>
      </c>
      <c r="N324" s="283">
        <v>50</v>
      </c>
      <c r="O324" s="285">
        <v>0.42</v>
      </c>
      <c r="P324" s="284">
        <f>IFERROR(_xlfn.LET(_xlpm.boxType, K324, _xlpm.tallos, N324, _xlpm.cost, O324, _xlpm.precio, Q324,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24" s="295">
        <v>1.59</v>
      </c>
      <c r="R324" s="285" t="s">
        <v>283</v>
      </c>
      <c r="S32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4" s="285">
        <v>0.42</v>
      </c>
      <c r="U32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24" s="287">
        <v>0.99</v>
      </c>
    </row>
    <row r="325" spans="1:22" x14ac:dyDescent="0.25">
      <c r="A325" s="277" t="s">
        <v>85</v>
      </c>
      <c r="B325" s="278">
        <f>_xlfn.XLOOKUP(Catalogo[[#This Row],[Finca]], Fincas[Nombre], Fincas[ID])</f>
        <v>38</v>
      </c>
      <c r="C325" s="277" t="s">
        <v>646</v>
      </c>
      <c r="D325" s="277" t="s">
        <v>811</v>
      </c>
      <c r="E325" s="277"/>
      <c r="F325" s="277" t="s">
        <v>503</v>
      </c>
      <c r="G325" s="277"/>
      <c r="H325" s="277"/>
      <c r="I325" s="311" t="s">
        <v>275</v>
      </c>
      <c r="J325" s="309"/>
      <c r="K325" s="278" t="s">
        <v>35</v>
      </c>
      <c r="L32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5" s="279" t="s">
        <v>385</v>
      </c>
      <c r="N325" s="279">
        <v>100</v>
      </c>
      <c r="O325" s="276">
        <v>0.42</v>
      </c>
      <c r="P325" s="280">
        <f>IFERROR(_xlfn.LET(_xlpm.boxType, K325, _xlpm.tallos, N325, _xlpm.cost, O325, _xlpm.precio, Q325,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25" s="296">
        <v>1.59</v>
      </c>
      <c r="R325" s="276" t="s">
        <v>284</v>
      </c>
      <c r="S32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5" s="276">
        <v>0.42</v>
      </c>
      <c r="U32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25" s="274">
        <v>0.89</v>
      </c>
    </row>
    <row r="326" spans="1:22" ht="15.75" thickBot="1" x14ac:dyDescent="0.3">
      <c r="A326" s="288" t="s">
        <v>85</v>
      </c>
      <c r="B326" s="289">
        <f>_xlfn.XLOOKUP(Catalogo[[#This Row],[Finca]], Fincas[Nombre], Fincas[ID])</f>
        <v>38</v>
      </c>
      <c r="C326" s="288" t="s">
        <v>646</v>
      </c>
      <c r="D326" s="288" t="s">
        <v>811</v>
      </c>
      <c r="E326" s="288"/>
      <c r="F326" s="288" t="s">
        <v>503</v>
      </c>
      <c r="G326" s="288"/>
      <c r="H326" s="288"/>
      <c r="I326" s="317" t="s">
        <v>275</v>
      </c>
      <c r="J326" s="310"/>
      <c r="K326" s="289" t="s">
        <v>93</v>
      </c>
      <c r="L32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6" s="290" t="s">
        <v>387</v>
      </c>
      <c r="N326" s="290">
        <v>200</v>
      </c>
      <c r="O326" s="292">
        <v>0.42</v>
      </c>
      <c r="P326" s="291">
        <f>IFERROR(_xlfn.LET(_xlpm.boxType, K326, _xlpm.tallos, N326, _xlpm.cost, O326, _xlpm.precio, Q326,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26" s="297">
        <v>1.59</v>
      </c>
      <c r="R326" s="292" t="s">
        <v>285</v>
      </c>
      <c r="S32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6" s="292">
        <v>0.42</v>
      </c>
      <c r="U32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26" s="294">
        <v>0.89</v>
      </c>
    </row>
    <row r="327" spans="1:22" x14ac:dyDescent="0.25">
      <c r="A327" s="281" t="s">
        <v>85</v>
      </c>
      <c r="B327" s="282">
        <f>_xlfn.XLOOKUP(Catalogo[[#This Row],[Finca]], Fincas[Nombre], Fincas[ID])</f>
        <v>38</v>
      </c>
      <c r="C327" s="281" t="s">
        <v>646</v>
      </c>
      <c r="D327" s="281" t="s">
        <v>812</v>
      </c>
      <c r="E327" s="281"/>
      <c r="F327" s="281" t="s">
        <v>570</v>
      </c>
      <c r="G327" s="281"/>
      <c r="H327" s="281"/>
      <c r="I327" s="316" t="s">
        <v>273</v>
      </c>
      <c r="J327" s="308"/>
      <c r="K327" s="282" t="s">
        <v>31</v>
      </c>
      <c r="L32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7" s="283" t="s">
        <v>383</v>
      </c>
      <c r="N327" s="283">
        <v>50</v>
      </c>
      <c r="O327" s="285">
        <v>0.26</v>
      </c>
      <c r="P327" s="284">
        <f>IFERROR(_xlfn.LET(_xlpm.boxType, K327, _xlpm.tallos, N327, _xlpm.cost, O327, _xlpm.precio, Q327,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27" s="295">
        <v>1.29</v>
      </c>
      <c r="R327" s="285" t="s">
        <v>283</v>
      </c>
      <c r="S32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7" s="285">
        <v>0.26</v>
      </c>
      <c r="U32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27" s="287">
        <v>0.75</v>
      </c>
    </row>
    <row r="328" spans="1:22" x14ac:dyDescent="0.25">
      <c r="A328" s="277" t="s">
        <v>85</v>
      </c>
      <c r="B328" s="278">
        <f>_xlfn.XLOOKUP(Catalogo[[#This Row],[Finca]], Fincas[Nombre], Fincas[ID])</f>
        <v>38</v>
      </c>
      <c r="C328" s="277" t="s">
        <v>646</v>
      </c>
      <c r="D328" s="277" t="s">
        <v>812</v>
      </c>
      <c r="E328" s="277"/>
      <c r="F328" s="277" t="s">
        <v>570</v>
      </c>
      <c r="G328" s="277"/>
      <c r="H328" s="277"/>
      <c r="I328" s="311" t="s">
        <v>273</v>
      </c>
      <c r="J328" s="309"/>
      <c r="K328" s="278" t="s">
        <v>35</v>
      </c>
      <c r="L32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8" s="279" t="s">
        <v>385</v>
      </c>
      <c r="N328" s="279">
        <v>150</v>
      </c>
      <c r="O328" s="276">
        <v>0.26</v>
      </c>
      <c r="P328" s="280">
        <f>IFERROR(_xlfn.LET(_xlpm.boxType, K328, _xlpm.tallos, N328, _xlpm.cost, O328, _xlpm.precio, Q328,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28" s="296">
        <v>1.19</v>
      </c>
      <c r="R328" s="276" t="s">
        <v>284</v>
      </c>
      <c r="S32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8" s="276">
        <v>0.26</v>
      </c>
      <c r="U32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28" s="274">
        <v>0.69</v>
      </c>
    </row>
    <row r="329" spans="1:22" ht="15.75" thickBot="1" x14ac:dyDescent="0.3">
      <c r="A329" s="288" t="s">
        <v>85</v>
      </c>
      <c r="B329" s="289">
        <f>_xlfn.XLOOKUP(Catalogo[[#This Row],[Finca]], Fincas[Nombre], Fincas[ID])</f>
        <v>38</v>
      </c>
      <c r="C329" s="288" t="s">
        <v>646</v>
      </c>
      <c r="D329" s="288" t="s">
        <v>812</v>
      </c>
      <c r="E329" s="288"/>
      <c r="F329" s="288" t="s">
        <v>570</v>
      </c>
      <c r="G329" s="288"/>
      <c r="H329" s="288"/>
      <c r="I329" s="317" t="s">
        <v>273</v>
      </c>
      <c r="J329" s="310"/>
      <c r="K329" s="289" t="s">
        <v>93</v>
      </c>
      <c r="L32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29" s="290" t="s">
        <v>387</v>
      </c>
      <c r="N329" s="290">
        <v>300</v>
      </c>
      <c r="O329" s="292">
        <v>0.26</v>
      </c>
      <c r="P329" s="291">
        <f>IFERROR(_xlfn.LET(_xlpm.boxType, K329, _xlpm.tallos, N329, _xlpm.cost, O329, _xlpm.precio, Q329,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29" s="297">
        <v>1.19</v>
      </c>
      <c r="R329" s="292" t="s">
        <v>285</v>
      </c>
      <c r="S32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29" s="292">
        <v>0.26</v>
      </c>
      <c r="U32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29" s="294">
        <v>0.69</v>
      </c>
    </row>
    <row r="330" spans="1:22" x14ac:dyDescent="0.25">
      <c r="A330" s="277" t="s">
        <v>85</v>
      </c>
      <c r="B330" s="278">
        <f>_xlfn.XLOOKUP(Catalogo[[#This Row],[Finca]], Fincas[Nombre], Fincas[ID])</f>
        <v>38</v>
      </c>
      <c r="C330" s="277" t="s">
        <v>646</v>
      </c>
      <c r="D330" s="277" t="s">
        <v>812</v>
      </c>
      <c r="E330" s="277"/>
      <c r="F330" s="277" t="s">
        <v>570</v>
      </c>
      <c r="G330" s="277"/>
      <c r="H330" s="277"/>
      <c r="I330" s="311" t="s">
        <v>274</v>
      </c>
      <c r="J330" s="309"/>
      <c r="K330" s="278" t="s">
        <v>31</v>
      </c>
      <c r="L3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0" s="279" t="s">
        <v>383</v>
      </c>
      <c r="N330" s="279">
        <v>50</v>
      </c>
      <c r="O330" s="276">
        <v>0.36</v>
      </c>
      <c r="P330" s="280">
        <f>IFERROR(_xlfn.LET(_xlpm.boxType, K330, _xlpm.tallos, N330, _xlpm.cost, O330, _xlpm.precio, Q330,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30" s="296">
        <v>1.49</v>
      </c>
      <c r="R330" s="276" t="s">
        <v>283</v>
      </c>
      <c r="S3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0" s="276">
        <v>0.36</v>
      </c>
      <c r="U33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30" s="274">
        <v>0.85</v>
      </c>
    </row>
    <row r="331" spans="1:22" x14ac:dyDescent="0.25">
      <c r="A331" s="277" t="s">
        <v>85</v>
      </c>
      <c r="B331" s="278">
        <f>_xlfn.XLOOKUP(Catalogo[[#This Row],[Finca]], Fincas[Nombre], Fincas[ID])</f>
        <v>38</v>
      </c>
      <c r="C331" s="277" t="s">
        <v>646</v>
      </c>
      <c r="D331" s="277" t="s">
        <v>812</v>
      </c>
      <c r="E331" s="277"/>
      <c r="F331" s="277" t="s">
        <v>570</v>
      </c>
      <c r="G331" s="277"/>
      <c r="H331" s="277"/>
      <c r="I331" s="311" t="s">
        <v>274</v>
      </c>
      <c r="J331" s="309"/>
      <c r="K331" s="278" t="s">
        <v>35</v>
      </c>
      <c r="L33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1" s="279" t="s">
        <v>385</v>
      </c>
      <c r="N331" s="279">
        <v>125</v>
      </c>
      <c r="O331" s="276">
        <v>0.36</v>
      </c>
      <c r="P331" s="280">
        <f>IFERROR(_xlfn.LET(_xlpm.boxType, K331, _xlpm.tallos, N331, _xlpm.cost, O331, _xlpm.precio, Q331,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31" s="296">
        <v>1.39</v>
      </c>
      <c r="R331" s="276" t="s">
        <v>284</v>
      </c>
      <c r="S33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1" s="276">
        <v>0.36</v>
      </c>
      <c r="U33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31" s="274">
        <v>0.79</v>
      </c>
    </row>
    <row r="332" spans="1:22" ht="15.75" thickBot="1" x14ac:dyDescent="0.3">
      <c r="A332" s="277" t="s">
        <v>85</v>
      </c>
      <c r="B332" s="278">
        <f>_xlfn.XLOOKUP(Catalogo[[#This Row],[Finca]], Fincas[Nombre], Fincas[ID])</f>
        <v>38</v>
      </c>
      <c r="C332" s="277" t="s">
        <v>646</v>
      </c>
      <c r="D332" s="277" t="s">
        <v>812</v>
      </c>
      <c r="E332" s="277"/>
      <c r="F332" s="277" t="s">
        <v>570</v>
      </c>
      <c r="G332" s="277"/>
      <c r="H332" s="277"/>
      <c r="I332" s="311" t="s">
        <v>274</v>
      </c>
      <c r="J332" s="309"/>
      <c r="K332" s="278" t="s">
        <v>93</v>
      </c>
      <c r="L33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2" s="279" t="s">
        <v>387</v>
      </c>
      <c r="N332" s="279">
        <v>250</v>
      </c>
      <c r="O332" s="276">
        <v>0.36</v>
      </c>
      <c r="P332" s="280">
        <f>IFERROR(_xlfn.LET(_xlpm.boxType, K332, _xlpm.tallos, N332, _xlpm.cost, O332, _xlpm.precio, Q332,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32" s="296">
        <v>1.39</v>
      </c>
      <c r="R332" s="276" t="s">
        <v>285</v>
      </c>
      <c r="S33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2" s="276">
        <v>0.36</v>
      </c>
      <c r="U33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32" s="274">
        <v>0.79</v>
      </c>
    </row>
    <row r="333" spans="1:22" x14ac:dyDescent="0.25">
      <c r="A333" s="281" t="s">
        <v>85</v>
      </c>
      <c r="B333" s="282">
        <f>_xlfn.XLOOKUP(Catalogo[[#This Row],[Finca]], Fincas[Nombre], Fincas[ID])</f>
        <v>38</v>
      </c>
      <c r="C333" s="281" t="s">
        <v>646</v>
      </c>
      <c r="D333" s="281" t="s">
        <v>812</v>
      </c>
      <c r="E333" s="281"/>
      <c r="F333" s="281" t="s">
        <v>570</v>
      </c>
      <c r="G333" s="281"/>
      <c r="H333" s="281"/>
      <c r="I333" s="316" t="s">
        <v>275</v>
      </c>
      <c r="J333" s="308"/>
      <c r="K333" s="282" t="s">
        <v>31</v>
      </c>
      <c r="L33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3" s="283" t="s">
        <v>383</v>
      </c>
      <c r="N333" s="283">
        <v>50</v>
      </c>
      <c r="O333" s="285">
        <v>0.42</v>
      </c>
      <c r="P333" s="284">
        <f>IFERROR(_xlfn.LET(_xlpm.boxType, K333, _xlpm.tallos, N333, _xlpm.cost, O333, _xlpm.precio, Q333,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33" s="295">
        <v>1.59</v>
      </c>
      <c r="R333" s="285" t="s">
        <v>283</v>
      </c>
      <c r="S33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3" s="285">
        <v>0.42</v>
      </c>
      <c r="U33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33" s="287">
        <v>0.99</v>
      </c>
    </row>
    <row r="334" spans="1:22" x14ac:dyDescent="0.25">
      <c r="A334" s="277" t="s">
        <v>85</v>
      </c>
      <c r="B334" s="278">
        <f>_xlfn.XLOOKUP(Catalogo[[#This Row],[Finca]], Fincas[Nombre], Fincas[ID])</f>
        <v>38</v>
      </c>
      <c r="C334" s="277" t="s">
        <v>646</v>
      </c>
      <c r="D334" s="277" t="s">
        <v>812</v>
      </c>
      <c r="E334" s="277"/>
      <c r="F334" s="277" t="s">
        <v>570</v>
      </c>
      <c r="G334" s="277"/>
      <c r="H334" s="277"/>
      <c r="I334" s="311" t="s">
        <v>275</v>
      </c>
      <c r="J334" s="309"/>
      <c r="K334" s="278" t="s">
        <v>35</v>
      </c>
      <c r="L33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4" s="279" t="s">
        <v>385</v>
      </c>
      <c r="N334" s="279">
        <v>100</v>
      </c>
      <c r="O334" s="276">
        <v>0.42</v>
      </c>
      <c r="P334" s="280">
        <f>IFERROR(_xlfn.LET(_xlpm.boxType, K334, _xlpm.tallos, N334, _xlpm.cost, O334, _xlpm.precio, Q334,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34" s="296">
        <v>1.59</v>
      </c>
      <c r="R334" s="276" t="s">
        <v>284</v>
      </c>
      <c r="S33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4" s="276">
        <v>0.42</v>
      </c>
      <c r="U33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34" s="274">
        <v>0.89</v>
      </c>
    </row>
    <row r="335" spans="1:22" ht="15.75" thickBot="1" x14ac:dyDescent="0.3">
      <c r="A335" s="288" t="s">
        <v>85</v>
      </c>
      <c r="B335" s="289">
        <f>_xlfn.XLOOKUP(Catalogo[[#This Row],[Finca]], Fincas[Nombre], Fincas[ID])</f>
        <v>38</v>
      </c>
      <c r="C335" s="288" t="s">
        <v>646</v>
      </c>
      <c r="D335" s="288" t="s">
        <v>812</v>
      </c>
      <c r="E335" s="288"/>
      <c r="F335" s="288" t="s">
        <v>570</v>
      </c>
      <c r="G335" s="288"/>
      <c r="H335" s="288"/>
      <c r="I335" s="317" t="s">
        <v>275</v>
      </c>
      <c r="J335" s="310"/>
      <c r="K335" s="289" t="s">
        <v>93</v>
      </c>
      <c r="L33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5" s="290" t="s">
        <v>387</v>
      </c>
      <c r="N335" s="290">
        <v>200</v>
      </c>
      <c r="O335" s="292">
        <v>0.42</v>
      </c>
      <c r="P335" s="291">
        <f>IFERROR(_xlfn.LET(_xlpm.boxType, K335, _xlpm.tallos, N335, _xlpm.cost, O335, _xlpm.precio, Q335,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35" s="297">
        <v>1.59</v>
      </c>
      <c r="R335" s="292" t="s">
        <v>285</v>
      </c>
      <c r="S33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5" s="292">
        <v>0.42</v>
      </c>
      <c r="U33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35" s="294">
        <v>0.89</v>
      </c>
    </row>
    <row r="336" spans="1:22" x14ac:dyDescent="0.25">
      <c r="A336" s="281" t="s">
        <v>85</v>
      </c>
      <c r="B336" s="282">
        <f>_xlfn.XLOOKUP(Catalogo[[#This Row],[Finca]], Fincas[Nombre], Fincas[ID])</f>
        <v>38</v>
      </c>
      <c r="C336" s="281" t="s">
        <v>646</v>
      </c>
      <c r="D336" s="281" t="s">
        <v>813</v>
      </c>
      <c r="E336" s="281"/>
      <c r="F336" s="281" t="s">
        <v>608</v>
      </c>
      <c r="G336" s="281"/>
      <c r="H336" s="281"/>
      <c r="I336" s="316" t="s">
        <v>273</v>
      </c>
      <c r="J336" s="308"/>
      <c r="K336" s="282" t="s">
        <v>31</v>
      </c>
      <c r="L33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6" s="283" t="s">
        <v>383</v>
      </c>
      <c r="N336" s="283">
        <v>50</v>
      </c>
      <c r="O336" s="285">
        <v>0.26</v>
      </c>
      <c r="P336" s="284">
        <f>IFERROR(_xlfn.LET(_xlpm.boxType, K336, _xlpm.tallos, N336, _xlpm.cost, O336, _xlpm.precio, Q336,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36" s="295">
        <v>1.29</v>
      </c>
      <c r="R336" s="285" t="s">
        <v>283</v>
      </c>
      <c r="S33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6" s="285">
        <v>0.26</v>
      </c>
      <c r="U33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36" s="287">
        <v>0.75</v>
      </c>
    </row>
    <row r="337" spans="1:22" x14ac:dyDescent="0.25">
      <c r="A337" s="277" t="s">
        <v>85</v>
      </c>
      <c r="B337" s="278">
        <f>_xlfn.XLOOKUP(Catalogo[[#This Row],[Finca]], Fincas[Nombre], Fincas[ID])</f>
        <v>38</v>
      </c>
      <c r="C337" s="277" t="s">
        <v>646</v>
      </c>
      <c r="D337" s="277" t="s">
        <v>813</v>
      </c>
      <c r="E337" s="277"/>
      <c r="F337" s="277" t="s">
        <v>608</v>
      </c>
      <c r="G337" s="277"/>
      <c r="H337" s="277"/>
      <c r="I337" s="311" t="s">
        <v>273</v>
      </c>
      <c r="J337" s="309"/>
      <c r="K337" s="278" t="s">
        <v>35</v>
      </c>
      <c r="L33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7" s="279" t="s">
        <v>385</v>
      </c>
      <c r="N337" s="279">
        <v>150</v>
      </c>
      <c r="O337" s="276">
        <v>0.26</v>
      </c>
      <c r="P337" s="280">
        <f>IFERROR(_xlfn.LET(_xlpm.boxType, K337, _xlpm.tallos, N337, _xlpm.cost, O337, _xlpm.precio, Q337,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37" s="296">
        <v>1.19</v>
      </c>
      <c r="R337" s="276" t="s">
        <v>284</v>
      </c>
      <c r="S33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7" s="276">
        <v>0.26</v>
      </c>
      <c r="U33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37" s="274">
        <v>0.69</v>
      </c>
    </row>
    <row r="338" spans="1:22" ht="15.75" thickBot="1" x14ac:dyDescent="0.3">
      <c r="A338" s="288" t="s">
        <v>85</v>
      </c>
      <c r="B338" s="289">
        <f>_xlfn.XLOOKUP(Catalogo[[#This Row],[Finca]], Fincas[Nombre], Fincas[ID])</f>
        <v>38</v>
      </c>
      <c r="C338" s="288" t="s">
        <v>646</v>
      </c>
      <c r="D338" s="288" t="s">
        <v>813</v>
      </c>
      <c r="E338" s="288"/>
      <c r="F338" s="288" t="s">
        <v>608</v>
      </c>
      <c r="G338" s="288"/>
      <c r="H338" s="288"/>
      <c r="I338" s="317" t="s">
        <v>273</v>
      </c>
      <c r="J338" s="310"/>
      <c r="K338" s="289" t="s">
        <v>93</v>
      </c>
      <c r="L33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8" s="290" t="s">
        <v>387</v>
      </c>
      <c r="N338" s="290">
        <v>300</v>
      </c>
      <c r="O338" s="292">
        <v>0.26</v>
      </c>
      <c r="P338" s="291">
        <f>IFERROR(_xlfn.LET(_xlpm.boxType, K338, _xlpm.tallos, N338, _xlpm.cost, O338, _xlpm.precio, Q338,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38" s="297">
        <v>1.19</v>
      </c>
      <c r="R338" s="292" t="s">
        <v>285</v>
      </c>
      <c r="S33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8" s="292">
        <v>0.26</v>
      </c>
      <c r="U33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38" s="294">
        <v>0.69</v>
      </c>
    </row>
    <row r="339" spans="1:22" x14ac:dyDescent="0.25">
      <c r="A339" s="277" t="s">
        <v>85</v>
      </c>
      <c r="B339" s="278">
        <f>_xlfn.XLOOKUP(Catalogo[[#This Row],[Finca]], Fincas[Nombre], Fincas[ID])</f>
        <v>38</v>
      </c>
      <c r="C339" s="277" t="s">
        <v>646</v>
      </c>
      <c r="D339" s="277" t="s">
        <v>813</v>
      </c>
      <c r="E339" s="277"/>
      <c r="F339" s="277" t="s">
        <v>608</v>
      </c>
      <c r="G339" s="277"/>
      <c r="H339" s="277"/>
      <c r="I339" s="311" t="s">
        <v>274</v>
      </c>
      <c r="J339" s="309"/>
      <c r="K339" s="278" t="s">
        <v>31</v>
      </c>
      <c r="L3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39" s="279" t="s">
        <v>383</v>
      </c>
      <c r="N339" s="279">
        <v>50</v>
      </c>
      <c r="O339" s="276">
        <v>0.36</v>
      </c>
      <c r="P339" s="280">
        <f>IFERROR(_xlfn.LET(_xlpm.boxType, K339, _xlpm.tallos, N339, _xlpm.cost, O339, _xlpm.precio, Q339,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39" s="296">
        <v>1.49</v>
      </c>
      <c r="R339" s="276" t="s">
        <v>283</v>
      </c>
      <c r="S3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39" s="276">
        <v>0.36</v>
      </c>
      <c r="U33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39" s="274">
        <v>0.85</v>
      </c>
    </row>
    <row r="340" spans="1:22" x14ac:dyDescent="0.25">
      <c r="A340" s="277" t="s">
        <v>85</v>
      </c>
      <c r="B340" s="278">
        <f>_xlfn.XLOOKUP(Catalogo[[#This Row],[Finca]], Fincas[Nombre], Fincas[ID])</f>
        <v>38</v>
      </c>
      <c r="C340" s="277" t="s">
        <v>646</v>
      </c>
      <c r="D340" s="277" t="s">
        <v>813</v>
      </c>
      <c r="E340" s="277"/>
      <c r="F340" s="277" t="s">
        <v>608</v>
      </c>
      <c r="G340" s="277"/>
      <c r="H340" s="277"/>
      <c r="I340" s="311" t="s">
        <v>274</v>
      </c>
      <c r="J340" s="309"/>
      <c r="K340" s="278" t="s">
        <v>35</v>
      </c>
      <c r="L34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0" s="279" t="s">
        <v>385</v>
      </c>
      <c r="N340" s="279">
        <v>125</v>
      </c>
      <c r="O340" s="276">
        <v>0.36</v>
      </c>
      <c r="P340" s="280">
        <f>IFERROR(_xlfn.LET(_xlpm.boxType, K340, _xlpm.tallos, N340, _xlpm.cost, O340, _xlpm.precio, Q340,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40" s="296">
        <v>1.39</v>
      </c>
      <c r="R340" s="276" t="s">
        <v>284</v>
      </c>
      <c r="S34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0" s="276">
        <v>0.36</v>
      </c>
      <c r="U34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40" s="274">
        <v>0.79</v>
      </c>
    </row>
    <row r="341" spans="1:22" ht="15.75" thickBot="1" x14ac:dyDescent="0.3">
      <c r="A341" s="277" t="s">
        <v>85</v>
      </c>
      <c r="B341" s="278">
        <f>_xlfn.XLOOKUP(Catalogo[[#This Row],[Finca]], Fincas[Nombre], Fincas[ID])</f>
        <v>38</v>
      </c>
      <c r="C341" s="277" t="s">
        <v>646</v>
      </c>
      <c r="D341" s="277" t="s">
        <v>813</v>
      </c>
      <c r="E341" s="277"/>
      <c r="F341" s="277" t="s">
        <v>608</v>
      </c>
      <c r="G341" s="277"/>
      <c r="H341" s="277"/>
      <c r="I341" s="311" t="s">
        <v>274</v>
      </c>
      <c r="J341" s="309"/>
      <c r="K341" s="278" t="s">
        <v>93</v>
      </c>
      <c r="L34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1" s="279" t="s">
        <v>387</v>
      </c>
      <c r="N341" s="279">
        <v>250</v>
      </c>
      <c r="O341" s="276">
        <v>0.36</v>
      </c>
      <c r="P341" s="280">
        <f>IFERROR(_xlfn.LET(_xlpm.boxType, K341, _xlpm.tallos, N341, _xlpm.cost, O341, _xlpm.precio, Q341,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41" s="296">
        <v>1.39</v>
      </c>
      <c r="R341" s="276" t="s">
        <v>285</v>
      </c>
      <c r="S34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1" s="276">
        <v>0.36</v>
      </c>
      <c r="U34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41" s="274">
        <v>0.79</v>
      </c>
    </row>
    <row r="342" spans="1:22" x14ac:dyDescent="0.25">
      <c r="A342" s="281" t="s">
        <v>85</v>
      </c>
      <c r="B342" s="282">
        <f>_xlfn.XLOOKUP(Catalogo[[#This Row],[Finca]], Fincas[Nombre], Fincas[ID])</f>
        <v>38</v>
      </c>
      <c r="C342" s="281" t="s">
        <v>646</v>
      </c>
      <c r="D342" s="281" t="s">
        <v>813</v>
      </c>
      <c r="E342" s="281"/>
      <c r="F342" s="281" t="s">
        <v>608</v>
      </c>
      <c r="G342" s="281"/>
      <c r="H342" s="281"/>
      <c r="I342" s="316" t="s">
        <v>275</v>
      </c>
      <c r="J342" s="308"/>
      <c r="K342" s="282" t="s">
        <v>31</v>
      </c>
      <c r="L34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2" s="283" t="s">
        <v>383</v>
      </c>
      <c r="N342" s="283">
        <v>50</v>
      </c>
      <c r="O342" s="285">
        <v>0.42</v>
      </c>
      <c r="P342" s="284">
        <f>IFERROR(_xlfn.LET(_xlpm.boxType, K342, _xlpm.tallos, N342, _xlpm.cost, O342, _xlpm.precio, Q342,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42" s="295">
        <v>1.59</v>
      </c>
      <c r="R342" s="285" t="s">
        <v>283</v>
      </c>
      <c r="S34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2" s="285">
        <v>0.42</v>
      </c>
      <c r="U34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42" s="287">
        <v>0.99</v>
      </c>
    </row>
    <row r="343" spans="1:22" x14ac:dyDescent="0.25">
      <c r="A343" s="277" t="s">
        <v>85</v>
      </c>
      <c r="B343" s="278">
        <f>_xlfn.XLOOKUP(Catalogo[[#This Row],[Finca]], Fincas[Nombre], Fincas[ID])</f>
        <v>38</v>
      </c>
      <c r="C343" s="277" t="s">
        <v>646</v>
      </c>
      <c r="D343" s="277" t="s">
        <v>813</v>
      </c>
      <c r="E343" s="277"/>
      <c r="F343" s="277" t="s">
        <v>608</v>
      </c>
      <c r="G343" s="277"/>
      <c r="H343" s="277"/>
      <c r="I343" s="311" t="s">
        <v>275</v>
      </c>
      <c r="J343" s="309"/>
      <c r="K343" s="278" t="s">
        <v>35</v>
      </c>
      <c r="L34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3" s="279" t="s">
        <v>385</v>
      </c>
      <c r="N343" s="279">
        <v>100</v>
      </c>
      <c r="O343" s="276">
        <v>0.42</v>
      </c>
      <c r="P343" s="280">
        <f>IFERROR(_xlfn.LET(_xlpm.boxType, K343, _xlpm.tallos, N343, _xlpm.cost, O343, _xlpm.precio, Q343,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43" s="296">
        <v>1.59</v>
      </c>
      <c r="R343" s="276" t="s">
        <v>284</v>
      </c>
      <c r="S34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3" s="276">
        <v>0.42</v>
      </c>
      <c r="U34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43" s="274">
        <v>0.89</v>
      </c>
    </row>
    <row r="344" spans="1:22" ht="15.75" thickBot="1" x14ac:dyDescent="0.3">
      <c r="A344" s="288" t="s">
        <v>85</v>
      </c>
      <c r="B344" s="289">
        <f>_xlfn.XLOOKUP(Catalogo[[#This Row],[Finca]], Fincas[Nombre], Fincas[ID])</f>
        <v>38</v>
      </c>
      <c r="C344" s="288" t="s">
        <v>646</v>
      </c>
      <c r="D344" s="288" t="s">
        <v>813</v>
      </c>
      <c r="E344" s="288"/>
      <c r="F344" s="288" t="s">
        <v>608</v>
      </c>
      <c r="G344" s="288"/>
      <c r="H344" s="288"/>
      <c r="I344" s="317" t="s">
        <v>275</v>
      </c>
      <c r="J344" s="310"/>
      <c r="K344" s="289" t="s">
        <v>93</v>
      </c>
      <c r="L34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4" s="290" t="s">
        <v>387</v>
      </c>
      <c r="N344" s="290">
        <v>200</v>
      </c>
      <c r="O344" s="292">
        <v>0.42</v>
      </c>
      <c r="P344" s="291">
        <f>IFERROR(_xlfn.LET(_xlpm.boxType, K344, _xlpm.tallos, N344, _xlpm.cost, O344, _xlpm.precio, Q344,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44" s="297">
        <v>1.59</v>
      </c>
      <c r="R344" s="292" t="s">
        <v>285</v>
      </c>
      <c r="S34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4" s="292">
        <v>0.42</v>
      </c>
      <c r="U34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44" s="294">
        <v>0.89</v>
      </c>
    </row>
    <row r="345" spans="1:22" x14ac:dyDescent="0.25">
      <c r="A345" s="281" t="s">
        <v>85</v>
      </c>
      <c r="B345" s="282">
        <f>_xlfn.XLOOKUP(Catalogo[[#This Row],[Finca]], Fincas[Nombre], Fincas[ID])</f>
        <v>38</v>
      </c>
      <c r="C345" s="281" t="s">
        <v>646</v>
      </c>
      <c r="D345" s="281" t="s">
        <v>814</v>
      </c>
      <c r="E345" s="281"/>
      <c r="F345" s="281" t="s">
        <v>608</v>
      </c>
      <c r="G345" s="281"/>
      <c r="H345" s="281"/>
      <c r="I345" s="316" t="s">
        <v>273</v>
      </c>
      <c r="J345" s="308"/>
      <c r="K345" s="282" t="s">
        <v>31</v>
      </c>
      <c r="L34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5" s="283" t="s">
        <v>383</v>
      </c>
      <c r="N345" s="283">
        <v>50</v>
      </c>
      <c r="O345" s="285">
        <v>0.26</v>
      </c>
      <c r="P345" s="284">
        <f>IFERROR(_xlfn.LET(_xlpm.boxType, K345, _xlpm.tallos, N345, _xlpm.cost, O345, _xlpm.precio, Q345,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45" s="295">
        <v>1.29</v>
      </c>
      <c r="R345" s="285" t="s">
        <v>283</v>
      </c>
      <c r="S34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5" s="285">
        <v>0.26</v>
      </c>
      <c r="U34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45" s="287">
        <v>0.75</v>
      </c>
    </row>
    <row r="346" spans="1:22" x14ac:dyDescent="0.25">
      <c r="A346" s="277" t="s">
        <v>85</v>
      </c>
      <c r="B346" s="278">
        <f>_xlfn.XLOOKUP(Catalogo[[#This Row],[Finca]], Fincas[Nombre], Fincas[ID])</f>
        <v>38</v>
      </c>
      <c r="C346" s="277" t="s">
        <v>646</v>
      </c>
      <c r="D346" s="277" t="s">
        <v>814</v>
      </c>
      <c r="E346" s="277"/>
      <c r="F346" s="277" t="s">
        <v>608</v>
      </c>
      <c r="G346" s="277"/>
      <c r="H346" s="277"/>
      <c r="I346" s="311" t="s">
        <v>273</v>
      </c>
      <c r="J346" s="309"/>
      <c r="K346" s="278" t="s">
        <v>35</v>
      </c>
      <c r="L34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6" s="279" t="s">
        <v>385</v>
      </c>
      <c r="N346" s="279">
        <v>150</v>
      </c>
      <c r="O346" s="276">
        <v>0.26</v>
      </c>
      <c r="P346" s="280">
        <f>IFERROR(_xlfn.LET(_xlpm.boxType, K346, _xlpm.tallos, N346, _xlpm.cost, O346, _xlpm.precio, Q346,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46" s="296">
        <v>1.19</v>
      </c>
      <c r="R346" s="276" t="s">
        <v>284</v>
      </c>
      <c r="S34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6" s="276">
        <v>0.26</v>
      </c>
      <c r="U34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46" s="274">
        <v>0.69</v>
      </c>
    </row>
    <row r="347" spans="1:22" ht="15.75" thickBot="1" x14ac:dyDescent="0.3">
      <c r="A347" s="288" t="s">
        <v>85</v>
      </c>
      <c r="B347" s="289">
        <f>_xlfn.XLOOKUP(Catalogo[[#This Row],[Finca]], Fincas[Nombre], Fincas[ID])</f>
        <v>38</v>
      </c>
      <c r="C347" s="288" t="s">
        <v>646</v>
      </c>
      <c r="D347" s="288" t="s">
        <v>814</v>
      </c>
      <c r="E347" s="288"/>
      <c r="F347" s="288" t="s">
        <v>608</v>
      </c>
      <c r="G347" s="288"/>
      <c r="H347" s="288"/>
      <c r="I347" s="317" t="s">
        <v>273</v>
      </c>
      <c r="J347" s="310"/>
      <c r="K347" s="289" t="s">
        <v>93</v>
      </c>
      <c r="L34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7" s="290" t="s">
        <v>387</v>
      </c>
      <c r="N347" s="290">
        <v>300</v>
      </c>
      <c r="O347" s="292">
        <v>0.26</v>
      </c>
      <c r="P347" s="291">
        <f>IFERROR(_xlfn.LET(_xlpm.boxType, K347, _xlpm.tallos, N347, _xlpm.cost, O347, _xlpm.precio, Q347,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47" s="297">
        <v>1.19</v>
      </c>
      <c r="R347" s="292" t="s">
        <v>285</v>
      </c>
      <c r="S34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7" s="292">
        <v>0.26</v>
      </c>
      <c r="U34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47" s="294">
        <v>0.69</v>
      </c>
    </row>
    <row r="348" spans="1:22" x14ac:dyDescent="0.25">
      <c r="A348" s="277" t="s">
        <v>85</v>
      </c>
      <c r="B348" s="278">
        <f>_xlfn.XLOOKUP(Catalogo[[#This Row],[Finca]], Fincas[Nombre], Fincas[ID])</f>
        <v>38</v>
      </c>
      <c r="C348" s="277" t="s">
        <v>646</v>
      </c>
      <c r="D348" s="277" t="s">
        <v>814</v>
      </c>
      <c r="E348" s="277"/>
      <c r="F348" s="277" t="s">
        <v>608</v>
      </c>
      <c r="G348" s="277"/>
      <c r="H348" s="277"/>
      <c r="I348" s="311" t="s">
        <v>274</v>
      </c>
      <c r="J348" s="309"/>
      <c r="K348" s="278" t="s">
        <v>31</v>
      </c>
      <c r="L34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8" s="279" t="s">
        <v>383</v>
      </c>
      <c r="N348" s="279">
        <v>50</v>
      </c>
      <c r="O348" s="276">
        <v>0.36</v>
      </c>
      <c r="P348" s="280">
        <f>IFERROR(_xlfn.LET(_xlpm.boxType, K348, _xlpm.tallos, N348, _xlpm.cost, O348, _xlpm.precio, Q348,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48" s="296">
        <v>1.49</v>
      </c>
      <c r="R348" s="276" t="s">
        <v>283</v>
      </c>
      <c r="S34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8" s="276">
        <v>0.36</v>
      </c>
      <c r="U34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48" s="274">
        <v>0.85</v>
      </c>
    </row>
    <row r="349" spans="1:22" x14ac:dyDescent="0.25">
      <c r="A349" s="277" t="s">
        <v>85</v>
      </c>
      <c r="B349" s="278">
        <f>_xlfn.XLOOKUP(Catalogo[[#This Row],[Finca]], Fincas[Nombre], Fincas[ID])</f>
        <v>38</v>
      </c>
      <c r="C349" s="277" t="s">
        <v>646</v>
      </c>
      <c r="D349" s="277" t="s">
        <v>814</v>
      </c>
      <c r="E349" s="277"/>
      <c r="F349" s="277" t="s">
        <v>608</v>
      </c>
      <c r="G349" s="277"/>
      <c r="H349" s="277"/>
      <c r="I349" s="311" t="s">
        <v>274</v>
      </c>
      <c r="J349" s="309"/>
      <c r="K349" s="278" t="s">
        <v>35</v>
      </c>
      <c r="L34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49" s="279" t="s">
        <v>385</v>
      </c>
      <c r="N349" s="279">
        <v>125</v>
      </c>
      <c r="O349" s="276">
        <v>0.36</v>
      </c>
      <c r="P349" s="280">
        <f>IFERROR(_xlfn.LET(_xlpm.boxType, K349, _xlpm.tallos, N349, _xlpm.cost, O349, _xlpm.precio, Q349,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49" s="296">
        <v>1.39</v>
      </c>
      <c r="R349" s="276" t="s">
        <v>284</v>
      </c>
      <c r="S34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49" s="276">
        <v>0.36</v>
      </c>
      <c r="U34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49" s="274">
        <v>0.79</v>
      </c>
    </row>
    <row r="350" spans="1:22" ht="15.75" thickBot="1" x14ac:dyDescent="0.3">
      <c r="A350" s="277" t="s">
        <v>85</v>
      </c>
      <c r="B350" s="278">
        <f>_xlfn.XLOOKUP(Catalogo[[#This Row],[Finca]], Fincas[Nombre], Fincas[ID])</f>
        <v>38</v>
      </c>
      <c r="C350" s="277" t="s">
        <v>646</v>
      </c>
      <c r="D350" s="277" t="s">
        <v>814</v>
      </c>
      <c r="E350" s="277"/>
      <c r="F350" s="277" t="s">
        <v>608</v>
      </c>
      <c r="G350" s="277"/>
      <c r="H350" s="277"/>
      <c r="I350" s="311" t="s">
        <v>274</v>
      </c>
      <c r="J350" s="309"/>
      <c r="K350" s="278" t="s">
        <v>93</v>
      </c>
      <c r="L35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0" s="279" t="s">
        <v>387</v>
      </c>
      <c r="N350" s="279">
        <v>250</v>
      </c>
      <c r="O350" s="276">
        <v>0.36</v>
      </c>
      <c r="P350" s="280">
        <f>IFERROR(_xlfn.LET(_xlpm.boxType, K350, _xlpm.tallos, N350, _xlpm.cost, O350, _xlpm.precio, Q350,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50" s="296">
        <v>1.39</v>
      </c>
      <c r="R350" s="276" t="s">
        <v>285</v>
      </c>
      <c r="S35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0" s="276">
        <v>0.36</v>
      </c>
      <c r="U35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50" s="274">
        <v>0.79</v>
      </c>
    </row>
    <row r="351" spans="1:22" x14ac:dyDescent="0.25">
      <c r="A351" s="281" t="s">
        <v>85</v>
      </c>
      <c r="B351" s="282">
        <f>_xlfn.XLOOKUP(Catalogo[[#This Row],[Finca]], Fincas[Nombre], Fincas[ID])</f>
        <v>38</v>
      </c>
      <c r="C351" s="281" t="s">
        <v>646</v>
      </c>
      <c r="D351" s="281" t="s">
        <v>814</v>
      </c>
      <c r="E351" s="281"/>
      <c r="F351" s="281" t="s">
        <v>608</v>
      </c>
      <c r="G351" s="281"/>
      <c r="H351" s="281"/>
      <c r="I351" s="316" t="s">
        <v>275</v>
      </c>
      <c r="J351" s="308"/>
      <c r="K351" s="282" t="s">
        <v>31</v>
      </c>
      <c r="L35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1" s="283" t="s">
        <v>383</v>
      </c>
      <c r="N351" s="283">
        <v>50</v>
      </c>
      <c r="O351" s="285">
        <v>0.42</v>
      </c>
      <c r="P351" s="284">
        <f>IFERROR(_xlfn.LET(_xlpm.boxType, K351, _xlpm.tallos, N351, _xlpm.cost, O351, _xlpm.precio, Q351,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51" s="295">
        <v>1.59</v>
      </c>
      <c r="R351" s="285" t="s">
        <v>283</v>
      </c>
      <c r="S35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1" s="285">
        <v>0.42</v>
      </c>
      <c r="U35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51" s="287">
        <v>0.99</v>
      </c>
    </row>
    <row r="352" spans="1:22" x14ac:dyDescent="0.25">
      <c r="A352" s="277" t="s">
        <v>85</v>
      </c>
      <c r="B352" s="278">
        <f>_xlfn.XLOOKUP(Catalogo[[#This Row],[Finca]], Fincas[Nombre], Fincas[ID])</f>
        <v>38</v>
      </c>
      <c r="C352" s="277" t="s">
        <v>646</v>
      </c>
      <c r="D352" s="277" t="s">
        <v>814</v>
      </c>
      <c r="E352" s="277"/>
      <c r="F352" s="277" t="s">
        <v>608</v>
      </c>
      <c r="G352" s="277"/>
      <c r="H352" s="277"/>
      <c r="I352" s="311" t="s">
        <v>275</v>
      </c>
      <c r="J352" s="309"/>
      <c r="K352" s="278" t="s">
        <v>35</v>
      </c>
      <c r="L35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2" s="279" t="s">
        <v>385</v>
      </c>
      <c r="N352" s="279">
        <v>100</v>
      </c>
      <c r="O352" s="276">
        <v>0.42</v>
      </c>
      <c r="P352" s="280">
        <f>IFERROR(_xlfn.LET(_xlpm.boxType, K352, _xlpm.tallos, N352, _xlpm.cost, O352, _xlpm.precio, Q352,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52" s="296">
        <v>1.59</v>
      </c>
      <c r="R352" s="276" t="s">
        <v>284</v>
      </c>
      <c r="S35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2" s="276">
        <v>0.42</v>
      </c>
      <c r="U35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52" s="274">
        <v>0.89</v>
      </c>
    </row>
    <row r="353" spans="1:22" ht="15.75" thickBot="1" x14ac:dyDescent="0.3">
      <c r="A353" s="288" t="s">
        <v>85</v>
      </c>
      <c r="B353" s="289">
        <f>_xlfn.XLOOKUP(Catalogo[[#This Row],[Finca]], Fincas[Nombre], Fincas[ID])</f>
        <v>38</v>
      </c>
      <c r="C353" s="288" t="s">
        <v>646</v>
      </c>
      <c r="D353" s="288" t="s">
        <v>814</v>
      </c>
      <c r="E353" s="288"/>
      <c r="F353" s="288" t="s">
        <v>608</v>
      </c>
      <c r="G353" s="288"/>
      <c r="H353" s="288"/>
      <c r="I353" s="317" t="s">
        <v>275</v>
      </c>
      <c r="J353" s="310"/>
      <c r="K353" s="289" t="s">
        <v>93</v>
      </c>
      <c r="L35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3" s="290" t="s">
        <v>387</v>
      </c>
      <c r="N353" s="290">
        <v>200</v>
      </c>
      <c r="O353" s="292">
        <v>0.42</v>
      </c>
      <c r="P353" s="291">
        <f>IFERROR(_xlfn.LET(_xlpm.boxType, K353, _xlpm.tallos, N353, _xlpm.cost, O353, _xlpm.precio, Q353,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53" s="297">
        <v>1.59</v>
      </c>
      <c r="R353" s="292" t="s">
        <v>285</v>
      </c>
      <c r="S35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3" s="292">
        <v>0.42</v>
      </c>
      <c r="U35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53" s="294">
        <v>0.89</v>
      </c>
    </row>
    <row r="354" spans="1:22" x14ac:dyDescent="0.25">
      <c r="A354" s="281" t="s">
        <v>85</v>
      </c>
      <c r="B354" s="282">
        <f>_xlfn.XLOOKUP(Catalogo[[#This Row],[Finca]], Fincas[Nombre], Fincas[ID])</f>
        <v>38</v>
      </c>
      <c r="C354" s="281" t="s">
        <v>646</v>
      </c>
      <c r="D354" s="281" t="s">
        <v>815</v>
      </c>
      <c r="E354" s="281"/>
      <c r="F354" s="281" t="s">
        <v>570</v>
      </c>
      <c r="G354" s="281" t="s">
        <v>576</v>
      </c>
      <c r="H354" s="281"/>
      <c r="I354" s="316" t="s">
        <v>273</v>
      </c>
      <c r="J354" s="308"/>
      <c r="K354" s="282" t="s">
        <v>31</v>
      </c>
      <c r="L35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4" s="283" t="s">
        <v>383</v>
      </c>
      <c r="N354" s="283">
        <v>50</v>
      </c>
      <c r="O354" s="285">
        <v>0.26</v>
      </c>
      <c r="P354" s="284">
        <f>IFERROR(_xlfn.LET(_xlpm.boxType, K354, _xlpm.tallos, N354, _xlpm.cost, O354, _xlpm.precio, Q354,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54" s="295">
        <v>1.29</v>
      </c>
      <c r="R354" s="285" t="s">
        <v>283</v>
      </c>
      <c r="S35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4" s="285">
        <v>0.26</v>
      </c>
      <c r="U35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54" s="287">
        <v>0.75</v>
      </c>
    </row>
    <row r="355" spans="1:22" x14ac:dyDescent="0.25">
      <c r="A355" s="277" t="s">
        <v>85</v>
      </c>
      <c r="B355" s="278">
        <f>_xlfn.XLOOKUP(Catalogo[[#This Row],[Finca]], Fincas[Nombre], Fincas[ID])</f>
        <v>38</v>
      </c>
      <c r="C355" s="277" t="s">
        <v>646</v>
      </c>
      <c r="D355" s="277" t="s">
        <v>815</v>
      </c>
      <c r="E355" s="277"/>
      <c r="F355" s="277" t="s">
        <v>570</v>
      </c>
      <c r="G355" s="277" t="s">
        <v>576</v>
      </c>
      <c r="H355" s="277"/>
      <c r="I355" s="311" t="s">
        <v>273</v>
      </c>
      <c r="J355" s="309"/>
      <c r="K355" s="278" t="s">
        <v>35</v>
      </c>
      <c r="L35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5" s="279" t="s">
        <v>385</v>
      </c>
      <c r="N355" s="279">
        <v>150</v>
      </c>
      <c r="O355" s="276">
        <v>0.26</v>
      </c>
      <c r="P355" s="280">
        <f>IFERROR(_xlfn.LET(_xlpm.boxType, K355, _xlpm.tallos, N355, _xlpm.cost, O355, _xlpm.precio, Q355,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55" s="296">
        <v>1.19</v>
      </c>
      <c r="R355" s="276" t="s">
        <v>284</v>
      </c>
      <c r="S35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5" s="276">
        <v>0.26</v>
      </c>
      <c r="U35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55" s="274">
        <v>0.69</v>
      </c>
    </row>
    <row r="356" spans="1:22" ht="15.75" thickBot="1" x14ac:dyDescent="0.3">
      <c r="A356" s="288" t="s">
        <v>85</v>
      </c>
      <c r="B356" s="289">
        <f>_xlfn.XLOOKUP(Catalogo[[#This Row],[Finca]], Fincas[Nombre], Fincas[ID])</f>
        <v>38</v>
      </c>
      <c r="C356" s="288" t="s">
        <v>646</v>
      </c>
      <c r="D356" s="288" t="s">
        <v>815</v>
      </c>
      <c r="E356" s="288"/>
      <c r="F356" s="288" t="s">
        <v>570</v>
      </c>
      <c r="G356" s="288" t="s">
        <v>576</v>
      </c>
      <c r="H356" s="288"/>
      <c r="I356" s="317" t="s">
        <v>273</v>
      </c>
      <c r="J356" s="310"/>
      <c r="K356" s="289" t="s">
        <v>93</v>
      </c>
      <c r="L35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6" s="290" t="s">
        <v>387</v>
      </c>
      <c r="N356" s="290">
        <v>300</v>
      </c>
      <c r="O356" s="292">
        <v>0.26</v>
      </c>
      <c r="P356" s="291">
        <f>IFERROR(_xlfn.LET(_xlpm.boxType, K356, _xlpm.tallos, N356, _xlpm.cost, O356, _xlpm.precio, Q356,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56" s="297">
        <v>1.19</v>
      </c>
      <c r="R356" s="292" t="s">
        <v>285</v>
      </c>
      <c r="S35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6" s="292">
        <v>0.26</v>
      </c>
      <c r="U35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56" s="294">
        <v>0.69</v>
      </c>
    </row>
    <row r="357" spans="1:22" x14ac:dyDescent="0.25">
      <c r="A357" s="277" t="s">
        <v>85</v>
      </c>
      <c r="B357" s="278">
        <f>_xlfn.XLOOKUP(Catalogo[[#This Row],[Finca]], Fincas[Nombre], Fincas[ID])</f>
        <v>38</v>
      </c>
      <c r="C357" s="277" t="s">
        <v>646</v>
      </c>
      <c r="D357" s="277" t="s">
        <v>815</v>
      </c>
      <c r="E357" s="277"/>
      <c r="F357" s="277" t="s">
        <v>570</v>
      </c>
      <c r="G357" s="277" t="s">
        <v>576</v>
      </c>
      <c r="H357" s="277"/>
      <c r="I357" s="311" t="s">
        <v>274</v>
      </c>
      <c r="J357" s="309"/>
      <c r="K357" s="278" t="s">
        <v>31</v>
      </c>
      <c r="L3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7" s="279" t="s">
        <v>383</v>
      </c>
      <c r="N357" s="279">
        <v>50</v>
      </c>
      <c r="O357" s="276">
        <v>0.36</v>
      </c>
      <c r="P357" s="280">
        <f>IFERROR(_xlfn.LET(_xlpm.boxType, K357, _xlpm.tallos, N357, _xlpm.cost, O357, _xlpm.precio, Q357,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57" s="296">
        <v>1.49</v>
      </c>
      <c r="R357" s="276" t="s">
        <v>283</v>
      </c>
      <c r="S3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7" s="276">
        <v>0.36</v>
      </c>
      <c r="U35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57" s="274">
        <v>0.85</v>
      </c>
    </row>
    <row r="358" spans="1:22" x14ac:dyDescent="0.25">
      <c r="A358" s="277" t="s">
        <v>85</v>
      </c>
      <c r="B358" s="278">
        <f>_xlfn.XLOOKUP(Catalogo[[#This Row],[Finca]], Fincas[Nombre], Fincas[ID])</f>
        <v>38</v>
      </c>
      <c r="C358" s="277" t="s">
        <v>646</v>
      </c>
      <c r="D358" s="277" t="s">
        <v>815</v>
      </c>
      <c r="E358" s="277"/>
      <c r="F358" s="277" t="s">
        <v>570</v>
      </c>
      <c r="G358" s="277" t="s">
        <v>576</v>
      </c>
      <c r="H358" s="277"/>
      <c r="I358" s="311" t="s">
        <v>274</v>
      </c>
      <c r="J358" s="309"/>
      <c r="K358" s="278" t="s">
        <v>35</v>
      </c>
      <c r="L35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8" s="279" t="s">
        <v>385</v>
      </c>
      <c r="N358" s="279">
        <v>125</v>
      </c>
      <c r="O358" s="276">
        <v>0.36</v>
      </c>
      <c r="P358" s="280">
        <f>IFERROR(_xlfn.LET(_xlpm.boxType, K358, _xlpm.tallos, N358, _xlpm.cost, O358, _xlpm.precio, Q358,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58" s="296">
        <v>1.39</v>
      </c>
      <c r="R358" s="276" t="s">
        <v>284</v>
      </c>
      <c r="S35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8" s="276">
        <v>0.36</v>
      </c>
      <c r="U35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58" s="274">
        <v>0.79</v>
      </c>
    </row>
    <row r="359" spans="1:22" ht="15.75" thickBot="1" x14ac:dyDescent="0.3">
      <c r="A359" s="277" t="s">
        <v>85</v>
      </c>
      <c r="B359" s="278">
        <f>_xlfn.XLOOKUP(Catalogo[[#This Row],[Finca]], Fincas[Nombre], Fincas[ID])</f>
        <v>38</v>
      </c>
      <c r="C359" s="277" t="s">
        <v>646</v>
      </c>
      <c r="D359" s="277" t="s">
        <v>815</v>
      </c>
      <c r="E359" s="277"/>
      <c r="F359" s="277" t="s">
        <v>570</v>
      </c>
      <c r="G359" s="277" t="s">
        <v>576</v>
      </c>
      <c r="H359" s="277"/>
      <c r="I359" s="311" t="s">
        <v>274</v>
      </c>
      <c r="J359" s="309"/>
      <c r="K359" s="278" t="s">
        <v>93</v>
      </c>
      <c r="L35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59" s="279" t="s">
        <v>387</v>
      </c>
      <c r="N359" s="279">
        <v>250</v>
      </c>
      <c r="O359" s="276">
        <v>0.36</v>
      </c>
      <c r="P359" s="280">
        <f>IFERROR(_xlfn.LET(_xlpm.boxType, K359, _xlpm.tallos, N359, _xlpm.cost, O359, _xlpm.precio, Q359,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59" s="296">
        <v>1.39</v>
      </c>
      <c r="R359" s="276" t="s">
        <v>285</v>
      </c>
      <c r="S35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59" s="276">
        <v>0.36</v>
      </c>
      <c r="U35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59" s="274">
        <v>0.79</v>
      </c>
    </row>
    <row r="360" spans="1:22" x14ac:dyDescent="0.25">
      <c r="A360" s="281" t="s">
        <v>85</v>
      </c>
      <c r="B360" s="282">
        <f>_xlfn.XLOOKUP(Catalogo[[#This Row],[Finca]], Fincas[Nombre], Fincas[ID])</f>
        <v>38</v>
      </c>
      <c r="C360" s="281" t="s">
        <v>646</v>
      </c>
      <c r="D360" s="281" t="s">
        <v>815</v>
      </c>
      <c r="E360" s="281"/>
      <c r="F360" s="281" t="s">
        <v>570</v>
      </c>
      <c r="G360" s="281" t="s">
        <v>576</v>
      </c>
      <c r="H360" s="281"/>
      <c r="I360" s="316" t="s">
        <v>275</v>
      </c>
      <c r="J360" s="308"/>
      <c r="K360" s="282" t="s">
        <v>31</v>
      </c>
      <c r="L36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0" s="283" t="s">
        <v>383</v>
      </c>
      <c r="N360" s="283">
        <v>50</v>
      </c>
      <c r="O360" s="285">
        <v>0.42</v>
      </c>
      <c r="P360" s="284">
        <f>IFERROR(_xlfn.LET(_xlpm.boxType, K360, _xlpm.tallos, N360, _xlpm.cost, O360, _xlpm.precio, Q360,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60" s="295">
        <v>1.59</v>
      </c>
      <c r="R360" s="285" t="s">
        <v>283</v>
      </c>
      <c r="S36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0" s="285">
        <v>0.42</v>
      </c>
      <c r="U36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60" s="287">
        <v>0.99</v>
      </c>
    </row>
    <row r="361" spans="1:22" x14ac:dyDescent="0.25">
      <c r="A361" s="277" t="s">
        <v>85</v>
      </c>
      <c r="B361" s="278">
        <f>_xlfn.XLOOKUP(Catalogo[[#This Row],[Finca]], Fincas[Nombre], Fincas[ID])</f>
        <v>38</v>
      </c>
      <c r="C361" s="277" t="s">
        <v>646</v>
      </c>
      <c r="D361" s="277" t="s">
        <v>815</v>
      </c>
      <c r="E361" s="277"/>
      <c r="F361" s="277" t="s">
        <v>570</v>
      </c>
      <c r="G361" s="277" t="s">
        <v>576</v>
      </c>
      <c r="H361" s="277"/>
      <c r="I361" s="311" t="s">
        <v>275</v>
      </c>
      <c r="J361" s="309"/>
      <c r="K361" s="278" t="s">
        <v>35</v>
      </c>
      <c r="L36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1" s="279" t="s">
        <v>385</v>
      </c>
      <c r="N361" s="279">
        <v>100</v>
      </c>
      <c r="O361" s="276">
        <v>0.42</v>
      </c>
      <c r="P361" s="280">
        <f>IFERROR(_xlfn.LET(_xlpm.boxType, K361, _xlpm.tallos, N361, _xlpm.cost, O361, _xlpm.precio, Q361,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61" s="296">
        <v>1.59</v>
      </c>
      <c r="R361" s="276" t="s">
        <v>284</v>
      </c>
      <c r="S36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1" s="276">
        <v>0.42</v>
      </c>
      <c r="U36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61" s="274">
        <v>0.89</v>
      </c>
    </row>
    <row r="362" spans="1:22" ht="15.75" thickBot="1" x14ac:dyDescent="0.3">
      <c r="A362" s="288" t="s">
        <v>85</v>
      </c>
      <c r="B362" s="289">
        <f>_xlfn.XLOOKUP(Catalogo[[#This Row],[Finca]], Fincas[Nombre], Fincas[ID])</f>
        <v>38</v>
      </c>
      <c r="C362" s="288" t="s">
        <v>646</v>
      </c>
      <c r="D362" s="288" t="s">
        <v>815</v>
      </c>
      <c r="E362" s="288"/>
      <c r="F362" s="288" t="s">
        <v>570</v>
      </c>
      <c r="G362" s="288" t="s">
        <v>576</v>
      </c>
      <c r="H362" s="288"/>
      <c r="I362" s="317" t="s">
        <v>275</v>
      </c>
      <c r="J362" s="310"/>
      <c r="K362" s="289" t="s">
        <v>93</v>
      </c>
      <c r="L36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2" s="290" t="s">
        <v>387</v>
      </c>
      <c r="N362" s="290">
        <v>200</v>
      </c>
      <c r="O362" s="292">
        <v>0.42</v>
      </c>
      <c r="P362" s="291">
        <f>IFERROR(_xlfn.LET(_xlpm.boxType, K362, _xlpm.tallos, N362, _xlpm.cost, O362, _xlpm.precio, Q362,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62" s="297">
        <v>1.59</v>
      </c>
      <c r="R362" s="292" t="s">
        <v>285</v>
      </c>
      <c r="S36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2" s="292">
        <v>0.42</v>
      </c>
      <c r="U36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62" s="294">
        <v>0.89</v>
      </c>
    </row>
    <row r="363" spans="1:22" x14ac:dyDescent="0.25">
      <c r="A363" s="281" t="s">
        <v>85</v>
      </c>
      <c r="B363" s="282">
        <f>_xlfn.XLOOKUP(Catalogo[[#This Row],[Finca]], Fincas[Nombre], Fincas[ID])</f>
        <v>38</v>
      </c>
      <c r="C363" s="281" t="s">
        <v>646</v>
      </c>
      <c r="D363" s="281" t="s">
        <v>816</v>
      </c>
      <c r="E363" s="281"/>
      <c r="F363" s="281" t="s">
        <v>526</v>
      </c>
      <c r="G363" s="281"/>
      <c r="H363" s="281"/>
      <c r="I363" s="316" t="s">
        <v>273</v>
      </c>
      <c r="J363" s="308"/>
      <c r="K363" s="282" t="s">
        <v>31</v>
      </c>
      <c r="L36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3" s="283" t="s">
        <v>383</v>
      </c>
      <c r="N363" s="283">
        <v>50</v>
      </c>
      <c r="O363" s="285">
        <v>0.26</v>
      </c>
      <c r="P363" s="284">
        <f>IFERROR(_xlfn.LET(_xlpm.boxType, K363, _xlpm.tallos, N363, _xlpm.cost, O363, _xlpm.precio, Q363,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63" s="295">
        <v>1.29</v>
      </c>
      <c r="R363" s="285" t="s">
        <v>283</v>
      </c>
      <c r="S36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3" s="285">
        <v>0.26</v>
      </c>
      <c r="U36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63" s="287">
        <v>0.75</v>
      </c>
    </row>
    <row r="364" spans="1:22" x14ac:dyDescent="0.25">
      <c r="A364" s="277" t="s">
        <v>85</v>
      </c>
      <c r="B364" s="278">
        <f>_xlfn.XLOOKUP(Catalogo[[#This Row],[Finca]], Fincas[Nombre], Fincas[ID])</f>
        <v>38</v>
      </c>
      <c r="C364" s="277" t="s">
        <v>646</v>
      </c>
      <c r="D364" s="277" t="s">
        <v>816</v>
      </c>
      <c r="E364" s="277"/>
      <c r="F364" s="277" t="s">
        <v>526</v>
      </c>
      <c r="G364" s="277"/>
      <c r="H364" s="277"/>
      <c r="I364" s="311" t="s">
        <v>273</v>
      </c>
      <c r="J364" s="309"/>
      <c r="K364" s="278" t="s">
        <v>35</v>
      </c>
      <c r="L36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4" s="279" t="s">
        <v>385</v>
      </c>
      <c r="N364" s="279">
        <v>150</v>
      </c>
      <c r="O364" s="276">
        <v>0.26</v>
      </c>
      <c r="P364" s="280">
        <f>IFERROR(_xlfn.LET(_xlpm.boxType, K364, _xlpm.tallos, N364, _xlpm.cost, O364, _xlpm.precio, Q364,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64" s="296">
        <v>1.19</v>
      </c>
      <c r="R364" s="276" t="s">
        <v>284</v>
      </c>
      <c r="S36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4" s="276">
        <v>0.26</v>
      </c>
      <c r="U36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64" s="274">
        <v>0.69</v>
      </c>
    </row>
    <row r="365" spans="1:22" ht="15.75" thickBot="1" x14ac:dyDescent="0.3">
      <c r="A365" s="288" t="s">
        <v>85</v>
      </c>
      <c r="B365" s="289">
        <f>_xlfn.XLOOKUP(Catalogo[[#This Row],[Finca]], Fincas[Nombre], Fincas[ID])</f>
        <v>38</v>
      </c>
      <c r="C365" s="288" t="s">
        <v>646</v>
      </c>
      <c r="D365" s="288" t="s">
        <v>816</v>
      </c>
      <c r="E365" s="288"/>
      <c r="F365" s="288" t="s">
        <v>526</v>
      </c>
      <c r="G365" s="288"/>
      <c r="H365" s="288"/>
      <c r="I365" s="317" t="s">
        <v>273</v>
      </c>
      <c r="J365" s="310"/>
      <c r="K365" s="289" t="s">
        <v>93</v>
      </c>
      <c r="L36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5" s="290" t="s">
        <v>387</v>
      </c>
      <c r="N365" s="290">
        <v>300</v>
      </c>
      <c r="O365" s="292">
        <v>0.26</v>
      </c>
      <c r="P365" s="291">
        <f>IFERROR(_xlfn.LET(_xlpm.boxType, K365, _xlpm.tallos, N365, _xlpm.cost, O365, _xlpm.precio, Q365,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65" s="297">
        <v>1.19</v>
      </c>
      <c r="R365" s="292" t="s">
        <v>285</v>
      </c>
      <c r="S36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5" s="292">
        <v>0.26</v>
      </c>
      <c r="U36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65" s="294">
        <v>0.69</v>
      </c>
    </row>
    <row r="366" spans="1:22" x14ac:dyDescent="0.25">
      <c r="A366" s="277" t="s">
        <v>85</v>
      </c>
      <c r="B366" s="278">
        <f>_xlfn.XLOOKUP(Catalogo[[#This Row],[Finca]], Fincas[Nombre], Fincas[ID])</f>
        <v>38</v>
      </c>
      <c r="C366" s="277" t="s">
        <v>646</v>
      </c>
      <c r="D366" s="277" t="s">
        <v>816</v>
      </c>
      <c r="E366" s="277"/>
      <c r="F366" s="277" t="s">
        <v>526</v>
      </c>
      <c r="G366" s="277"/>
      <c r="H366" s="277"/>
      <c r="I366" s="311" t="s">
        <v>274</v>
      </c>
      <c r="J366" s="309"/>
      <c r="K366" s="278" t="s">
        <v>31</v>
      </c>
      <c r="L36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6" s="279" t="s">
        <v>383</v>
      </c>
      <c r="N366" s="279">
        <v>50</v>
      </c>
      <c r="O366" s="276">
        <v>0.36</v>
      </c>
      <c r="P366" s="280">
        <f>IFERROR(_xlfn.LET(_xlpm.boxType, K366, _xlpm.tallos, N366, _xlpm.cost, O366, _xlpm.precio, Q366,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66" s="296">
        <v>1.49</v>
      </c>
      <c r="R366" s="276" t="s">
        <v>283</v>
      </c>
      <c r="S36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6" s="276">
        <v>0.36</v>
      </c>
      <c r="U36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66" s="274">
        <v>0.85</v>
      </c>
    </row>
    <row r="367" spans="1:22" x14ac:dyDescent="0.25">
      <c r="A367" s="277" t="s">
        <v>85</v>
      </c>
      <c r="B367" s="278">
        <f>_xlfn.XLOOKUP(Catalogo[[#This Row],[Finca]], Fincas[Nombre], Fincas[ID])</f>
        <v>38</v>
      </c>
      <c r="C367" s="277" t="s">
        <v>646</v>
      </c>
      <c r="D367" s="277" t="s">
        <v>816</v>
      </c>
      <c r="E367" s="277"/>
      <c r="F367" s="277" t="s">
        <v>526</v>
      </c>
      <c r="G367" s="277"/>
      <c r="H367" s="277"/>
      <c r="I367" s="311" t="s">
        <v>274</v>
      </c>
      <c r="J367" s="309"/>
      <c r="K367" s="278" t="s">
        <v>35</v>
      </c>
      <c r="L3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7" s="279" t="s">
        <v>385</v>
      </c>
      <c r="N367" s="279">
        <v>125</v>
      </c>
      <c r="O367" s="276">
        <v>0.36</v>
      </c>
      <c r="P367" s="280">
        <f>IFERROR(_xlfn.LET(_xlpm.boxType, K367, _xlpm.tallos, N367, _xlpm.cost, O367, _xlpm.precio, Q367,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67" s="296">
        <v>1.39</v>
      </c>
      <c r="R367" s="276" t="s">
        <v>284</v>
      </c>
      <c r="S3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7" s="276">
        <v>0.36</v>
      </c>
      <c r="U36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67" s="274">
        <v>0.79</v>
      </c>
    </row>
    <row r="368" spans="1:22" ht="15.75" thickBot="1" x14ac:dyDescent="0.3">
      <c r="A368" s="277" t="s">
        <v>85</v>
      </c>
      <c r="B368" s="278">
        <f>_xlfn.XLOOKUP(Catalogo[[#This Row],[Finca]], Fincas[Nombre], Fincas[ID])</f>
        <v>38</v>
      </c>
      <c r="C368" s="277" t="s">
        <v>646</v>
      </c>
      <c r="D368" s="277" t="s">
        <v>816</v>
      </c>
      <c r="E368" s="277"/>
      <c r="F368" s="277" t="s">
        <v>526</v>
      </c>
      <c r="G368" s="277"/>
      <c r="H368" s="277"/>
      <c r="I368" s="311" t="s">
        <v>274</v>
      </c>
      <c r="J368" s="309"/>
      <c r="K368" s="278" t="s">
        <v>93</v>
      </c>
      <c r="L36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8" s="279" t="s">
        <v>387</v>
      </c>
      <c r="N368" s="279">
        <v>250</v>
      </c>
      <c r="O368" s="276">
        <v>0.36</v>
      </c>
      <c r="P368" s="280">
        <f>IFERROR(_xlfn.LET(_xlpm.boxType, K368, _xlpm.tallos, N368, _xlpm.cost, O368, _xlpm.precio, Q368,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68" s="296">
        <v>1.39</v>
      </c>
      <c r="R368" s="276" t="s">
        <v>285</v>
      </c>
      <c r="S36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8" s="276">
        <v>0.36</v>
      </c>
      <c r="U36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68" s="274">
        <v>0.79</v>
      </c>
    </row>
    <row r="369" spans="1:22" x14ac:dyDescent="0.25">
      <c r="A369" s="281" t="s">
        <v>85</v>
      </c>
      <c r="B369" s="282">
        <f>_xlfn.XLOOKUP(Catalogo[[#This Row],[Finca]], Fincas[Nombre], Fincas[ID])</f>
        <v>38</v>
      </c>
      <c r="C369" s="281" t="s">
        <v>646</v>
      </c>
      <c r="D369" s="281" t="s">
        <v>816</v>
      </c>
      <c r="E369" s="281"/>
      <c r="F369" s="281" t="s">
        <v>526</v>
      </c>
      <c r="G369" s="281"/>
      <c r="H369" s="281"/>
      <c r="I369" s="316" t="s">
        <v>275</v>
      </c>
      <c r="J369" s="308"/>
      <c r="K369" s="282" t="s">
        <v>31</v>
      </c>
      <c r="L36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69" s="283" t="s">
        <v>383</v>
      </c>
      <c r="N369" s="283">
        <v>50</v>
      </c>
      <c r="O369" s="285">
        <v>0.42</v>
      </c>
      <c r="P369" s="284">
        <f>IFERROR(_xlfn.LET(_xlpm.boxType, K369, _xlpm.tallos, N369, _xlpm.cost, O369, _xlpm.precio, Q369,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69" s="295">
        <v>1.59</v>
      </c>
      <c r="R369" s="285" t="s">
        <v>283</v>
      </c>
      <c r="S36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69" s="285">
        <v>0.42</v>
      </c>
      <c r="U36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69" s="287">
        <v>0.99</v>
      </c>
    </row>
    <row r="370" spans="1:22" x14ac:dyDescent="0.25">
      <c r="A370" s="277" t="s">
        <v>85</v>
      </c>
      <c r="B370" s="278">
        <f>_xlfn.XLOOKUP(Catalogo[[#This Row],[Finca]], Fincas[Nombre], Fincas[ID])</f>
        <v>38</v>
      </c>
      <c r="C370" s="277" t="s">
        <v>646</v>
      </c>
      <c r="D370" s="277" t="s">
        <v>816</v>
      </c>
      <c r="E370" s="277"/>
      <c r="F370" s="277" t="s">
        <v>526</v>
      </c>
      <c r="G370" s="277"/>
      <c r="H370" s="277"/>
      <c r="I370" s="311" t="s">
        <v>275</v>
      </c>
      <c r="J370" s="309"/>
      <c r="K370" s="278" t="s">
        <v>35</v>
      </c>
      <c r="L37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0" s="279" t="s">
        <v>385</v>
      </c>
      <c r="N370" s="279">
        <v>100</v>
      </c>
      <c r="O370" s="276">
        <v>0.42</v>
      </c>
      <c r="P370" s="280">
        <f>IFERROR(_xlfn.LET(_xlpm.boxType, K370, _xlpm.tallos, N370, _xlpm.cost, O370, _xlpm.precio, Q370,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70" s="296">
        <v>1.59</v>
      </c>
      <c r="R370" s="276" t="s">
        <v>284</v>
      </c>
      <c r="S37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0" s="276">
        <v>0.42</v>
      </c>
      <c r="U37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70" s="274">
        <v>0.89</v>
      </c>
    </row>
    <row r="371" spans="1:22" ht="15.75" thickBot="1" x14ac:dyDescent="0.3">
      <c r="A371" s="288" t="s">
        <v>85</v>
      </c>
      <c r="B371" s="289">
        <f>_xlfn.XLOOKUP(Catalogo[[#This Row],[Finca]], Fincas[Nombre], Fincas[ID])</f>
        <v>38</v>
      </c>
      <c r="C371" s="288" t="s">
        <v>646</v>
      </c>
      <c r="D371" s="288" t="s">
        <v>816</v>
      </c>
      <c r="E371" s="288"/>
      <c r="F371" s="288" t="s">
        <v>526</v>
      </c>
      <c r="G371" s="288"/>
      <c r="H371" s="288"/>
      <c r="I371" s="317" t="s">
        <v>275</v>
      </c>
      <c r="J371" s="310"/>
      <c r="K371" s="289" t="s">
        <v>93</v>
      </c>
      <c r="L37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1" s="290" t="s">
        <v>387</v>
      </c>
      <c r="N371" s="290">
        <v>200</v>
      </c>
      <c r="O371" s="292">
        <v>0.42</v>
      </c>
      <c r="P371" s="291">
        <f>IFERROR(_xlfn.LET(_xlpm.boxType, K371, _xlpm.tallos, N371, _xlpm.cost, O371, _xlpm.precio, Q371,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71" s="297">
        <v>1.59</v>
      </c>
      <c r="R371" s="292" t="s">
        <v>285</v>
      </c>
      <c r="S37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1" s="292">
        <v>0.42</v>
      </c>
      <c r="U37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71" s="294">
        <v>0.89</v>
      </c>
    </row>
    <row r="372" spans="1:22" x14ac:dyDescent="0.25">
      <c r="A372" s="281" t="s">
        <v>85</v>
      </c>
      <c r="B372" s="282">
        <f>_xlfn.XLOOKUP(Catalogo[[#This Row],[Finca]], Fincas[Nombre], Fincas[ID])</f>
        <v>38</v>
      </c>
      <c r="C372" s="281" t="s">
        <v>646</v>
      </c>
      <c r="D372" s="281" t="s">
        <v>817</v>
      </c>
      <c r="E372" s="281"/>
      <c r="F372" s="281" t="s">
        <v>583</v>
      </c>
      <c r="G372" s="281"/>
      <c r="H372" s="281"/>
      <c r="I372" s="316" t="s">
        <v>273</v>
      </c>
      <c r="J372" s="308"/>
      <c r="K372" s="282" t="s">
        <v>31</v>
      </c>
      <c r="L37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2" s="283" t="s">
        <v>383</v>
      </c>
      <c r="N372" s="283">
        <v>50</v>
      </c>
      <c r="O372" s="285">
        <v>0.26</v>
      </c>
      <c r="P372" s="284">
        <f>IFERROR(_xlfn.LET(_xlpm.boxType, K372, _xlpm.tallos, N372, _xlpm.cost, O372, _xlpm.precio, Q372,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72" s="295">
        <v>1.29</v>
      </c>
      <c r="R372" s="285" t="s">
        <v>283</v>
      </c>
      <c r="S37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2" s="285">
        <v>0.26</v>
      </c>
      <c r="U37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72" s="287">
        <v>0.75</v>
      </c>
    </row>
    <row r="373" spans="1:22" x14ac:dyDescent="0.25">
      <c r="A373" s="277" t="s">
        <v>85</v>
      </c>
      <c r="B373" s="278">
        <f>_xlfn.XLOOKUP(Catalogo[[#This Row],[Finca]], Fincas[Nombre], Fincas[ID])</f>
        <v>38</v>
      </c>
      <c r="C373" s="277" t="s">
        <v>646</v>
      </c>
      <c r="D373" s="277" t="s">
        <v>817</v>
      </c>
      <c r="E373" s="277"/>
      <c r="F373" s="277" t="s">
        <v>583</v>
      </c>
      <c r="G373" s="277"/>
      <c r="H373" s="277"/>
      <c r="I373" s="311" t="s">
        <v>273</v>
      </c>
      <c r="J373" s="309"/>
      <c r="K373" s="278" t="s">
        <v>35</v>
      </c>
      <c r="L37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3" s="279" t="s">
        <v>385</v>
      </c>
      <c r="N373" s="279">
        <v>150</v>
      </c>
      <c r="O373" s="276">
        <v>0.26</v>
      </c>
      <c r="P373" s="280">
        <f>IFERROR(_xlfn.LET(_xlpm.boxType, K373, _xlpm.tallos, N373, _xlpm.cost, O373, _xlpm.precio, Q373,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73" s="296">
        <v>1.19</v>
      </c>
      <c r="R373" s="276" t="s">
        <v>284</v>
      </c>
      <c r="S37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3" s="276">
        <v>0.26</v>
      </c>
      <c r="U37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73" s="274">
        <v>0.69</v>
      </c>
    </row>
    <row r="374" spans="1:22" ht="15.75" thickBot="1" x14ac:dyDescent="0.3">
      <c r="A374" s="288" t="s">
        <v>85</v>
      </c>
      <c r="B374" s="289">
        <f>_xlfn.XLOOKUP(Catalogo[[#This Row],[Finca]], Fincas[Nombre], Fincas[ID])</f>
        <v>38</v>
      </c>
      <c r="C374" s="288" t="s">
        <v>646</v>
      </c>
      <c r="D374" s="288" t="s">
        <v>817</v>
      </c>
      <c r="E374" s="288"/>
      <c r="F374" s="288" t="s">
        <v>583</v>
      </c>
      <c r="G374" s="288"/>
      <c r="H374" s="288"/>
      <c r="I374" s="317" t="s">
        <v>273</v>
      </c>
      <c r="J374" s="310"/>
      <c r="K374" s="289" t="s">
        <v>93</v>
      </c>
      <c r="L37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4" s="290" t="s">
        <v>387</v>
      </c>
      <c r="N374" s="290">
        <v>300</v>
      </c>
      <c r="O374" s="292">
        <v>0.26</v>
      </c>
      <c r="P374" s="291">
        <f>IFERROR(_xlfn.LET(_xlpm.boxType, K374, _xlpm.tallos, N374, _xlpm.cost, O374, _xlpm.precio, Q374,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74" s="297">
        <v>1.19</v>
      </c>
      <c r="R374" s="292" t="s">
        <v>285</v>
      </c>
      <c r="S37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4" s="292">
        <v>0.26</v>
      </c>
      <c r="U37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74" s="294">
        <v>0.69</v>
      </c>
    </row>
    <row r="375" spans="1:22" x14ac:dyDescent="0.25">
      <c r="A375" s="277" t="s">
        <v>85</v>
      </c>
      <c r="B375" s="278">
        <f>_xlfn.XLOOKUP(Catalogo[[#This Row],[Finca]], Fincas[Nombre], Fincas[ID])</f>
        <v>38</v>
      </c>
      <c r="C375" s="277" t="s">
        <v>646</v>
      </c>
      <c r="D375" s="277" t="s">
        <v>817</v>
      </c>
      <c r="E375" s="277"/>
      <c r="F375" s="277" t="s">
        <v>583</v>
      </c>
      <c r="G375" s="277"/>
      <c r="H375" s="277"/>
      <c r="I375" s="311" t="s">
        <v>274</v>
      </c>
      <c r="J375" s="309"/>
      <c r="K375" s="278" t="s">
        <v>31</v>
      </c>
      <c r="L3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5" s="279" t="s">
        <v>383</v>
      </c>
      <c r="N375" s="279">
        <v>50</v>
      </c>
      <c r="O375" s="276">
        <v>0.36</v>
      </c>
      <c r="P375" s="280">
        <f>IFERROR(_xlfn.LET(_xlpm.boxType, K375, _xlpm.tallos, N375, _xlpm.cost, O375, _xlpm.precio, Q375,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75" s="296">
        <v>1.49</v>
      </c>
      <c r="R375" s="276" t="s">
        <v>283</v>
      </c>
      <c r="S3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5" s="276">
        <v>0.36</v>
      </c>
      <c r="U37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75" s="274">
        <v>0.85</v>
      </c>
    </row>
    <row r="376" spans="1:22" x14ac:dyDescent="0.25">
      <c r="A376" s="277" t="s">
        <v>85</v>
      </c>
      <c r="B376" s="278">
        <f>_xlfn.XLOOKUP(Catalogo[[#This Row],[Finca]], Fincas[Nombre], Fincas[ID])</f>
        <v>38</v>
      </c>
      <c r="C376" s="277" t="s">
        <v>646</v>
      </c>
      <c r="D376" s="277" t="s">
        <v>817</v>
      </c>
      <c r="E376" s="277"/>
      <c r="F376" s="277" t="s">
        <v>583</v>
      </c>
      <c r="G376" s="277"/>
      <c r="H376" s="277"/>
      <c r="I376" s="311" t="s">
        <v>274</v>
      </c>
      <c r="J376" s="309"/>
      <c r="K376" s="278" t="s">
        <v>35</v>
      </c>
      <c r="L37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6" s="279" t="s">
        <v>385</v>
      </c>
      <c r="N376" s="279">
        <v>125</v>
      </c>
      <c r="O376" s="276">
        <v>0.36</v>
      </c>
      <c r="P376" s="280">
        <f>IFERROR(_xlfn.LET(_xlpm.boxType, K376, _xlpm.tallos, N376, _xlpm.cost, O376, _xlpm.precio, Q376,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76" s="296">
        <v>1.39</v>
      </c>
      <c r="R376" s="276" t="s">
        <v>284</v>
      </c>
      <c r="S37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6" s="276">
        <v>0.36</v>
      </c>
      <c r="U37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76" s="274">
        <v>0.79</v>
      </c>
    </row>
    <row r="377" spans="1:22" ht="15.75" thickBot="1" x14ac:dyDescent="0.3">
      <c r="A377" s="277" t="s">
        <v>85</v>
      </c>
      <c r="B377" s="278">
        <f>_xlfn.XLOOKUP(Catalogo[[#This Row],[Finca]], Fincas[Nombre], Fincas[ID])</f>
        <v>38</v>
      </c>
      <c r="C377" s="277" t="s">
        <v>646</v>
      </c>
      <c r="D377" s="277" t="s">
        <v>817</v>
      </c>
      <c r="E377" s="277"/>
      <c r="F377" s="277" t="s">
        <v>583</v>
      </c>
      <c r="G377" s="277"/>
      <c r="H377" s="277"/>
      <c r="I377" s="311" t="s">
        <v>274</v>
      </c>
      <c r="J377" s="309"/>
      <c r="K377" s="278" t="s">
        <v>93</v>
      </c>
      <c r="L37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7" s="279" t="s">
        <v>387</v>
      </c>
      <c r="N377" s="279">
        <v>250</v>
      </c>
      <c r="O377" s="276">
        <v>0.36</v>
      </c>
      <c r="P377" s="280">
        <f>IFERROR(_xlfn.LET(_xlpm.boxType, K377, _xlpm.tallos, N377, _xlpm.cost, O377, _xlpm.precio, Q377,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77" s="296">
        <v>1.39</v>
      </c>
      <c r="R377" s="276" t="s">
        <v>285</v>
      </c>
      <c r="S37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7" s="276">
        <v>0.36</v>
      </c>
      <c r="U37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77" s="274">
        <v>0.79</v>
      </c>
    </row>
    <row r="378" spans="1:22" x14ac:dyDescent="0.25">
      <c r="A378" s="281" t="s">
        <v>85</v>
      </c>
      <c r="B378" s="282">
        <f>_xlfn.XLOOKUP(Catalogo[[#This Row],[Finca]], Fincas[Nombre], Fincas[ID])</f>
        <v>38</v>
      </c>
      <c r="C378" s="281" t="s">
        <v>646</v>
      </c>
      <c r="D378" s="281" t="s">
        <v>817</v>
      </c>
      <c r="E378" s="281"/>
      <c r="F378" s="281" t="s">
        <v>583</v>
      </c>
      <c r="G378" s="281"/>
      <c r="H378" s="281"/>
      <c r="I378" s="316" t="s">
        <v>275</v>
      </c>
      <c r="J378" s="308"/>
      <c r="K378" s="282" t="s">
        <v>31</v>
      </c>
      <c r="L37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8" s="283" t="s">
        <v>383</v>
      </c>
      <c r="N378" s="283">
        <v>50</v>
      </c>
      <c r="O378" s="285">
        <v>0.42</v>
      </c>
      <c r="P378" s="284">
        <f>IFERROR(_xlfn.LET(_xlpm.boxType, K378, _xlpm.tallos, N378, _xlpm.cost, O378, _xlpm.precio, Q378,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78" s="295">
        <v>1.59</v>
      </c>
      <c r="R378" s="285" t="s">
        <v>283</v>
      </c>
      <c r="S37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8" s="285">
        <v>0.42</v>
      </c>
      <c r="U37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78" s="287">
        <v>0.99</v>
      </c>
    </row>
    <row r="379" spans="1:22" x14ac:dyDescent="0.25">
      <c r="A379" s="277" t="s">
        <v>85</v>
      </c>
      <c r="B379" s="278">
        <f>_xlfn.XLOOKUP(Catalogo[[#This Row],[Finca]], Fincas[Nombre], Fincas[ID])</f>
        <v>38</v>
      </c>
      <c r="C379" s="277" t="s">
        <v>646</v>
      </c>
      <c r="D379" s="277" t="s">
        <v>817</v>
      </c>
      <c r="E379" s="277"/>
      <c r="F379" s="277" t="s">
        <v>583</v>
      </c>
      <c r="G379" s="277"/>
      <c r="H379" s="277"/>
      <c r="I379" s="311" t="s">
        <v>275</v>
      </c>
      <c r="J379" s="309"/>
      <c r="K379" s="278" t="s">
        <v>35</v>
      </c>
      <c r="L37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79" s="279" t="s">
        <v>385</v>
      </c>
      <c r="N379" s="279">
        <v>100</v>
      </c>
      <c r="O379" s="276">
        <v>0.42</v>
      </c>
      <c r="P379" s="280">
        <f>IFERROR(_xlfn.LET(_xlpm.boxType, K379, _xlpm.tallos, N379, _xlpm.cost, O379, _xlpm.precio, Q379,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79" s="296">
        <v>1.59</v>
      </c>
      <c r="R379" s="276" t="s">
        <v>284</v>
      </c>
      <c r="S37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79" s="276">
        <v>0.42</v>
      </c>
      <c r="U37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79" s="274">
        <v>0.89</v>
      </c>
    </row>
    <row r="380" spans="1:22" ht="15.75" thickBot="1" x14ac:dyDescent="0.3">
      <c r="A380" s="288" t="s">
        <v>85</v>
      </c>
      <c r="B380" s="289">
        <f>_xlfn.XLOOKUP(Catalogo[[#This Row],[Finca]], Fincas[Nombre], Fincas[ID])</f>
        <v>38</v>
      </c>
      <c r="C380" s="288" t="s">
        <v>646</v>
      </c>
      <c r="D380" s="288" t="s">
        <v>817</v>
      </c>
      <c r="E380" s="288"/>
      <c r="F380" s="288" t="s">
        <v>583</v>
      </c>
      <c r="G380" s="288"/>
      <c r="H380" s="288"/>
      <c r="I380" s="317" t="s">
        <v>275</v>
      </c>
      <c r="J380" s="310"/>
      <c r="K380" s="289" t="s">
        <v>93</v>
      </c>
      <c r="L38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0" s="290" t="s">
        <v>387</v>
      </c>
      <c r="N380" s="290">
        <v>200</v>
      </c>
      <c r="O380" s="292">
        <v>0.42</v>
      </c>
      <c r="P380" s="291">
        <f>IFERROR(_xlfn.LET(_xlpm.boxType, K380, _xlpm.tallos, N380, _xlpm.cost, O380, _xlpm.precio, Q380,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80" s="297">
        <v>1.59</v>
      </c>
      <c r="R380" s="292" t="s">
        <v>285</v>
      </c>
      <c r="S38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0" s="292">
        <v>0.42</v>
      </c>
      <c r="U38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80" s="294">
        <v>0.89</v>
      </c>
    </row>
    <row r="381" spans="1:22" x14ac:dyDescent="0.25">
      <c r="A381" s="281" t="s">
        <v>85</v>
      </c>
      <c r="B381" s="282">
        <f>_xlfn.XLOOKUP(Catalogo[[#This Row],[Finca]], Fincas[Nombre], Fincas[ID])</f>
        <v>38</v>
      </c>
      <c r="C381" s="281" t="s">
        <v>646</v>
      </c>
      <c r="D381" s="281" t="s">
        <v>818</v>
      </c>
      <c r="E381" s="281"/>
      <c r="F381" s="281" t="s">
        <v>600</v>
      </c>
      <c r="G381" s="281"/>
      <c r="H381" s="281"/>
      <c r="I381" s="316" t="s">
        <v>273</v>
      </c>
      <c r="J381" s="308"/>
      <c r="K381" s="282" t="s">
        <v>31</v>
      </c>
      <c r="L38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1" s="283" t="s">
        <v>383</v>
      </c>
      <c r="N381" s="283">
        <v>50</v>
      </c>
      <c r="O381" s="285">
        <v>0.26</v>
      </c>
      <c r="P381" s="284">
        <f>IFERROR(_xlfn.LET(_xlpm.boxType, K381, _xlpm.tallos, N381, _xlpm.cost, O381, _xlpm.precio, Q381,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81" s="295">
        <v>1.29</v>
      </c>
      <c r="R381" s="285" t="s">
        <v>283</v>
      </c>
      <c r="S38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1" s="285">
        <v>0.26</v>
      </c>
      <c r="U38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81" s="287">
        <v>0.75</v>
      </c>
    </row>
    <row r="382" spans="1:22" x14ac:dyDescent="0.25">
      <c r="A382" s="277" t="s">
        <v>85</v>
      </c>
      <c r="B382" s="278">
        <f>_xlfn.XLOOKUP(Catalogo[[#This Row],[Finca]], Fincas[Nombre], Fincas[ID])</f>
        <v>38</v>
      </c>
      <c r="C382" s="277" t="s">
        <v>646</v>
      </c>
      <c r="D382" s="277" t="s">
        <v>818</v>
      </c>
      <c r="E382" s="277"/>
      <c r="F382" s="277" t="s">
        <v>600</v>
      </c>
      <c r="G382" s="277"/>
      <c r="H382" s="277"/>
      <c r="I382" s="311" t="s">
        <v>273</v>
      </c>
      <c r="J382" s="309"/>
      <c r="K382" s="278" t="s">
        <v>35</v>
      </c>
      <c r="L38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2" s="279" t="s">
        <v>385</v>
      </c>
      <c r="N382" s="279">
        <v>150</v>
      </c>
      <c r="O382" s="276">
        <v>0.26</v>
      </c>
      <c r="P382" s="280">
        <f>IFERROR(_xlfn.LET(_xlpm.boxType, K382, _xlpm.tallos, N382, _xlpm.cost, O382, _xlpm.precio, Q382,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82" s="296">
        <v>1.19</v>
      </c>
      <c r="R382" s="276" t="s">
        <v>284</v>
      </c>
      <c r="S38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2" s="276">
        <v>0.26</v>
      </c>
      <c r="U38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82" s="274">
        <v>0.69</v>
      </c>
    </row>
    <row r="383" spans="1:22" ht="15.75" thickBot="1" x14ac:dyDescent="0.3">
      <c r="A383" s="288" t="s">
        <v>85</v>
      </c>
      <c r="B383" s="289">
        <f>_xlfn.XLOOKUP(Catalogo[[#This Row],[Finca]], Fincas[Nombre], Fincas[ID])</f>
        <v>38</v>
      </c>
      <c r="C383" s="288" t="s">
        <v>646</v>
      </c>
      <c r="D383" s="288" t="s">
        <v>818</v>
      </c>
      <c r="E383" s="288"/>
      <c r="F383" s="288" t="s">
        <v>600</v>
      </c>
      <c r="G383" s="288"/>
      <c r="H383" s="288"/>
      <c r="I383" s="317" t="s">
        <v>273</v>
      </c>
      <c r="J383" s="310"/>
      <c r="K383" s="289" t="s">
        <v>93</v>
      </c>
      <c r="L38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3" s="290" t="s">
        <v>387</v>
      </c>
      <c r="N383" s="290">
        <v>300</v>
      </c>
      <c r="O383" s="292">
        <v>0.26</v>
      </c>
      <c r="P383" s="291">
        <f>IFERROR(_xlfn.LET(_xlpm.boxType, K383, _xlpm.tallos, N383, _xlpm.cost, O383, _xlpm.precio, Q383,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83" s="297">
        <v>1.19</v>
      </c>
      <c r="R383" s="292" t="s">
        <v>285</v>
      </c>
      <c r="S38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3" s="292">
        <v>0.26</v>
      </c>
      <c r="U38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83" s="294">
        <v>0.69</v>
      </c>
    </row>
    <row r="384" spans="1:22" x14ac:dyDescent="0.25">
      <c r="A384" s="277" t="s">
        <v>85</v>
      </c>
      <c r="B384" s="278">
        <f>_xlfn.XLOOKUP(Catalogo[[#This Row],[Finca]], Fincas[Nombre], Fincas[ID])</f>
        <v>38</v>
      </c>
      <c r="C384" s="277" t="s">
        <v>646</v>
      </c>
      <c r="D384" s="277" t="s">
        <v>818</v>
      </c>
      <c r="E384" s="277"/>
      <c r="F384" s="277" t="s">
        <v>600</v>
      </c>
      <c r="G384" s="277"/>
      <c r="H384" s="277"/>
      <c r="I384" s="311" t="s">
        <v>274</v>
      </c>
      <c r="J384" s="309"/>
      <c r="K384" s="278" t="s">
        <v>31</v>
      </c>
      <c r="L38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4" s="279" t="s">
        <v>383</v>
      </c>
      <c r="N384" s="279">
        <v>50</v>
      </c>
      <c r="O384" s="276">
        <v>0.36</v>
      </c>
      <c r="P384" s="280">
        <f>IFERROR(_xlfn.LET(_xlpm.boxType, K384, _xlpm.tallos, N384, _xlpm.cost, O384, _xlpm.precio, Q384,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84" s="296">
        <v>1.49</v>
      </c>
      <c r="R384" s="276" t="s">
        <v>283</v>
      </c>
      <c r="S38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4" s="276">
        <v>0.36</v>
      </c>
      <c r="U38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84" s="274">
        <v>0.85</v>
      </c>
    </row>
    <row r="385" spans="1:22" x14ac:dyDescent="0.25">
      <c r="A385" s="277" t="s">
        <v>85</v>
      </c>
      <c r="B385" s="278">
        <f>_xlfn.XLOOKUP(Catalogo[[#This Row],[Finca]], Fincas[Nombre], Fincas[ID])</f>
        <v>38</v>
      </c>
      <c r="C385" s="277" t="s">
        <v>646</v>
      </c>
      <c r="D385" s="277" t="s">
        <v>818</v>
      </c>
      <c r="E385" s="277"/>
      <c r="F385" s="277" t="s">
        <v>600</v>
      </c>
      <c r="G385" s="277"/>
      <c r="H385" s="277"/>
      <c r="I385" s="311" t="s">
        <v>274</v>
      </c>
      <c r="J385" s="309"/>
      <c r="K385" s="278" t="s">
        <v>35</v>
      </c>
      <c r="L38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5" s="279" t="s">
        <v>385</v>
      </c>
      <c r="N385" s="279">
        <v>125</v>
      </c>
      <c r="O385" s="276">
        <v>0.36</v>
      </c>
      <c r="P385" s="280">
        <f>IFERROR(_xlfn.LET(_xlpm.boxType, K385, _xlpm.tallos, N385, _xlpm.cost, O385, _xlpm.precio, Q385,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85" s="296">
        <v>1.39</v>
      </c>
      <c r="R385" s="276" t="s">
        <v>284</v>
      </c>
      <c r="S38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5" s="276">
        <v>0.36</v>
      </c>
      <c r="U38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85" s="274">
        <v>0.79</v>
      </c>
    </row>
    <row r="386" spans="1:22" ht="15.75" thickBot="1" x14ac:dyDescent="0.3">
      <c r="A386" s="277" t="s">
        <v>85</v>
      </c>
      <c r="B386" s="278">
        <f>_xlfn.XLOOKUP(Catalogo[[#This Row],[Finca]], Fincas[Nombre], Fincas[ID])</f>
        <v>38</v>
      </c>
      <c r="C386" s="277" t="s">
        <v>646</v>
      </c>
      <c r="D386" s="277" t="s">
        <v>818</v>
      </c>
      <c r="E386" s="277"/>
      <c r="F386" s="277" t="s">
        <v>600</v>
      </c>
      <c r="G386" s="277"/>
      <c r="H386" s="277"/>
      <c r="I386" s="311" t="s">
        <v>274</v>
      </c>
      <c r="J386" s="309"/>
      <c r="K386" s="278" t="s">
        <v>93</v>
      </c>
      <c r="L38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6" s="279" t="s">
        <v>387</v>
      </c>
      <c r="N386" s="279">
        <v>250</v>
      </c>
      <c r="O386" s="276">
        <v>0.36</v>
      </c>
      <c r="P386" s="280">
        <f>IFERROR(_xlfn.LET(_xlpm.boxType, K386, _xlpm.tallos, N386, _xlpm.cost, O386, _xlpm.precio, Q386,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86" s="296">
        <v>1.39</v>
      </c>
      <c r="R386" s="276" t="s">
        <v>285</v>
      </c>
      <c r="S38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6" s="276">
        <v>0.36</v>
      </c>
      <c r="U38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86" s="274">
        <v>0.79</v>
      </c>
    </row>
    <row r="387" spans="1:22" x14ac:dyDescent="0.25">
      <c r="A387" s="281" t="s">
        <v>85</v>
      </c>
      <c r="B387" s="282">
        <f>_xlfn.XLOOKUP(Catalogo[[#This Row],[Finca]], Fincas[Nombre], Fincas[ID])</f>
        <v>38</v>
      </c>
      <c r="C387" s="281" t="s">
        <v>646</v>
      </c>
      <c r="D387" s="281" t="s">
        <v>818</v>
      </c>
      <c r="E387" s="281"/>
      <c r="F387" s="281" t="s">
        <v>600</v>
      </c>
      <c r="G387" s="281"/>
      <c r="H387" s="281"/>
      <c r="I387" s="316" t="s">
        <v>275</v>
      </c>
      <c r="J387" s="308"/>
      <c r="K387" s="282" t="s">
        <v>31</v>
      </c>
      <c r="L38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7" s="283" t="s">
        <v>383</v>
      </c>
      <c r="N387" s="283">
        <v>50</v>
      </c>
      <c r="O387" s="285">
        <v>0.42</v>
      </c>
      <c r="P387" s="284">
        <f>IFERROR(_xlfn.LET(_xlpm.boxType, K387, _xlpm.tallos, N387, _xlpm.cost, O387, _xlpm.precio, Q387,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87" s="295">
        <v>1.59</v>
      </c>
      <c r="R387" s="285" t="s">
        <v>283</v>
      </c>
      <c r="S38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7" s="285">
        <v>0.42</v>
      </c>
      <c r="U38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87" s="287">
        <v>0.99</v>
      </c>
    </row>
    <row r="388" spans="1:22" x14ac:dyDescent="0.25">
      <c r="A388" s="277" t="s">
        <v>85</v>
      </c>
      <c r="B388" s="278">
        <f>_xlfn.XLOOKUP(Catalogo[[#This Row],[Finca]], Fincas[Nombre], Fincas[ID])</f>
        <v>38</v>
      </c>
      <c r="C388" s="277" t="s">
        <v>646</v>
      </c>
      <c r="D388" s="277" t="s">
        <v>818</v>
      </c>
      <c r="E388" s="277"/>
      <c r="F388" s="277" t="s">
        <v>600</v>
      </c>
      <c r="G388" s="277"/>
      <c r="H388" s="277"/>
      <c r="I388" s="311" t="s">
        <v>275</v>
      </c>
      <c r="J388" s="309"/>
      <c r="K388" s="278" t="s">
        <v>35</v>
      </c>
      <c r="L38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8" s="279" t="s">
        <v>385</v>
      </c>
      <c r="N388" s="279">
        <v>100</v>
      </c>
      <c r="O388" s="276">
        <v>0.42</v>
      </c>
      <c r="P388" s="280">
        <f>IFERROR(_xlfn.LET(_xlpm.boxType, K388, _xlpm.tallos, N388, _xlpm.cost, O388, _xlpm.precio, Q388,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88" s="296">
        <v>1.59</v>
      </c>
      <c r="R388" s="276" t="s">
        <v>284</v>
      </c>
      <c r="S38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8" s="276">
        <v>0.42</v>
      </c>
      <c r="U38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88" s="274">
        <v>0.89</v>
      </c>
    </row>
    <row r="389" spans="1:22" ht="15.75" thickBot="1" x14ac:dyDescent="0.3">
      <c r="A389" s="288" t="s">
        <v>85</v>
      </c>
      <c r="B389" s="289">
        <f>_xlfn.XLOOKUP(Catalogo[[#This Row],[Finca]], Fincas[Nombre], Fincas[ID])</f>
        <v>38</v>
      </c>
      <c r="C389" s="288" t="s">
        <v>646</v>
      </c>
      <c r="D389" s="288" t="s">
        <v>818</v>
      </c>
      <c r="E389" s="288"/>
      <c r="F389" s="288" t="s">
        <v>600</v>
      </c>
      <c r="G389" s="288"/>
      <c r="H389" s="288"/>
      <c r="I389" s="317" t="s">
        <v>275</v>
      </c>
      <c r="J389" s="310"/>
      <c r="K389" s="289" t="s">
        <v>93</v>
      </c>
      <c r="L38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89" s="290" t="s">
        <v>387</v>
      </c>
      <c r="N389" s="290">
        <v>200</v>
      </c>
      <c r="O389" s="292">
        <v>0.42</v>
      </c>
      <c r="P389" s="291">
        <f>IFERROR(_xlfn.LET(_xlpm.boxType, K389, _xlpm.tallos, N389, _xlpm.cost, O389, _xlpm.precio, Q389,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89" s="297">
        <v>1.59</v>
      </c>
      <c r="R389" s="292" t="s">
        <v>285</v>
      </c>
      <c r="S38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89" s="292">
        <v>0.42</v>
      </c>
      <c r="U38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89" s="294">
        <v>0.89</v>
      </c>
    </row>
    <row r="390" spans="1:22" x14ac:dyDescent="0.25">
      <c r="A390" s="281" t="s">
        <v>85</v>
      </c>
      <c r="B390" s="282">
        <f>_xlfn.XLOOKUP(Catalogo[[#This Row],[Finca]], Fincas[Nombre], Fincas[ID])</f>
        <v>38</v>
      </c>
      <c r="C390" s="281" t="s">
        <v>646</v>
      </c>
      <c r="D390" s="281" t="s">
        <v>819</v>
      </c>
      <c r="E390" s="281"/>
      <c r="F390" s="281" t="s">
        <v>600</v>
      </c>
      <c r="G390" s="281"/>
      <c r="H390" s="281"/>
      <c r="I390" s="316" t="s">
        <v>273</v>
      </c>
      <c r="J390" s="308"/>
      <c r="K390" s="282" t="s">
        <v>31</v>
      </c>
      <c r="L39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0" s="283" t="s">
        <v>383</v>
      </c>
      <c r="N390" s="283">
        <v>50</v>
      </c>
      <c r="O390" s="285">
        <v>0.26</v>
      </c>
      <c r="P390" s="284">
        <f>IFERROR(_xlfn.LET(_xlpm.boxType, K390, _xlpm.tallos, N390, _xlpm.cost, O390, _xlpm.precio, Q390,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90" s="295">
        <v>1.29</v>
      </c>
      <c r="R390" s="285" t="s">
        <v>283</v>
      </c>
      <c r="S39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0" s="285">
        <v>0.26</v>
      </c>
      <c r="U39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90" s="287">
        <v>0.75</v>
      </c>
    </row>
    <row r="391" spans="1:22" x14ac:dyDescent="0.25">
      <c r="A391" s="277" t="s">
        <v>85</v>
      </c>
      <c r="B391" s="278">
        <f>_xlfn.XLOOKUP(Catalogo[[#This Row],[Finca]], Fincas[Nombre], Fincas[ID])</f>
        <v>38</v>
      </c>
      <c r="C391" s="277" t="s">
        <v>646</v>
      </c>
      <c r="D391" s="277" t="s">
        <v>819</v>
      </c>
      <c r="E391" s="277"/>
      <c r="F391" s="277" t="s">
        <v>600</v>
      </c>
      <c r="G391" s="277"/>
      <c r="H391" s="277"/>
      <c r="I391" s="311" t="s">
        <v>273</v>
      </c>
      <c r="J391" s="309"/>
      <c r="K391" s="278" t="s">
        <v>35</v>
      </c>
      <c r="L39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1" s="279" t="s">
        <v>385</v>
      </c>
      <c r="N391" s="279">
        <v>150</v>
      </c>
      <c r="O391" s="276">
        <v>0.26</v>
      </c>
      <c r="P391" s="280">
        <f>IFERROR(_xlfn.LET(_xlpm.boxType, K391, _xlpm.tallos, N391, _xlpm.cost, O391, _xlpm.precio, Q391,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391" s="296">
        <v>1.19</v>
      </c>
      <c r="R391" s="276" t="s">
        <v>284</v>
      </c>
      <c r="S39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1" s="276">
        <v>0.26</v>
      </c>
      <c r="U39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91" s="274">
        <v>0.69</v>
      </c>
    </row>
    <row r="392" spans="1:22" ht="15.75" thickBot="1" x14ac:dyDescent="0.3">
      <c r="A392" s="288" t="s">
        <v>85</v>
      </c>
      <c r="B392" s="289">
        <f>_xlfn.XLOOKUP(Catalogo[[#This Row],[Finca]], Fincas[Nombre], Fincas[ID])</f>
        <v>38</v>
      </c>
      <c r="C392" s="288" t="s">
        <v>646</v>
      </c>
      <c r="D392" s="288" t="s">
        <v>819</v>
      </c>
      <c r="E392" s="288"/>
      <c r="F392" s="288" t="s">
        <v>600</v>
      </c>
      <c r="G392" s="288"/>
      <c r="H392" s="288"/>
      <c r="I392" s="317" t="s">
        <v>273</v>
      </c>
      <c r="J392" s="310"/>
      <c r="K392" s="289" t="s">
        <v>93</v>
      </c>
      <c r="L39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2" s="290" t="s">
        <v>387</v>
      </c>
      <c r="N392" s="290">
        <v>300</v>
      </c>
      <c r="O392" s="292">
        <v>0.26</v>
      </c>
      <c r="P392" s="291">
        <f>IFERROR(_xlfn.LET(_xlpm.boxType, K392, _xlpm.tallos, N392, _xlpm.cost, O392, _xlpm.precio, Q392,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392" s="297">
        <v>1.19</v>
      </c>
      <c r="R392" s="292" t="s">
        <v>285</v>
      </c>
      <c r="S39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2" s="292">
        <v>0.26</v>
      </c>
      <c r="U39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392" s="294">
        <v>0.69</v>
      </c>
    </row>
    <row r="393" spans="1:22" x14ac:dyDescent="0.25">
      <c r="A393" s="277" t="s">
        <v>85</v>
      </c>
      <c r="B393" s="278">
        <f>_xlfn.XLOOKUP(Catalogo[[#This Row],[Finca]], Fincas[Nombre], Fincas[ID])</f>
        <v>38</v>
      </c>
      <c r="C393" s="277" t="s">
        <v>646</v>
      </c>
      <c r="D393" s="277" t="s">
        <v>819</v>
      </c>
      <c r="E393" s="277"/>
      <c r="F393" s="277" t="s">
        <v>600</v>
      </c>
      <c r="G393" s="277"/>
      <c r="H393" s="277"/>
      <c r="I393" s="311" t="s">
        <v>274</v>
      </c>
      <c r="J393" s="309"/>
      <c r="K393" s="278" t="s">
        <v>31</v>
      </c>
      <c r="L39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3" s="279" t="s">
        <v>383</v>
      </c>
      <c r="N393" s="279">
        <v>50</v>
      </c>
      <c r="O393" s="276">
        <v>0.36</v>
      </c>
      <c r="P393" s="280">
        <f>IFERROR(_xlfn.LET(_xlpm.boxType, K393, _xlpm.tallos, N393, _xlpm.cost, O393, _xlpm.precio, Q393,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393" s="296">
        <v>1.49</v>
      </c>
      <c r="R393" s="276" t="s">
        <v>283</v>
      </c>
      <c r="S39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3" s="276">
        <v>0.36</v>
      </c>
      <c r="U39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393" s="274">
        <v>0.85</v>
      </c>
    </row>
    <row r="394" spans="1:22" x14ac:dyDescent="0.25">
      <c r="A394" s="277" t="s">
        <v>85</v>
      </c>
      <c r="B394" s="278">
        <f>_xlfn.XLOOKUP(Catalogo[[#This Row],[Finca]], Fincas[Nombre], Fincas[ID])</f>
        <v>38</v>
      </c>
      <c r="C394" s="277" t="s">
        <v>646</v>
      </c>
      <c r="D394" s="277" t="s">
        <v>819</v>
      </c>
      <c r="E394" s="277"/>
      <c r="F394" s="277" t="s">
        <v>600</v>
      </c>
      <c r="G394" s="277"/>
      <c r="H394" s="277"/>
      <c r="I394" s="311" t="s">
        <v>274</v>
      </c>
      <c r="J394" s="309"/>
      <c r="K394" s="278" t="s">
        <v>35</v>
      </c>
      <c r="L39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4" s="279" t="s">
        <v>385</v>
      </c>
      <c r="N394" s="279">
        <v>125</v>
      </c>
      <c r="O394" s="276">
        <v>0.36</v>
      </c>
      <c r="P394" s="280">
        <f>IFERROR(_xlfn.LET(_xlpm.boxType, K394, _xlpm.tallos, N394, _xlpm.cost, O394, _xlpm.precio, Q394,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394" s="296">
        <v>1.39</v>
      </c>
      <c r="R394" s="276" t="s">
        <v>284</v>
      </c>
      <c r="S39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4" s="276">
        <v>0.36</v>
      </c>
      <c r="U39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94" s="274">
        <v>0.79</v>
      </c>
    </row>
    <row r="395" spans="1:22" ht="15.75" thickBot="1" x14ac:dyDescent="0.3">
      <c r="A395" s="277" t="s">
        <v>85</v>
      </c>
      <c r="B395" s="278">
        <f>_xlfn.XLOOKUP(Catalogo[[#This Row],[Finca]], Fincas[Nombre], Fincas[ID])</f>
        <v>38</v>
      </c>
      <c r="C395" s="277" t="s">
        <v>646</v>
      </c>
      <c r="D395" s="277" t="s">
        <v>819</v>
      </c>
      <c r="E395" s="277"/>
      <c r="F395" s="277" t="s">
        <v>600</v>
      </c>
      <c r="G395" s="277"/>
      <c r="H395" s="277"/>
      <c r="I395" s="311" t="s">
        <v>274</v>
      </c>
      <c r="J395" s="309"/>
      <c r="K395" s="278" t="s">
        <v>93</v>
      </c>
      <c r="L39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5" s="279" t="s">
        <v>387</v>
      </c>
      <c r="N395" s="279">
        <v>250</v>
      </c>
      <c r="O395" s="276">
        <v>0.36</v>
      </c>
      <c r="P395" s="280">
        <f>IFERROR(_xlfn.LET(_xlpm.boxType, K395, _xlpm.tallos, N395, _xlpm.cost, O395, _xlpm.precio, Q395,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395" s="296">
        <v>1.39</v>
      </c>
      <c r="R395" s="276" t="s">
        <v>285</v>
      </c>
      <c r="S39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5" s="276">
        <v>0.36</v>
      </c>
      <c r="U39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395" s="274">
        <v>0.79</v>
      </c>
    </row>
    <row r="396" spans="1:22" x14ac:dyDescent="0.25">
      <c r="A396" s="281" t="s">
        <v>85</v>
      </c>
      <c r="B396" s="282">
        <f>_xlfn.XLOOKUP(Catalogo[[#This Row],[Finca]], Fincas[Nombre], Fincas[ID])</f>
        <v>38</v>
      </c>
      <c r="C396" s="281" t="s">
        <v>646</v>
      </c>
      <c r="D396" s="281" t="s">
        <v>819</v>
      </c>
      <c r="E396" s="281"/>
      <c r="F396" s="281" t="s">
        <v>600</v>
      </c>
      <c r="G396" s="281"/>
      <c r="H396" s="281"/>
      <c r="I396" s="316" t="s">
        <v>275</v>
      </c>
      <c r="J396" s="308"/>
      <c r="K396" s="282" t="s">
        <v>31</v>
      </c>
      <c r="L39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6" s="283" t="s">
        <v>383</v>
      </c>
      <c r="N396" s="283">
        <v>50</v>
      </c>
      <c r="O396" s="285">
        <v>0.42</v>
      </c>
      <c r="P396" s="284">
        <f>IFERROR(_xlfn.LET(_xlpm.boxType, K396, _xlpm.tallos, N396, _xlpm.cost, O396, _xlpm.precio, Q396,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96" s="295">
        <v>1.59</v>
      </c>
      <c r="R396" s="285" t="s">
        <v>283</v>
      </c>
      <c r="S39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6" s="285">
        <v>0.42</v>
      </c>
      <c r="U39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396" s="287">
        <v>0.99</v>
      </c>
    </row>
    <row r="397" spans="1:22" x14ac:dyDescent="0.25">
      <c r="A397" s="277" t="s">
        <v>85</v>
      </c>
      <c r="B397" s="278">
        <f>_xlfn.XLOOKUP(Catalogo[[#This Row],[Finca]], Fincas[Nombre], Fincas[ID])</f>
        <v>38</v>
      </c>
      <c r="C397" s="277" t="s">
        <v>646</v>
      </c>
      <c r="D397" s="277" t="s">
        <v>819</v>
      </c>
      <c r="E397" s="277"/>
      <c r="F397" s="277" t="s">
        <v>600</v>
      </c>
      <c r="G397" s="277"/>
      <c r="H397" s="277"/>
      <c r="I397" s="311" t="s">
        <v>275</v>
      </c>
      <c r="J397" s="309"/>
      <c r="K397" s="278" t="s">
        <v>35</v>
      </c>
      <c r="L39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7" s="279" t="s">
        <v>385</v>
      </c>
      <c r="N397" s="279">
        <v>100</v>
      </c>
      <c r="O397" s="276">
        <v>0.42</v>
      </c>
      <c r="P397" s="280">
        <f>IFERROR(_xlfn.LET(_xlpm.boxType, K397, _xlpm.tallos, N397, _xlpm.cost, O397, _xlpm.precio, Q397,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397" s="296">
        <v>1.59</v>
      </c>
      <c r="R397" s="276" t="s">
        <v>284</v>
      </c>
      <c r="S39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7" s="276">
        <v>0.42</v>
      </c>
      <c r="U39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97" s="274">
        <v>0.89</v>
      </c>
    </row>
    <row r="398" spans="1:22" ht="15.75" thickBot="1" x14ac:dyDescent="0.3">
      <c r="A398" s="288" t="s">
        <v>85</v>
      </c>
      <c r="B398" s="289">
        <f>_xlfn.XLOOKUP(Catalogo[[#This Row],[Finca]], Fincas[Nombre], Fincas[ID])</f>
        <v>38</v>
      </c>
      <c r="C398" s="288" t="s">
        <v>646</v>
      </c>
      <c r="D398" s="288" t="s">
        <v>819</v>
      </c>
      <c r="E398" s="288"/>
      <c r="F398" s="288" t="s">
        <v>600</v>
      </c>
      <c r="G398" s="288"/>
      <c r="H398" s="288"/>
      <c r="I398" s="317" t="s">
        <v>275</v>
      </c>
      <c r="J398" s="310"/>
      <c r="K398" s="289" t="s">
        <v>93</v>
      </c>
      <c r="L39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8" s="290" t="s">
        <v>387</v>
      </c>
      <c r="N398" s="290">
        <v>200</v>
      </c>
      <c r="O398" s="292">
        <v>0.42</v>
      </c>
      <c r="P398" s="291">
        <f>IFERROR(_xlfn.LET(_xlpm.boxType, K398, _xlpm.tallos, N398, _xlpm.cost, O398, _xlpm.precio, Q398,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398" s="297">
        <v>1.59</v>
      </c>
      <c r="R398" s="292" t="s">
        <v>285</v>
      </c>
      <c r="S39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8" s="292">
        <v>0.42</v>
      </c>
      <c r="U39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398" s="294">
        <v>0.89</v>
      </c>
    </row>
    <row r="399" spans="1:22" x14ac:dyDescent="0.25">
      <c r="A399" s="281" t="s">
        <v>85</v>
      </c>
      <c r="B399" s="282">
        <f>_xlfn.XLOOKUP(Catalogo[[#This Row],[Finca]], Fincas[Nombre], Fincas[ID])</f>
        <v>38</v>
      </c>
      <c r="C399" s="281" t="s">
        <v>646</v>
      </c>
      <c r="D399" s="281" t="s">
        <v>820</v>
      </c>
      <c r="E399" s="281"/>
      <c r="F399" s="281" t="s">
        <v>534</v>
      </c>
      <c r="G399" s="281"/>
      <c r="H399" s="281"/>
      <c r="I399" s="316" t="s">
        <v>273</v>
      </c>
      <c r="J399" s="308"/>
      <c r="K399" s="282" t="s">
        <v>31</v>
      </c>
      <c r="L39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399" s="283" t="s">
        <v>383</v>
      </c>
      <c r="N399" s="283">
        <v>50</v>
      </c>
      <c r="O399" s="285">
        <v>0.26</v>
      </c>
      <c r="P399" s="284">
        <f>IFERROR(_xlfn.LET(_xlpm.boxType, K399, _xlpm.tallos, N399, _xlpm.cost, O399, _xlpm.precio, Q399,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399" s="295">
        <v>1.29</v>
      </c>
      <c r="R399" s="285" t="s">
        <v>283</v>
      </c>
      <c r="S39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399" s="285">
        <v>0.26</v>
      </c>
      <c r="U39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399" s="287">
        <v>0.75</v>
      </c>
    </row>
    <row r="400" spans="1:22" x14ac:dyDescent="0.25">
      <c r="A400" s="277" t="s">
        <v>85</v>
      </c>
      <c r="B400" s="278">
        <f>_xlfn.XLOOKUP(Catalogo[[#This Row],[Finca]], Fincas[Nombre], Fincas[ID])</f>
        <v>38</v>
      </c>
      <c r="C400" s="277" t="s">
        <v>646</v>
      </c>
      <c r="D400" s="277" t="s">
        <v>820</v>
      </c>
      <c r="E400" s="277"/>
      <c r="F400" s="277" t="s">
        <v>534</v>
      </c>
      <c r="G400" s="277"/>
      <c r="H400" s="277"/>
      <c r="I400" s="311" t="s">
        <v>273</v>
      </c>
      <c r="J400" s="309"/>
      <c r="K400" s="278" t="s">
        <v>35</v>
      </c>
      <c r="L40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0" s="279" t="s">
        <v>385</v>
      </c>
      <c r="N400" s="279">
        <v>150</v>
      </c>
      <c r="O400" s="276">
        <v>0.26</v>
      </c>
      <c r="P400" s="280">
        <f>IFERROR(_xlfn.LET(_xlpm.boxType, K400, _xlpm.tallos, N400, _xlpm.cost, O400, _xlpm.precio, Q400,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00" s="296">
        <v>1.19</v>
      </c>
      <c r="R400" s="276" t="s">
        <v>284</v>
      </c>
      <c r="S40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0" s="276">
        <v>0.26</v>
      </c>
      <c r="U40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00" s="274">
        <v>0.69</v>
      </c>
    </row>
    <row r="401" spans="1:22" ht="15.75" thickBot="1" x14ac:dyDescent="0.3">
      <c r="A401" s="288" t="s">
        <v>85</v>
      </c>
      <c r="B401" s="289">
        <f>_xlfn.XLOOKUP(Catalogo[[#This Row],[Finca]], Fincas[Nombre], Fincas[ID])</f>
        <v>38</v>
      </c>
      <c r="C401" s="288" t="s">
        <v>646</v>
      </c>
      <c r="D401" s="288" t="s">
        <v>820</v>
      </c>
      <c r="E401" s="288"/>
      <c r="F401" s="288" t="s">
        <v>534</v>
      </c>
      <c r="G401" s="288"/>
      <c r="H401" s="288"/>
      <c r="I401" s="317" t="s">
        <v>273</v>
      </c>
      <c r="J401" s="310"/>
      <c r="K401" s="289" t="s">
        <v>93</v>
      </c>
      <c r="L40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1" s="290" t="s">
        <v>387</v>
      </c>
      <c r="N401" s="290">
        <v>300</v>
      </c>
      <c r="O401" s="292">
        <v>0.26</v>
      </c>
      <c r="P401" s="291">
        <f>IFERROR(_xlfn.LET(_xlpm.boxType, K401, _xlpm.tallos, N401, _xlpm.cost, O401, _xlpm.precio, Q401,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01" s="297">
        <v>1.19</v>
      </c>
      <c r="R401" s="292" t="s">
        <v>285</v>
      </c>
      <c r="S40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1" s="292">
        <v>0.26</v>
      </c>
      <c r="U40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01" s="294">
        <v>0.69</v>
      </c>
    </row>
    <row r="402" spans="1:22" x14ac:dyDescent="0.25">
      <c r="A402" s="277" t="s">
        <v>85</v>
      </c>
      <c r="B402" s="278">
        <f>_xlfn.XLOOKUP(Catalogo[[#This Row],[Finca]], Fincas[Nombre], Fincas[ID])</f>
        <v>38</v>
      </c>
      <c r="C402" s="277" t="s">
        <v>646</v>
      </c>
      <c r="D402" s="277" t="s">
        <v>820</v>
      </c>
      <c r="E402" s="277"/>
      <c r="F402" s="277" t="s">
        <v>534</v>
      </c>
      <c r="G402" s="277"/>
      <c r="H402" s="277"/>
      <c r="I402" s="311" t="s">
        <v>274</v>
      </c>
      <c r="J402" s="309"/>
      <c r="K402" s="278" t="s">
        <v>31</v>
      </c>
      <c r="L40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2" s="279" t="s">
        <v>383</v>
      </c>
      <c r="N402" s="279">
        <v>50</v>
      </c>
      <c r="O402" s="276">
        <v>0.36</v>
      </c>
      <c r="P402" s="280">
        <f>IFERROR(_xlfn.LET(_xlpm.boxType, K402, _xlpm.tallos, N402, _xlpm.cost, O402, _xlpm.precio, Q402,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02" s="296">
        <v>1.49</v>
      </c>
      <c r="R402" s="276" t="s">
        <v>283</v>
      </c>
      <c r="S40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2" s="276">
        <v>0.36</v>
      </c>
      <c r="U40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02" s="274">
        <v>0.85</v>
      </c>
    </row>
    <row r="403" spans="1:22" x14ac:dyDescent="0.25">
      <c r="A403" s="277" t="s">
        <v>85</v>
      </c>
      <c r="B403" s="278">
        <f>_xlfn.XLOOKUP(Catalogo[[#This Row],[Finca]], Fincas[Nombre], Fincas[ID])</f>
        <v>38</v>
      </c>
      <c r="C403" s="277" t="s">
        <v>646</v>
      </c>
      <c r="D403" s="277" t="s">
        <v>820</v>
      </c>
      <c r="E403" s="277"/>
      <c r="F403" s="277" t="s">
        <v>534</v>
      </c>
      <c r="G403" s="277"/>
      <c r="H403" s="277"/>
      <c r="I403" s="311" t="s">
        <v>274</v>
      </c>
      <c r="J403" s="309"/>
      <c r="K403" s="278" t="s">
        <v>35</v>
      </c>
      <c r="L40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3" s="279" t="s">
        <v>385</v>
      </c>
      <c r="N403" s="279">
        <v>125</v>
      </c>
      <c r="O403" s="276">
        <v>0.36</v>
      </c>
      <c r="P403" s="280">
        <f>IFERROR(_xlfn.LET(_xlpm.boxType, K403, _xlpm.tallos, N403, _xlpm.cost, O403, _xlpm.precio, Q403,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03" s="296">
        <v>1.39</v>
      </c>
      <c r="R403" s="276" t="s">
        <v>284</v>
      </c>
      <c r="S40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3" s="276">
        <v>0.36</v>
      </c>
      <c r="U40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03" s="274">
        <v>0.79</v>
      </c>
    </row>
    <row r="404" spans="1:22" ht="15.75" thickBot="1" x14ac:dyDescent="0.3">
      <c r="A404" s="277" t="s">
        <v>85</v>
      </c>
      <c r="B404" s="278">
        <f>_xlfn.XLOOKUP(Catalogo[[#This Row],[Finca]], Fincas[Nombre], Fincas[ID])</f>
        <v>38</v>
      </c>
      <c r="C404" s="277" t="s">
        <v>646</v>
      </c>
      <c r="D404" s="277" t="s">
        <v>820</v>
      </c>
      <c r="E404" s="277"/>
      <c r="F404" s="277" t="s">
        <v>534</v>
      </c>
      <c r="G404" s="277"/>
      <c r="H404" s="277"/>
      <c r="I404" s="311" t="s">
        <v>274</v>
      </c>
      <c r="J404" s="309"/>
      <c r="K404" s="278" t="s">
        <v>93</v>
      </c>
      <c r="L40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4" s="279" t="s">
        <v>387</v>
      </c>
      <c r="N404" s="279">
        <v>250</v>
      </c>
      <c r="O404" s="276">
        <v>0.36</v>
      </c>
      <c r="P404" s="280">
        <f>IFERROR(_xlfn.LET(_xlpm.boxType, K404, _xlpm.tallos, N404, _xlpm.cost, O404, _xlpm.precio, Q404,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04" s="296">
        <v>1.39</v>
      </c>
      <c r="R404" s="276" t="s">
        <v>285</v>
      </c>
      <c r="S40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4" s="276">
        <v>0.36</v>
      </c>
      <c r="U40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04" s="274">
        <v>0.79</v>
      </c>
    </row>
    <row r="405" spans="1:22" x14ac:dyDescent="0.25">
      <c r="A405" s="281" t="s">
        <v>85</v>
      </c>
      <c r="B405" s="282">
        <f>_xlfn.XLOOKUP(Catalogo[[#This Row],[Finca]], Fincas[Nombre], Fincas[ID])</f>
        <v>38</v>
      </c>
      <c r="C405" s="281" t="s">
        <v>646</v>
      </c>
      <c r="D405" s="281" t="s">
        <v>820</v>
      </c>
      <c r="E405" s="281"/>
      <c r="F405" s="281" t="s">
        <v>534</v>
      </c>
      <c r="G405" s="281"/>
      <c r="H405" s="281"/>
      <c r="I405" s="316" t="s">
        <v>275</v>
      </c>
      <c r="J405" s="308"/>
      <c r="K405" s="282" t="s">
        <v>31</v>
      </c>
      <c r="L40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5" s="283" t="s">
        <v>383</v>
      </c>
      <c r="N405" s="283">
        <v>50</v>
      </c>
      <c r="O405" s="285">
        <v>0.42</v>
      </c>
      <c r="P405" s="284">
        <f>IFERROR(_xlfn.LET(_xlpm.boxType, K405, _xlpm.tallos, N405, _xlpm.cost, O405, _xlpm.precio, Q405,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05" s="295">
        <v>1.59</v>
      </c>
      <c r="R405" s="285" t="s">
        <v>283</v>
      </c>
      <c r="S40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5" s="285">
        <v>0.42</v>
      </c>
      <c r="U40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05" s="287">
        <v>0.99</v>
      </c>
    </row>
    <row r="406" spans="1:22" x14ac:dyDescent="0.25">
      <c r="A406" s="277" t="s">
        <v>85</v>
      </c>
      <c r="B406" s="278">
        <f>_xlfn.XLOOKUP(Catalogo[[#This Row],[Finca]], Fincas[Nombre], Fincas[ID])</f>
        <v>38</v>
      </c>
      <c r="C406" s="277" t="s">
        <v>646</v>
      </c>
      <c r="D406" s="277" t="s">
        <v>820</v>
      </c>
      <c r="E406" s="277"/>
      <c r="F406" s="277" t="s">
        <v>534</v>
      </c>
      <c r="G406" s="277"/>
      <c r="H406" s="277"/>
      <c r="I406" s="311" t="s">
        <v>275</v>
      </c>
      <c r="J406" s="309"/>
      <c r="K406" s="278" t="s">
        <v>35</v>
      </c>
      <c r="L40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6" s="279" t="s">
        <v>385</v>
      </c>
      <c r="N406" s="279">
        <v>100</v>
      </c>
      <c r="O406" s="276">
        <v>0.42</v>
      </c>
      <c r="P406" s="280">
        <f>IFERROR(_xlfn.LET(_xlpm.boxType, K406, _xlpm.tallos, N406, _xlpm.cost, O406, _xlpm.precio, Q406,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06" s="296">
        <v>1.59</v>
      </c>
      <c r="R406" s="276" t="s">
        <v>284</v>
      </c>
      <c r="S40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6" s="276">
        <v>0.42</v>
      </c>
      <c r="U40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06" s="274">
        <v>0.89</v>
      </c>
    </row>
    <row r="407" spans="1:22" ht="15.75" thickBot="1" x14ac:dyDescent="0.3">
      <c r="A407" s="288" t="s">
        <v>85</v>
      </c>
      <c r="B407" s="289">
        <f>_xlfn.XLOOKUP(Catalogo[[#This Row],[Finca]], Fincas[Nombre], Fincas[ID])</f>
        <v>38</v>
      </c>
      <c r="C407" s="288" t="s">
        <v>646</v>
      </c>
      <c r="D407" s="288" t="s">
        <v>820</v>
      </c>
      <c r="E407" s="288"/>
      <c r="F407" s="288" t="s">
        <v>534</v>
      </c>
      <c r="G407" s="288"/>
      <c r="H407" s="288"/>
      <c r="I407" s="317" t="s">
        <v>275</v>
      </c>
      <c r="J407" s="310"/>
      <c r="K407" s="289" t="s">
        <v>93</v>
      </c>
      <c r="L40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7" s="290" t="s">
        <v>387</v>
      </c>
      <c r="N407" s="290">
        <v>200</v>
      </c>
      <c r="O407" s="292">
        <v>0.42</v>
      </c>
      <c r="P407" s="291">
        <f>IFERROR(_xlfn.LET(_xlpm.boxType, K407, _xlpm.tallos, N407, _xlpm.cost, O407, _xlpm.precio, Q407,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07" s="297">
        <v>1.59</v>
      </c>
      <c r="R407" s="292" t="s">
        <v>285</v>
      </c>
      <c r="S40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7" s="292">
        <v>0.42</v>
      </c>
      <c r="U40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07" s="294">
        <v>0.89</v>
      </c>
    </row>
    <row r="408" spans="1:22" x14ac:dyDescent="0.25">
      <c r="A408" s="281" t="s">
        <v>85</v>
      </c>
      <c r="B408" s="282">
        <f>_xlfn.XLOOKUP(Catalogo[[#This Row],[Finca]], Fincas[Nombre], Fincas[ID])</f>
        <v>38</v>
      </c>
      <c r="C408" s="281" t="s">
        <v>646</v>
      </c>
      <c r="D408" s="281" t="s">
        <v>821</v>
      </c>
      <c r="E408" s="281"/>
      <c r="F408" s="281" t="s">
        <v>576</v>
      </c>
      <c r="G408" s="281"/>
      <c r="H408" s="281"/>
      <c r="I408" s="316" t="s">
        <v>273</v>
      </c>
      <c r="J408" s="308"/>
      <c r="K408" s="282" t="s">
        <v>31</v>
      </c>
      <c r="L40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8" s="283" t="s">
        <v>383</v>
      </c>
      <c r="N408" s="283">
        <v>50</v>
      </c>
      <c r="O408" s="285">
        <v>0.26</v>
      </c>
      <c r="P408" s="284">
        <f>IFERROR(_xlfn.LET(_xlpm.boxType, K408, _xlpm.tallos, N408, _xlpm.cost, O408, _xlpm.precio, Q408,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08" s="295">
        <v>1.29</v>
      </c>
      <c r="R408" s="285" t="s">
        <v>283</v>
      </c>
      <c r="S40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8" s="285">
        <v>0.26</v>
      </c>
      <c r="U40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08" s="287">
        <v>0.75</v>
      </c>
    </row>
    <row r="409" spans="1:22" x14ac:dyDescent="0.25">
      <c r="A409" s="277" t="s">
        <v>85</v>
      </c>
      <c r="B409" s="278">
        <f>_xlfn.XLOOKUP(Catalogo[[#This Row],[Finca]], Fincas[Nombre], Fincas[ID])</f>
        <v>38</v>
      </c>
      <c r="C409" s="277" t="s">
        <v>646</v>
      </c>
      <c r="D409" s="277" t="s">
        <v>821</v>
      </c>
      <c r="E409" s="277"/>
      <c r="F409" s="277" t="s">
        <v>576</v>
      </c>
      <c r="G409" s="277"/>
      <c r="H409" s="277"/>
      <c r="I409" s="311" t="s">
        <v>273</v>
      </c>
      <c r="J409" s="309"/>
      <c r="K409" s="278" t="s">
        <v>35</v>
      </c>
      <c r="L40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09" s="279" t="s">
        <v>385</v>
      </c>
      <c r="N409" s="279">
        <v>150</v>
      </c>
      <c r="O409" s="276">
        <v>0.26</v>
      </c>
      <c r="P409" s="280">
        <f>IFERROR(_xlfn.LET(_xlpm.boxType, K409, _xlpm.tallos, N409, _xlpm.cost, O409, _xlpm.precio, Q409,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09" s="296">
        <v>1.19</v>
      </c>
      <c r="R409" s="276" t="s">
        <v>284</v>
      </c>
      <c r="S40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09" s="276">
        <v>0.26</v>
      </c>
      <c r="U40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09" s="274">
        <v>0.69</v>
      </c>
    </row>
    <row r="410" spans="1:22" ht="15.75" thickBot="1" x14ac:dyDescent="0.3">
      <c r="A410" s="288" t="s">
        <v>85</v>
      </c>
      <c r="B410" s="289">
        <f>_xlfn.XLOOKUP(Catalogo[[#This Row],[Finca]], Fincas[Nombre], Fincas[ID])</f>
        <v>38</v>
      </c>
      <c r="C410" s="288" t="s">
        <v>646</v>
      </c>
      <c r="D410" s="288" t="s">
        <v>821</v>
      </c>
      <c r="E410" s="288"/>
      <c r="F410" s="288" t="s">
        <v>576</v>
      </c>
      <c r="G410" s="288"/>
      <c r="H410" s="288"/>
      <c r="I410" s="317" t="s">
        <v>273</v>
      </c>
      <c r="J410" s="310"/>
      <c r="K410" s="289" t="s">
        <v>93</v>
      </c>
      <c r="L41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0" s="290" t="s">
        <v>387</v>
      </c>
      <c r="N410" s="290">
        <v>300</v>
      </c>
      <c r="O410" s="292">
        <v>0.26</v>
      </c>
      <c r="P410" s="291">
        <f>IFERROR(_xlfn.LET(_xlpm.boxType, K410, _xlpm.tallos, N410, _xlpm.cost, O410, _xlpm.precio, Q410,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10" s="297">
        <v>1.19</v>
      </c>
      <c r="R410" s="292" t="s">
        <v>285</v>
      </c>
      <c r="S41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0" s="292">
        <v>0.26</v>
      </c>
      <c r="U41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10" s="294">
        <v>0.69</v>
      </c>
    </row>
    <row r="411" spans="1:22" x14ac:dyDescent="0.25">
      <c r="A411" s="277" t="s">
        <v>85</v>
      </c>
      <c r="B411" s="278">
        <f>_xlfn.XLOOKUP(Catalogo[[#This Row],[Finca]], Fincas[Nombre], Fincas[ID])</f>
        <v>38</v>
      </c>
      <c r="C411" s="277" t="s">
        <v>646</v>
      </c>
      <c r="D411" s="277" t="s">
        <v>821</v>
      </c>
      <c r="E411" s="277"/>
      <c r="F411" s="277" t="s">
        <v>576</v>
      </c>
      <c r="G411" s="277"/>
      <c r="H411" s="277"/>
      <c r="I411" s="311" t="s">
        <v>274</v>
      </c>
      <c r="J411" s="309"/>
      <c r="K411" s="278" t="s">
        <v>31</v>
      </c>
      <c r="L4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1" s="279" t="s">
        <v>383</v>
      </c>
      <c r="N411" s="279">
        <v>50</v>
      </c>
      <c r="O411" s="276">
        <v>0.36</v>
      </c>
      <c r="P411" s="280">
        <f>IFERROR(_xlfn.LET(_xlpm.boxType, K411, _xlpm.tallos, N411, _xlpm.cost, O411, _xlpm.precio, Q411,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11" s="296">
        <v>1.49</v>
      </c>
      <c r="R411" s="276" t="s">
        <v>283</v>
      </c>
      <c r="S4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1" s="276">
        <v>0.36</v>
      </c>
      <c r="U41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11" s="274">
        <v>0.85</v>
      </c>
    </row>
    <row r="412" spans="1:22" x14ac:dyDescent="0.25">
      <c r="A412" s="277" t="s">
        <v>85</v>
      </c>
      <c r="B412" s="278">
        <f>_xlfn.XLOOKUP(Catalogo[[#This Row],[Finca]], Fincas[Nombre], Fincas[ID])</f>
        <v>38</v>
      </c>
      <c r="C412" s="277" t="s">
        <v>646</v>
      </c>
      <c r="D412" s="277" t="s">
        <v>821</v>
      </c>
      <c r="E412" s="277"/>
      <c r="F412" s="277" t="s">
        <v>576</v>
      </c>
      <c r="G412" s="277"/>
      <c r="H412" s="277"/>
      <c r="I412" s="311" t="s">
        <v>274</v>
      </c>
      <c r="J412" s="309"/>
      <c r="K412" s="278" t="s">
        <v>35</v>
      </c>
      <c r="L41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2" s="279" t="s">
        <v>385</v>
      </c>
      <c r="N412" s="279">
        <v>125</v>
      </c>
      <c r="O412" s="276">
        <v>0.36</v>
      </c>
      <c r="P412" s="280">
        <f>IFERROR(_xlfn.LET(_xlpm.boxType, K412, _xlpm.tallos, N412, _xlpm.cost, O412, _xlpm.precio, Q412,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12" s="296">
        <v>1.39</v>
      </c>
      <c r="R412" s="276" t="s">
        <v>284</v>
      </c>
      <c r="S41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2" s="276">
        <v>0.36</v>
      </c>
      <c r="U41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12" s="274">
        <v>0.79</v>
      </c>
    </row>
    <row r="413" spans="1:22" ht="15.75" thickBot="1" x14ac:dyDescent="0.3">
      <c r="A413" s="277" t="s">
        <v>85</v>
      </c>
      <c r="B413" s="278">
        <f>_xlfn.XLOOKUP(Catalogo[[#This Row],[Finca]], Fincas[Nombre], Fincas[ID])</f>
        <v>38</v>
      </c>
      <c r="C413" s="277" t="s">
        <v>646</v>
      </c>
      <c r="D413" s="277" t="s">
        <v>821</v>
      </c>
      <c r="E413" s="277"/>
      <c r="F413" s="277" t="s">
        <v>576</v>
      </c>
      <c r="G413" s="277"/>
      <c r="H413" s="277"/>
      <c r="I413" s="311" t="s">
        <v>274</v>
      </c>
      <c r="J413" s="309"/>
      <c r="K413" s="278" t="s">
        <v>93</v>
      </c>
      <c r="L41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3" s="279" t="s">
        <v>387</v>
      </c>
      <c r="N413" s="279">
        <v>250</v>
      </c>
      <c r="O413" s="276">
        <v>0.36</v>
      </c>
      <c r="P413" s="280">
        <f>IFERROR(_xlfn.LET(_xlpm.boxType, K413, _xlpm.tallos, N413, _xlpm.cost, O413, _xlpm.precio, Q413,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13" s="296">
        <v>1.39</v>
      </c>
      <c r="R413" s="276" t="s">
        <v>285</v>
      </c>
      <c r="S41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3" s="276">
        <v>0.36</v>
      </c>
      <c r="U41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13" s="274">
        <v>0.79</v>
      </c>
    </row>
    <row r="414" spans="1:22" x14ac:dyDescent="0.25">
      <c r="A414" s="281" t="s">
        <v>85</v>
      </c>
      <c r="B414" s="282">
        <f>_xlfn.XLOOKUP(Catalogo[[#This Row],[Finca]], Fincas[Nombre], Fincas[ID])</f>
        <v>38</v>
      </c>
      <c r="C414" s="281" t="s">
        <v>646</v>
      </c>
      <c r="D414" s="281" t="s">
        <v>821</v>
      </c>
      <c r="E414" s="281"/>
      <c r="F414" s="281" t="s">
        <v>576</v>
      </c>
      <c r="G414" s="281"/>
      <c r="H414" s="281"/>
      <c r="I414" s="316" t="s">
        <v>275</v>
      </c>
      <c r="J414" s="308"/>
      <c r="K414" s="282" t="s">
        <v>31</v>
      </c>
      <c r="L41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4" s="283" t="s">
        <v>383</v>
      </c>
      <c r="N414" s="283">
        <v>50</v>
      </c>
      <c r="O414" s="285">
        <v>0.42</v>
      </c>
      <c r="P414" s="284">
        <f>IFERROR(_xlfn.LET(_xlpm.boxType, K414, _xlpm.tallos, N414, _xlpm.cost, O414, _xlpm.precio, Q414,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14" s="295">
        <v>1.59</v>
      </c>
      <c r="R414" s="285" t="s">
        <v>283</v>
      </c>
      <c r="S41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4" s="285">
        <v>0.42</v>
      </c>
      <c r="U41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14" s="287">
        <v>0.99</v>
      </c>
    </row>
    <row r="415" spans="1:22" x14ac:dyDescent="0.25">
      <c r="A415" s="277" t="s">
        <v>85</v>
      </c>
      <c r="B415" s="278">
        <f>_xlfn.XLOOKUP(Catalogo[[#This Row],[Finca]], Fincas[Nombre], Fincas[ID])</f>
        <v>38</v>
      </c>
      <c r="C415" s="277" t="s">
        <v>646</v>
      </c>
      <c r="D415" s="277" t="s">
        <v>821</v>
      </c>
      <c r="E415" s="277"/>
      <c r="F415" s="277" t="s">
        <v>576</v>
      </c>
      <c r="G415" s="277"/>
      <c r="H415" s="277"/>
      <c r="I415" s="311" t="s">
        <v>275</v>
      </c>
      <c r="J415" s="309"/>
      <c r="K415" s="278" t="s">
        <v>35</v>
      </c>
      <c r="L41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5" s="279" t="s">
        <v>385</v>
      </c>
      <c r="N415" s="279">
        <v>100</v>
      </c>
      <c r="O415" s="276">
        <v>0.42</v>
      </c>
      <c r="P415" s="280">
        <f>IFERROR(_xlfn.LET(_xlpm.boxType, K415, _xlpm.tallos, N415, _xlpm.cost, O415, _xlpm.precio, Q415,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15" s="296">
        <v>1.59</v>
      </c>
      <c r="R415" s="276" t="s">
        <v>284</v>
      </c>
      <c r="S41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5" s="276">
        <v>0.42</v>
      </c>
      <c r="U41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15" s="274">
        <v>0.89</v>
      </c>
    </row>
    <row r="416" spans="1:22" ht="15.75" thickBot="1" x14ac:dyDescent="0.3">
      <c r="A416" s="288" t="s">
        <v>85</v>
      </c>
      <c r="B416" s="289">
        <f>_xlfn.XLOOKUP(Catalogo[[#This Row],[Finca]], Fincas[Nombre], Fincas[ID])</f>
        <v>38</v>
      </c>
      <c r="C416" s="288" t="s">
        <v>646</v>
      </c>
      <c r="D416" s="288" t="s">
        <v>821</v>
      </c>
      <c r="E416" s="288"/>
      <c r="F416" s="288" t="s">
        <v>576</v>
      </c>
      <c r="G416" s="288"/>
      <c r="H416" s="288"/>
      <c r="I416" s="317" t="s">
        <v>275</v>
      </c>
      <c r="J416" s="310"/>
      <c r="K416" s="289" t="s">
        <v>93</v>
      </c>
      <c r="L41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6" s="290" t="s">
        <v>387</v>
      </c>
      <c r="N416" s="290">
        <v>200</v>
      </c>
      <c r="O416" s="292">
        <v>0.42</v>
      </c>
      <c r="P416" s="291">
        <f>IFERROR(_xlfn.LET(_xlpm.boxType, K416, _xlpm.tallos, N416, _xlpm.cost, O416, _xlpm.precio, Q416,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16" s="297">
        <v>1.59</v>
      </c>
      <c r="R416" s="292" t="s">
        <v>285</v>
      </c>
      <c r="S41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6" s="292">
        <v>0.42</v>
      </c>
      <c r="U41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16" s="294">
        <v>0.89</v>
      </c>
    </row>
    <row r="417" spans="1:22" x14ac:dyDescent="0.25">
      <c r="A417" s="281" t="s">
        <v>85</v>
      </c>
      <c r="B417" s="282">
        <f>_xlfn.XLOOKUP(Catalogo[[#This Row],[Finca]], Fincas[Nombre], Fincas[ID])</f>
        <v>38</v>
      </c>
      <c r="C417" s="281" t="s">
        <v>646</v>
      </c>
      <c r="D417" s="281" t="s">
        <v>822</v>
      </c>
      <c r="E417" s="281"/>
      <c r="F417" s="281" t="s">
        <v>503</v>
      </c>
      <c r="G417" s="281" t="s">
        <v>576</v>
      </c>
      <c r="H417" s="281"/>
      <c r="I417" s="316" t="s">
        <v>273</v>
      </c>
      <c r="J417" s="308"/>
      <c r="K417" s="282" t="s">
        <v>31</v>
      </c>
      <c r="L41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7" s="283" t="s">
        <v>383</v>
      </c>
      <c r="N417" s="283">
        <v>50</v>
      </c>
      <c r="O417" s="285">
        <v>0.26</v>
      </c>
      <c r="P417" s="284">
        <f>IFERROR(_xlfn.LET(_xlpm.boxType, K417, _xlpm.tallos, N417, _xlpm.cost, O417, _xlpm.precio, Q417,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17" s="295">
        <v>1.29</v>
      </c>
      <c r="R417" s="285" t="s">
        <v>283</v>
      </c>
      <c r="S41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7" s="285">
        <v>0.26</v>
      </c>
      <c r="U41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17" s="287">
        <v>0.75</v>
      </c>
    </row>
    <row r="418" spans="1:22" x14ac:dyDescent="0.25">
      <c r="A418" s="277" t="s">
        <v>85</v>
      </c>
      <c r="B418" s="278">
        <f>_xlfn.XLOOKUP(Catalogo[[#This Row],[Finca]], Fincas[Nombre], Fincas[ID])</f>
        <v>38</v>
      </c>
      <c r="C418" s="277" t="s">
        <v>646</v>
      </c>
      <c r="D418" s="277" t="s">
        <v>822</v>
      </c>
      <c r="E418" s="277"/>
      <c r="F418" s="277" t="s">
        <v>503</v>
      </c>
      <c r="G418" s="277" t="s">
        <v>576</v>
      </c>
      <c r="H418" s="277"/>
      <c r="I418" s="311" t="s">
        <v>273</v>
      </c>
      <c r="J418" s="309"/>
      <c r="K418" s="278" t="s">
        <v>35</v>
      </c>
      <c r="L41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8" s="279" t="s">
        <v>385</v>
      </c>
      <c r="N418" s="279">
        <v>150</v>
      </c>
      <c r="O418" s="276">
        <v>0.26</v>
      </c>
      <c r="P418" s="280">
        <f>IFERROR(_xlfn.LET(_xlpm.boxType, K418, _xlpm.tallos, N418, _xlpm.cost, O418, _xlpm.precio, Q418,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18" s="296">
        <v>1.19</v>
      </c>
      <c r="R418" s="276" t="s">
        <v>284</v>
      </c>
      <c r="S41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8" s="276">
        <v>0.26</v>
      </c>
      <c r="U41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18" s="274">
        <v>0.69</v>
      </c>
    </row>
    <row r="419" spans="1:22" ht="15.75" thickBot="1" x14ac:dyDescent="0.3">
      <c r="A419" s="288" t="s">
        <v>85</v>
      </c>
      <c r="B419" s="289">
        <f>_xlfn.XLOOKUP(Catalogo[[#This Row],[Finca]], Fincas[Nombre], Fincas[ID])</f>
        <v>38</v>
      </c>
      <c r="C419" s="288" t="s">
        <v>646</v>
      </c>
      <c r="D419" s="288" t="s">
        <v>822</v>
      </c>
      <c r="E419" s="288"/>
      <c r="F419" s="288" t="s">
        <v>503</v>
      </c>
      <c r="G419" s="288" t="s">
        <v>576</v>
      </c>
      <c r="H419" s="288"/>
      <c r="I419" s="317" t="s">
        <v>273</v>
      </c>
      <c r="J419" s="310"/>
      <c r="K419" s="289" t="s">
        <v>93</v>
      </c>
      <c r="L41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19" s="290" t="s">
        <v>387</v>
      </c>
      <c r="N419" s="290">
        <v>300</v>
      </c>
      <c r="O419" s="292">
        <v>0.26</v>
      </c>
      <c r="P419" s="291">
        <f>IFERROR(_xlfn.LET(_xlpm.boxType, K419, _xlpm.tallos, N419, _xlpm.cost, O419, _xlpm.precio, Q419,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19" s="297">
        <v>1.19</v>
      </c>
      <c r="R419" s="292" t="s">
        <v>285</v>
      </c>
      <c r="S41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19" s="292">
        <v>0.26</v>
      </c>
      <c r="U41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19" s="294">
        <v>0.69</v>
      </c>
    </row>
    <row r="420" spans="1:22" x14ac:dyDescent="0.25">
      <c r="A420" s="277" t="s">
        <v>85</v>
      </c>
      <c r="B420" s="278">
        <f>_xlfn.XLOOKUP(Catalogo[[#This Row],[Finca]], Fincas[Nombre], Fincas[ID])</f>
        <v>38</v>
      </c>
      <c r="C420" s="277" t="s">
        <v>646</v>
      </c>
      <c r="D420" s="277" t="s">
        <v>822</v>
      </c>
      <c r="E420" s="277"/>
      <c r="F420" s="277" t="s">
        <v>503</v>
      </c>
      <c r="G420" s="277" t="s">
        <v>576</v>
      </c>
      <c r="H420" s="277"/>
      <c r="I420" s="311" t="s">
        <v>274</v>
      </c>
      <c r="J420" s="309"/>
      <c r="K420" s="278" t="s">
        <v>31</v>
      </c>
      <c r="L4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0" s="279" t="s">
        <v>383</v>
      </c>
      <c r="N420" s="279">
        <v>50</v>
      </c>
      <c r="O420" s="276">
        <v>0.36</v>
      </c>
      <c r="P420" s="280">
        <f>IFERROR(_xlfn.LET(_xlpm.boxType, K420, _xlpm.tallos, N420, _xlpm.cost, O420, _xlpm.precio, Q420,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20" s="296">
        <v>1.49</v>
      </c>
      <c r="R420" s="276" t="s">
        <v>283</v>
      </c>
      <c r="S4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0" s="276">
        <v>0.36</v>
      </c>
      <c r="U42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20" s="274">
        <v>0.85</v>
      </c>
    </row>
    <row r="421" spans="1:22" x14ac:dyDescent="0.25">
      <c r="A421" s="277" t="s">
        <v>85</v>
      </c>
      <c r="B421" s="278">
        <f>_xlfn.XLOOKUP(Catalogo[[#This Row],[Finca]], Fincas[Nombre], Fincas[ID])</f>
        <v>38</v>
      </c>
      <c r="C421" s="277" t="s">
        <v>646</v>
      </c>
      <c r="D421" s="277" t="s">
        <v>822</v>
      </c>
      <c r="E421" s="277"/>
      <c r="F421" s="277" t="s">
        <v>503</v>
      </c>
      <c r="G421" s="277" t="s">
        <v>576</v>
      </c>
      <c r="H421" s="277"/>
      <c r="I421" s="311" t="s">
        <v>274</v>
      </c>
      <c r="J421" s="309"/>
      <c r="K421" s="278" t="s">
        <v>35</v>
      </c>
      <c r="L42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1" s="279" t="s">
        <v>385</v>
      </c>
      <c r="N421" s="279">
        <v>125</v>
      </c>
      <c r="O421" s="276">
        <v>0.36</v>
      </c>
      <c r="P421" s="280">
        <f>IFERROR(_xlfn.LET(_xlpm.boxType, K421, _xlpm.tallos, N421, _xlpm.cost, O421, _xlpm.precio, Q421,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21" s="296">
        <v>1.39</v>
      </c>
      <c r="R421" s="276" t="s">
        <v>284</v>
      </c>
      <c r="S42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1" s="276">
        <v>0.36</v>
      </c>
      <c r="U42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21" s="274">
        <v>0.79</v>
      </c>
    </row>
    <row r="422" spans="1:22" ht="15.75" thickBot="1" x14ac:dyDescent="0.3">
      <c r="A422" s="277" t="s">
        <v>85</v>
      </c>
      <c r="B422" s="278">
        <f>_xlfn.XLOOKUP(Catalogo[[#This Row],[Finca]], Fincas[Nombre], Fincas[ID])</f>
        <v>38</v>
      </c>
      <c r="C422" s="277" t="s">
        <v>646</v>
      </c>
      <c r="D422" s="277" t="s">
        <v>822</v>
      </c>
      <c r="E422" s="277"/>
      <c r="F422" s="277" t="s">
        <v>503</v>
      </c>
      <c r="G422" s="277" t="s">
        <v>576</v>
      </c>
      <c r="H422" s="277"/>
      <c r="I422" s="311" t="s">
        <v>274</v>
      </c>
      <c r="J422" s="309"/>
      <c r="K422" s="278" t="s">
        <v>93</v>
      </c>
      <c r="L42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2" s="279" t="s">
        <v>387</v>
      </c>
      <c r="N422" s="279">
        <v>250</v>
      </c>
      <c r="O422" s="276">
        <v>0.36</v>
      </c>
      <c r="P422" s="280">
        <f>IFERROR(_xlfn.LET(_xlpm.boxType, K422, _xlpm.tallos, N422, _xlpm.cost, O422, _xlpm.precio, Q422,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22" s="296">
        <v>1.39</v>
      </c>
      <c r="R422" s="276" t="s">
        <v>285</v>
      </c>
      <c r="S42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2" s="276">
        <v>0.36</v>
      </c>
      <c r="U42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22" s="274">
        <v>0.79</v>
      </c>
    </row>
    <row r="423" spans="1:22" x14ac:dyDescent="0.25">
      <c r="A423" s="281" t="s">
        <v>85</v>
      </c>
      <c r="B423" s="282">
        <f>_xlfn.XLOOKUP(Catalogo[[#This Row],[Finca]], Fincas[Nombre], Fincas[ID])</f>
        <v>38</v>
      </c>
      <c r="C423" s="281" t="s">
        <v>646</v>
      </c>
      <c r="D423" s="281" t="s">
        <v>822</v>
      </c>
      <c r="E423" s="281"/>
      <c r="F423" s="281" t="s">
        <v>503</v>
      </c>
      <c r="G423" s="281" t="s">
        <v>576</v>
      </c>
      <c r="H423" s="281"/>
      <c r="I423" s="316" t="s">
        <v>275</v>
      </c>
      <c r="J423" s="308"/>
      <c r="K423" s="282" t="s">
        <v>31</v>
      </c>
      <c r="L42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3" s="283" t="s">
        <v>383</v>
      </c>
      <c r="N423" s="283">
        <v>50</v>
      </c>
      <c r="O423" s="285">
        <v>0.42</v>
      </c>
      <c r="P423" s="284">
        <f>IFERROR(_xlfn.LET(_xlpm.boxType, K423, _xlpm.tallos, N423, _xlpm.cost, O423, _xlpm.precio, Q423,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23" s="295">
        <v>1.59</v>
      </c>
      <c r="R423" s="285" t="s">
        <v>283</v>
      </c>
      <c r="S42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3" s="285">
        <v>0.42</v>
      </c>
      <c r="U42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23" s="287">
        <v>0.99</v>
      </c>
    </row>
    <row r="424" spans="1:22" x14ac:dyDescent="0.25">
      <c r="A424" s="277" t="s">
        <v>85</v>
      </c>
      <c r="B424" s="278">
        <f>_xlfn.XLOOKUP(Catalogo[[#This Row],[Finca]], Fincas[Nombre], Fincas[ID])</f>
        <v>38</v>
      </c>
      <c r="C424" s="277" t="s">
        <v>646</v>
      </c>
      <c r="D424" s="277" t="s">
        <v>822</v>
      </c>
      <c r="E424" s="277"/>
      <c r="F424" s="277" t="s">
        <v>503</v>
      </c>
      <c r="G424" s="277" t="s">
        <v>576</v>
      </c>
      <c r="H424" s="277"/>
      <c r="I424" s="311" t="s">
        <v>275</v>
      </c>
      <c r="J424" s="309"/>
      <c r="K424" s="278" t="s">
        <v>35</v>
      </c>
      <c r="L42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4" s="279" t="s">
        <v>385</v>
      </c>
      <c r="N424" s="279">
        <v>100</v>
      </c>
      <c r="O424" s="276">
        <v>0.42</v>
      </c>
      <c r="P424" s="280">
        <f>IFERROR(_xlfn.LET(_xlpm.boxType, K424, _xlpm.tallos, N424, _xlpm.cost, O424, _xlpm.precio, Q424,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24" s="296">
        <v>1.59</v>
      </c>
      <c r="R424" s="276" t="s">
        <v>284</v>
      </c>
      <c r="S42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4" s="276">
        <v>0.42</v>
      </c>
      <c r="U42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24" s="274">
        <v>0.89</v>
      </c>
    </row>
    <row r="425" spans="1:22" ht="15.75" thickBot="1" x14ac:dyDescent="0.3">
      <c r="A425" s="288" t="s">
        <v>85</v>
      </c>
      <c r="B425" s="289">
        <f>_xlfn.XLOOKUP(Catalogo[[#This Row],[Finca]], Fincas[Nombre], Fincas[ID])</f>
        <v>38</v>
      </c>
      <c r="C425" s="288" t="s">
        <v>646</v>
      </c>
      <c r="D425" s="288" t="s">
        <v>822</v>
      </c>
      <c r="E425" s="288"/>
      <c r="F425" s="288" t="s">
        <v>503</v>
      </c>
      <c r="G425" s="288" t="s">
        <v>576</v>
      </c>
      <c r="H425" s="288"/>
      <c r="I425" s="317" t="s">
        <v>275</v>
      </c>
      <c r="J425" s="310"/>
      <c r="K425" s="289" t="s">
        <v>93</v>
      </c>
      <c r="L42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5" s="290" t="s">
        <v>387</v>
      </c>
      <c r="N425" s="290">
        <v>200</v>
      </c>
      <c r="O425" s="292">
        <v>0.42</v>
      </c>
      <c r="P425" s="291">
        <f>IFERROR(_xlfn.LET(_xlpm.boxType, K425, _xlpm.tallos, N425, _xlpm.cost, O425, _xlpm.precio, Q425,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25" s="297">
        <v>1.59</v>
      </c>
      <c r="R425" s="292" t="s">
        <v>285</v>
      </c>
      <c r="S42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5" s="292">
        <v>0.42</v>
      </c>
      <c r="U42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25" s="294">
        <v>0.89</v>
      </c>
    </row>
    <row r="426" spans="1:22" x14ac:dyDescent="0.25">
      <c r="A426" s="281" t="s">
        <v>85</v>
      </c>
      <c r="B426" s="282">
        <f>_xlfn.XLOOKUP(Catalogo[[#This Row],[Finca]], Fincas[Nombre], Fincas[ID])</f>
        <v>38</v>
      </c>
      <c r="C426" s="281" t="s">
        <v>646</v>
      </c>
      <c r="D426" s="281" t="s">
        <v>823</v>
      </c>
      <c r="E426" s="281"/>
      <c r="F426" s="281" t="s">
        <v>608</v>
      </c>
      <c r="G426" s="281"/>
      <c r="H426" s="281"/>
      <c r="I426" s="316" t="s">
        <v>273</v>
      </c>
      <c r="J426" s="308"/>
      <c r="K426" s="282" t="s">
        <v>31</v>
      </c>
      <c r="L42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6" s="283" t="s">
        <v>383</v>
      </c>
      <c r="N426" s="283">
        <v>50</v>
      </c>
      <c r="O426" s="285">
        <v>0.26</v>
      </c>
      <c r="P426" s="284">
        <f>IFERROR(_xlfn.LET(_xlpm.boxType, K426, _xlpm.tallos, N426, _xlpm.cost, O426, _xlpm.precio, Q426,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26" s="295">
        <v>1.29</v>
      </c>
      <c r="R426" s="285" t="s">
        <v>283</v>
      </c>
      <c r="S42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6" s="285">
        <v>0.26</v>
      </c>
      <c r="U42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26" s="287">
        <v>0.75</v>
      </c>
    </row>
    <row r="427" spans="1:22" x14ac:dyDescent="0.25">
      <c r="A427" s="277" t="s">
        <v>85</v>
      </c>
      <c r="B427" s="278">
        <f>_xlfn.XLOOKUP(Catalogo[[#This Row],[Finca]], Fincas[Nombre], Fincas[ID])</f>
        <v>38</v>
      </c>
      <c r="C427" s="277" t="s">
        <v>646</v>
      </c>
      <c r="D427" s="277" t="s">
        <v>823</v>
      </c>
      <c r="E427" s="277"/>
      <c r="F427" s="277" t="s">
        <v>608</v>
      </c>
      <c r="G427" s="277"/>
      <c r="H427" s="277"/>
      <c r="I427" s="311" t="s">
        <v>273</v>
      </c>
      <c r="J427" s="309"/>
      <c r="K427" s="278" t="s">
        <v>35</v>
      </c>
      <c r="L42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7" s="279" t="s">
        <v>385</v>
      </c>
      <c r="N427" s="279">
        <v>150</v>
      </c>
      <c r="O427" s="276">
        <v>0.26</v>
      </c>
      <c r="P427" s="280">
        <f>IFERROR(_xlfn.LET(_xlpm.boxType, K427, _xlpm.tallos, N427, _xlpm.cost, O427, _xlpm.precio, Q427,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27" s="296">
        <v>1.19</v>
      </c>
      <c r="R427" s="276" t="s">
        <v>284</v>
      </c>
      <c r="S42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7" s="276">
        <v>0.26</v>
      </c>
      <c r="U42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27" s="274">
        <v>0.69</v>
      </c>
    </row>
    <row r="428" spans="1:22" ht="15.75" thickBot="1" x14ac:dyDescent="0.3">
      <c r="A428" s="288" t="s">
        <v>85</v>
      </c>
      <c r="B428" s="289">
        <f>_xlfn.XLOOKUP(Catalogo[[#This Row],[Finca]], Fincas[Nombre], Fincas[ID])</f>
        <v>38</v>
      </c>
      <c r="C428" s="288" t="s">
        <v>646</v>
      </c>
      <c r="D428" s="288" t="s">
        <v>823</v>
      </c>
      <c r="E428" s="288"/>
      <c r="F428" s="288" t="s">
        <v>608</v>
      </c>
      <c r="G428" s="288"/>
      <c r="H428" s="288"/>
      <c r="I428" s="317" t="s">
        <v>273</v>
      </c>
      <c r="J428" s="310"/>
      <c r="K428" s="289" t="s">
        <v>93</v>
      </c>
      <c r="L42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8" s="290" t="s">
        <v>387</v>
      </c>
      <c r="N428" s="290">
        <v>300</v>
      </c>
      <c r="O428" s="292">
        <v>0.26</v>
      </c>
      <c r="P428" s="291">
        <f>IFERROR(_xlfn.LET(_xlpm.boxType, K428, _xlpm.tallos, N428, _xlpm.cost, O428, _xlpm.precio, Q428,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28" s="297">
        <v>1.19</v>
      </c>
      <c r="R428" s="292" t="s">
        <v>285</v>
      </c>
      <c r="S42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8" s="292">
        <v>0.26</v>
      </c>
      <c r="U42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28" s="294">
        <v>0.69</v>
      </c>
    </row>
    <row r="429" spans="1:22" x14ac:dyDescent="0.25">
      <c r="A429" s="277" t="s">
        <v>85</v>
      </c>
      <c r="B429" s="278">
        <f>_xlfn.XLOOKUP(Catalogo[[#This Row],[Finca]], Fincas[Nombre], Fincas[ID])</f>
        <v>38</v>
      </c>
      <c r="C429" s="277" t="s">
        <v>646</v>
      </c>
      <c r="D429" s="277" t="s">
        <v>823</v>
      </c>
      <c r="E429" s="277"/>
      <c r="F429" s="277" t="s">
        <v>608</v>
      </c>
      <c r="G429" s="277"/>
      <c r="H429" s="277"/>
      <c r="I429" s="311" t="s">
        <v>274</v>
      </c>
      <c r="J429" s="309"/>
      <c r="K429" s="278" t="s">
        <v>31</v>
      </c>
      <c r="L4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29" s="279" t="s">
        <v>383</v>
      </c>
      <c r="N429" s="279">
        <v>50</v>
      </c>
      <c r="O429" s="276">
        <v>0.36</v>
      </c>
      <c r="P429" s="280">
        <f>IFERROR(_xlfn.LET(_xlpm.boxType, K429, _xlpm.tallos, N429, _xlpm.cost, O429, _xlpm.precio, Q429,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29" s="296">
        <v>1.49</v>
      </c>
      <c r="R429" s="276" t="s">
        <v>283</v>
      </c>
      <c r="S4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29" s="276">
        <v>0.36</v>
      </c>
      <c r="U42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29" s="274">
        <v>0.85</v>
      </c>
    </row>
    <row r="430" spans="1:22" x14ac:dyDescent="0.25">
      <c r="A430" s="277" t="s">
        <v>85</v>
      </c>
      <c r="B430" s="278">
        <f>_xlfn.XLOOKUP(Catalogo[[#This Row],[Finca]], Fincas[Nombre], Fincas[ID])</f>
        <v>38</v>
      </c>
      <c r="C430" s="277" t="s">
        <v>646</v>
      </c>
      <c r="D430" s="277" t="s">
        <v>823</v>
      </c>
      <c r="E430" s="277"/>
      <c r="F430" s="277" t="s">
        <v>608</v>
      </c>
      <c r="G430" s="277"/>
      <c r="H430" s="277"/>
      <c r="I430" s="311" t="s">
        <v>274</v>
      </c>
      <c r="J430" s="309"/>
      <c r="K430" s="278" t="s">
        <v>35</v>
      </c>
      <c r="L4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0" s="279" t="s">
        <v>385</v>
      </c>
      <c r="N430" s="279">
        <v>125</v>
      </c>
      <c r="O430" s="276">
        <v>0.36</v>
      </c>
      <c r="P430" s="280">
        <f>IFERROR(_xlfn.LET(_xlpm.boxType, K430, _xlpm.tallos, N430, _xlpm.cost, O430, _xlpm.precio, Q430,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30" s="296">
        <v>1.39</v>
      </c>
      <c r="R430" s="276" t="s">
        <v>284</v>
      </c>
      <c r="S4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0" s="276">
        <v>0.36</v>
      </c>
      <c r="U43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30" s="274">
        <v>0.79</v>
      </c>
    </row>
    <row r="431" spans="1:22" ht="15.75" thickBot="1" x14ac:dyDescent="0.3">
      <c r="A431" s="277" t="s">
        <v>85</v>
      </c>
      <c r="B431" s="278">
        <f>_xlfn.XLOOKUP(Catalogo[[#This Row],[Finca]], Fincas[Nombre], Fincas[ID])</f>
        <v>38</v>
      </c>
      <c r="C431" s="277" t="s">
        <v>646</v>
      </c>
      <c r="D431" s="277" t="s">
        <v>823</v>
      </c>
      <c r="E431" s="277"/>
      <c r="F431" s="277" t="s">
        <v>608</v>
      </c>
      <c r="G431" s="277"/>
      <c r="H431" s="277"/>
      <c r="I431" s="311" t="s">
        <v>274</v>
      </c>
      <c r="J431" s="309"/>
      <c r="K431" s="278" t="s">
        <v>93</v>
      </c>
      <c r="L43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1" s="279" t="s">
        <v>387</v>
      </c>
      <c r="N431" s="279">
        <v>250</v>
      </c>
      <c r="O431" s="276">
        <v>0.36</v>
      </c>
      <c r="P431" s="280">
        <f>IFERROR(_xlfn.LET(_xlpm.boxType, K431, _xlpm.tallos, N431, _xlpm.cost, O431, _xlpm.precio, Q431,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31" s="296">
        <v>1.39</v>
      </c>
      <c r="R431" s="276" t="s">
        <v>285</v>
      </c>
      <c r="S43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1" s="276">
        <v>0.36</v>
      </c>
      <c r="U43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31" s="274">
        <v>0.79</v>
      </c>
    </row>
    <row r="432" spans="1:22" x14ac:dyDescent="0.25">
      <c r="A432" s="281" t="s">
        <v>85</v>
      </c>
      <c r="B432" s="282">
        <f>_xlfn.XLOOKUP(Catalogo[[#This Row],[Finca]], Fincas[Nombre], Fincas[ID])</f>
        <v>38</v>
      </c>
      <c r="C432" s="281" t="s">
        <v>646</v>
      </c>
      <c r="D432" s="281" t="s">
        <v>823</v>
      </c>
      <c r="E432" s="281"/>
      <c r="F432" s="281" t="s">
        <v>608</v>
      </c>
      <c r="G432" s="281"/>
      <c r="H432" s="281"/>
      <c r="I432" s="316" t="s">
        <v>275</v>
      </c>
      <c r="J432" s="308"/>
      <c r="K432" s="282" t="s">
        <v>31</v>
      </c>
      <c r="L43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2" s="283" t="s">
        <v>383</v>
      </c>
      <c r="N432" s="283">
        <v>50</v>
      </c>
      <c r="O432" s="285">
        <v>0.42</v>
      </c>
      <c r="P432" s="284">
        <f>IFERROR(_xlfn.LET(_xlpm.boxType, K432, _xlpm.tallos, N432, _xlpm.cost, O432, _xlpm.precio, Q432,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32" s="295">
        <v>1.59</v>
      </c>
      <c r="R432" s="285" t="s">
        <v>283</v>
      </c>
      <c r="S43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2" s="285">
        <v>0.42</v>
      </c>
      <c r="U43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32" s="287">
        <v>0.99</v>
      </c>
    </row>
    <row r="433" spans="1:22" x14ac:dyDescent="0.25">
      <c r="A433" s="277" t="s">
        <v>85</v>
      </c>
      <c r="B433" s="278">
        <f>_xlfn.XLOOKUP(Catalogo[[#This Row],[Finca]], Fincas[Nombre], Fincas[ID])</f>
        <v>38</v>
      </c>
      <c r="C433" s="277" t="s">
        <v>646</v>
      </c>
      <c r="D433" s="277" t="s">
        <v>823</v>
      </c>
      <c r="E433" s="277"/>
      <c r="F433" s="277" t="s">
        <v>608</v>
      </c>
      <c r="G433" s="277"/>
      <c r="H433" s="277"/>
      <c r="I433" s="311" t="s">
        <v>275</v>
      </c>
      <c r="J433" s="309"/>
      <c r="K433" s="278" t="s">
        <v>35</v>
      </c>
      <c r="L43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3" s="279" t="s">
        <v>385</v>
      </c>
      <c r="N433" s="279">
        <v>100</v>
      </c>
      <c r="O433" s="276">
        <v>0.42</v>
      </c>
      <c r="P433" s="280">
        <f>IFERROR(_xlfn.LET(_xlpm.boxType, K433, _xlpm.tallos, N433, _xlpm.cost, O433, _xlpm.precio, Q433,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33" s="296">
        <v>1.59</v>
      </c>
      <c r="R433" s="276" t="s">
        <v>284</v>
      </c>
      <c r="S43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3" s="276">
        <v>0.42</v>
      </c>
      <c r="U43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33" s="274">
        <v>0.89</v>
      </c>
    </row>
    <row r="434" spans="1:22" ht="15.75" thickBot="1" x14ac:dyDescent="0.3">
      <c r="A434" s="288" t="s">
        <v>85</v>
      </c>
      <c r="B434" s="289">
        <f>_xlfn.XLOOKUP(Catalogo[[#This Row],[Finca]], Fincas[Nombre], Fincas[ID])</f>
        <v>38</v>
      </c>
      <c r="C434" s="288" t="s">
        <v>646</v>
      </c>
      <c r="D434" s="288" t="s">
        <v>823</v>
      </c>
      <c r="E434" s="288"/>
      <c r="F434" s="288" t="s">
        <v>608</v>
      </c>
      <c r="G434" s="288"/>
      <c r="H434" s="288"/>
      <c r="I434" s="317" t="s">
        <v>275</v>
      </c>
      <c r="J434" s="310"/>
      <c r="K434" s="289" t="s">
        <v>93</v>
      </c>
      <c r="L43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4" s="290" t="s">
        <v>387</v>
      </c>
      <c r="N434" s="290">
        <v>200</v>
      </c>
      <c r="O434" s="292">
        <v>0.42</v>
      </c>
      <c r="P434" s="291">
        <f>IFERROR(_xlfn.LET(_xlpm.boxType, K434, _xlpm.tallos, N434, _xlpm.cost, O434, _xlpm.precio, Q434,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34" s="297">
        <v>1.59</v>
      </c>
      <c r="R434" s="292" t="s">
        <v>285</v>
      </c>
      <c r="S43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4" s="292">
        <v>0.42</v>
      </c>
      <c r="U43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34" s="294">
        <v>0.89</v>
      </c>
    </row>
    <row r="435" spans="1:22" x14ac:dyDescent="0.25">
      <c r="A435" s="281" t="s">
        <v>85</v>
      </c>
      <c r="B435" s="282">
        <f>_xlfn.XLOOKUP(Catalogo[[#This Row],[Finca]], Fincas[Nombre], Fincas[ID])</f>
        <v>38</v>
      </c>
      <c r="C435" s="281" t="s">
        <v>646</v>
      </c>
      <c r="D435" s="281" t="s">
        <v>824</v>
      </c>
      <c r="E435" s="281"/>
      <c r="F435" s="281" t="s">
        <v>519</v>
      </c>
      <c r="G435" s="281"/>
      <c r="H435" s="281"/>
      <c r="I435" s="316" t="s">
        <v>273</v>
      </c>
      <c r="J435" s="308"/>
      <c r="K435" s="282" t="s">
        <v>31</v>
      </c>
      <c r="L43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5" s="283" t="s">
        <v>383</v>
      </c>
      <c r="N435" s="283">
        <v>50</v>
      </c>
      <c r="O435" s="285">
        <v>0.26</v>
      </c>
      <c r="P435" s="284">
        <f>IFERROR(_xlfn.LET(_xlpm.boxType, K435, _xlpm.tallos, N435, _xlpm.cost, O435, _xlpm.precio, Q435,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35" s="295">
        <v>1.29</v>
      </c>
      <c r="R435" s="285" t="s">
        <v>283</v>
      </c>
      <c r="S43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5" s="285">
        <v>0.26</v>
      </c>
      <c r="U43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35" s="287">
        <v>0.75</v>
      </c>
    </row>
    <row r="436" spans="1:22" x14ac:dyDescent="0.25">
      <c r="A436" s="277" t="s">
        <v>85</v>
      </c>
      <c r="B436" s="278">
        <f>_xlfn.XLOOKUP(Catalogo[[#This Row],[Finca]], Fincas[Nombre], Fincas[ID])</f>
        <v>38</v>
      </c>
      <c r="C436" s="277" t="s">
        <v>646</v>
      </c>
      <c r="D436" s="277" t="s">
        <v>824</v>
      </c>
      <c r="E436" s="277"/>
      <c r="F436" s="277" t="s">
        <v>519</v>
      </c>
      <c r="G436" s="277"/>
      <c r="H436" s="277"/>
      <c r="I436" s="311" t="s">
        <v>273</v>
      </c>
      <c r="J436" s="309"/>
      <c r="K436" s="278" t="s">
        <v>35</v>
      </c>
      <c r="L43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6" s="279" t="s">
        <v>385</v>
      </c>
      <c r="N436" s="279">
        <v>150</v>
      </c>
      <c r="O436" s="276">
        <v>0.26</v>
      </c>
      <c r="P436" s="280">
        <f>IFERROR(_xlfn.LET(_xlpm.boxType, K436, _xlpm.tallos, N436, _xlpm.cost, O436, _xlpm.precio, Q436,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36" s="296">
        <v>1.19</v>
      </c>
      <c r="R436" s="276" t="s">
        <v>284</v>
      </c>
      <c r="S43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6" s="276">
        <v>0.26</v>
      </c>
      <c r="U43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36" s="274">
        <v>0.69</v>
      </c>
    </row>
    <row r="437" spans="1:22" ht="15.75" thickBot="1" x14ac:dyDescent="0.3">
      <c r="A437" s="288" t="s">
        <v>85</v>
      </c>
      <c r="B437" s="289">
        <f>_xlfn.XLOOKUP(Catalogo[[#This Row],[Finca]], Fincas[Nombre], Fincas[ID])</f>
        <v>38</v>
      </c>
      <c r="C437" s="288" t="s">
        <v>646</v>
      </c>
      <c r="D437" s="288" t="s">
        <v>824</v>
      </c>
      <c r="E437" s="288"/>
      <c r="F437" s="288" t="s">
        <v>519</v>
      </c>
      <c r="G437" s="288"/>
      <c r="H437" s="288"/>
      <c r="I437" s="317" t="s">
        <v>273</v>
      </c>
      <c r="J437" s="310"/>
      <c r="K437" s="289" t="s">
        <v>93</v>
      </c>
      <c r="L43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7" s="290" t="s">
        <v>387</v>
      </c>
      <c r="N437" s="290">
        <v>300</v>
      </c>
      <c r="O437" s="292">
        <v>0.26</v>
      </c>
      <c r="P437" s="291">
        <f>IFERROR(_xlfn.LET(_xlpm.boxType, K437, _xlpm.tallos, N437, _xlpm.cost, O437, _xlpm.precio, Q437,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37" s="297">
        <v>1.19</v>
      </c>
      <c r="R437" s="292" t="s">
        <v>285</v>
      </c>
      <c r="S43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7" s="292">
        <v>0.26</v>
      </c>
      <c r="U43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37" s="294">
        <v>0.69</v>
      </c>
    </row>
    <row r="438" spans="1:22" x14ac:dyDescent="0.25">
      <c r="A438" s="277" t="s">
        <v>85</v>
      </c>
      <c r="B438" s="278">
        <f>_xlfn.XLOOKUP(Catalogo[[#This Row],[Finca]], Fincas[Nombre], Fincas[ID])</f>
        <v>38</v>
      </c>
      <c r="C438" s="277" t="s">
        <v>646</v>
      </c>
      <c r="D438" s="277" t="s">
        <v>824</v>
      </c>
      <c r="E438" s="277"/>
      <c r="F438" s="277" t="s">
        <v>519</v>
      </c>
      <c r="G438" s="277"/>
      <c r="H438" s="277"/>
      <c r="I438" s="311" t="s">
        <v>274</v>
      </c>
      <c r="J438" s="309"/>
      <c r="K438" s="278" t="s">
        <v>31</v>
      </c>
      <c r="L4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8" s="279" t="s">
        <v>383</v>
      </c>
      <c r="N438" s="279">
        <v>50</v>
      </c>
      <c r="O438" s="276">
        <v>0.36</v>
      </c>
      <c r="P438" s="280">
        <f>IFERROR(_xlfn.LET(_xlpm.boxType, K438, _xlpm.tallos, N438, _xlpm.cost, O438, _xlpm.precio, Q438,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38" s="296">
        <v>1.49</v>
      </c>
      <c r="R438" s="276" t="s">
        <v>283</v>
      </c>
      <c r="S4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8" s="276">
        <v>0.36</v>
      </c>
      <c r="U4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38" s="274">
        <v>0.85</v>
      </c>
    </row>
    <row r="439" spans="1:22" x14ac:dyDescent="0.25">
      <c r="A439" s="277" t="s">
        <v>85</v>
      </c>
      <c r="B439" s="278">
        <f>_xlfn.XLOOKUP(Catalogo[[#This Row],[Finca]], Fincas[Nombre], Fincas[ID])</f>
        <v>38</v>
      </c>
      <c r="C439" s="277" t="s">
        <v>646</v>
      </c>
      <c r="D439" s="277" t="s">
        <v>824</v>
      </c>
      <c r="E439" s="277"/>
      <c r="F439" s="277" t="s">
        <v>519</v>
      </c>
      <c r="G439" s="277"/>
      <c r="H439" s="277"/>
      <c r="I439" s="311" t="s">
        <v>274</v>
      </c>
      <c r="J439" s="309"/>
      <c r="K439" s="278" t="s">
        <v>35</v>
      </c>
      <c r="L4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39" s="279" t="s">
        <v>385</v>
      </c>
      <c r="N439" s="279">
        <v>125</v>
      </c>
      <c r="O439" s="276">
        <v>0.36</v>
      </c>
      <c r="P439" s="280">
        <f>IFERROR(_xlfn.LET(_xlpm.boxType, K439, _xlpm.tallos, N439, _xlpm.cost, O439, _xlpm.precio, Q439,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39" s="296">
        <v>1.39</v>
      </c>
      <c r="R439" s="276" t="s">
        <v>284</v>
      </c>
      <c r="S4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39" s="276">
        <v>0.36</v>
      </c>
      <c r="U43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39" s="274">
        <v>0.79</v>
      </c>
    </row>
    <row r="440" spans="1:22" ht="15.75" thickBot="1" x14ac:dyDescent="0.3">
      <c r="A440" s="277" t="s">
        <v>85</v>
      </c>
      <c r="B440" s="278">
        <f>_xlfn.XLOOKUP(Catalogo[[#This Row],[Finca]], Fincas[Nombre], Fincas[ID])</f>
        <v>38</v>
      </c>
      <c r="C440" s="277" t="s">
        <v>646</v>
      </c>
      <c r="D440" s="277" t="s">
        <v>824</v>
      </c>
      <c r="E440" s="277"/>
      <c r="F440" s="277" t="s">
        <v>519</v>
      </c>
      <c r="G440" s="277"/>
      <c r="H440" s="277"/>
      <c r="I440" s="311" t="s">
        <v>274</v>
      </c>
      <c r="J440" s="309"/>
      <c r="K440" s="278" t="s">
        <v>93</v>
      </c>
      <c r="L44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0" s="279" t="s">
        <v>387</v>
      </c>
      <c r="N440" s="279">
        <v>250</v>
      </c>
      <c r="O440" s="276">
        <v>0.36</v>
      </c>
      <c r="P440" s="280">
        <f>IFERROR(_xlfn.LET(_xlpm.boxType, K440, _xlpm.tallos, N440, _xlpm.cost, O440, _xlpm.precio, Q440,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40" s="296">
        <v>1.39</v>
      </c>
      <c r="R440" s="276" t="s">
        <v>285</v>
      </c>
      <c r="S44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0" s="276">
        <v>0.36</v>
      </c>
      <c r="U44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40" s="274">
        <v>0.79</v>
      </c>
    </row>
    <row r="441" spans="1:22" x14ac:dyDescent="0.25">
      <c r="A441" s="281" t="s">
        <v>85</v>
      </c>
      <c r="B441" s="282">
        <f>_xlfn.XLOOKUP(Catalogo[[#This Row],[Finca]], Fincas[Nombre], Fincas[ID])</f>
        <v>38</v>
      </c>
      <c r="C441" s="281" t="s">
        <v>646</v>
      </c>
      <c r="D441" s="281" t="s">
        <v>824</v>
      </c>
      <c r="E441" s="281"/>
      <c r="F441" s="281" t="s">
        <v>519</v>
      </c>
      <c r="G441" s="281"/>
      <c r="H441" s="281"/>
      <c r="I441" s="316" t="s">
        <v>275</v>
      </c>
      <c r="J441" s="308"/>
      <c r="K441" s="282" t="s">
        <v>31</v>
      </c>
      <c r="L44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1" s="283" t="s">
        <v>383</v>
      </c>
      <c r="N441" s="283">
        <v>50</v>
      </c>
      <c r="O441" s="285">
        <v>0.42</v>
      </c>
      <c r="P441" s="284">
        <f>IFERROR(_xlfn.LET(_xlpm.boxType, K441, _xlpm.tallos, N441, _xlpm.cost, O441, _xlpm.precio, Q441,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41" s="295">
        <v>1.59</v>
      </c>
      <c r="R441" s="285" t="s">
        <v>283</v>
      </c>
      <c r="S44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1" s="285">
        <v>0.42</v>
      </c>
      <c r="U44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41" s="287">
        <v>0.99</v>
      </c>
    </row>
    <row r="442" spans="1:22" x14ac:dyDescent="0.25">
      <c r="A442" s="277" t="s">
        <v>85</v>
      </c>
      <c r="B442" s="278">
        <f>_xlfn.XLOOKUP(Catalogo[[#This Row],[Finca]], Fincas[Nombre], Fincas[ID])</f>
        <v>38</v>
      </c>
      <c r="C442" s="277" t="s">
        <v>646</v>
      </c>
      <c r="D442" s="277" t="s">
        <v>824</v>
      </c>
      <c r="E442" s="277"/>
      <c r="F442" s="277" t="s">
        <v>519</v>
      </c>
      <c r="G442" s="277"/>
      <c r="H442" s="277"/>
      <c r="I442" s="311" t="s">
        <v>275</v>
      </c>
      <c r="J442" s="309"/>
      <c r="K442" s="278" t="s">
        <v>35</v>
      </c>
      <c r="L44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2" s="279" t="s">
        <v>385</v>
      </c>
      <c r="N442" s="279">
        <v>100</v>
      </c>
      <c r="O442" s="276">
        <v>0.42</v>
      </c>
      <c r="P442" s="280">
        <f>IFERROR(_xlfn.LET(_xlpm.boxType, K442, _xlpm.tallos, N442, _xlpm.cost, O442, _xlpm.precio, Q442,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42" s="296">
        <v>1.59</v>
      </c>
      <c r="R442" s="276" t="s">
        <v>284</v>
      </c>
      <c r="S44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2" s="276">
        <v>0.42</v>
      </c>
      <c r="U44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42" s="274">
        <v>0.89</v>
      </c>
    </row>
    <row r="443" spans="1:22" ht="15.75" thickBot="1" x14ac:dyDescent="0.3">
      <c r="A443" s="288" t="s">
        <v>85</v>
      </c>
      <c r="B443" s="289">
        <f>_xlfn.XLOOKUP(Catalogo[[#This Row],[Finca]], Fincas[Nombre], Fincas[ID])</f>
        <v>38</v>
      </c>
      <c r="C443" s="288" t="s">
        <v>646</v>
      </c>
      <c r="D443" s="288" t="s">
        <v>824</v>
      </c>
      <c r="E443" s="288"/>
      <c r="F443" s="288" t="s">
        <v>519</v>
      </c>
      <c r="G443" s="288"/>
      <c r="H443" s="288"/>
      <c r="I443" s="317" t="s">
        <v>275</v>
      </c>
      <c r="J443" s="310"/>
      <c r="K443" s="289" t="s">
        <v>93</v>
      </c>
      <c r="L44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3" s="290" t="s">
        <v>387</v>
      </c>
      <c r="N443" s="290">
        <v>200</v>
      </c>
      <c r="O443" s="292">
        <v>0.42</v>
      </c>
      <c r="P443" s="291">
        <f>IFERROR(_xlfn.LET(_xlpm.boxType, K443, _xlpm.tallos, N443, _xlpm.cost, O443, _xlpm.precio, Q443,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43" s="297">
        <v>1.59</v>
      </c>
      <c r="R443" s="292" t="s">
        <v>285</v>
      </c>
      <c r="S44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3" s="292">
        <v>0.42</v>
      </c>
      <c r="U44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43" s="294">
        <v>0.89</v>
      </c>
    </row>
    <row r="444" spans="1:22" x14ac:dyDescent="0.25">
      <c r="A444" s="281" t="s">
        <v>85</v>
      </c>
      <c r="B444" s="282">
        <f>_xlfn.XLOOKUP(Catalogo[[#This Row],[Finca]], Fincas[Nombre], Fincas[ID])</f>
        <v>38</v>
      </c>
      <c r="C444" s="281" t="s">
        <v>646</v>
      </c>
      <c r="D444" s="281" t="s">
        <v>825</v>
      </c>
      <c r="E444" s="281"/>
      <c r="F444" s="281" t="s">
        <v>526</v>
      </c>
      <c r="G444" s="281"/>
      <c r="H444" s="281"/>
      <c r="I444" s="316" t="s">
        <v>273</v>
      </c>
      <c r="J444" s="308"/>
      <c r="K444" s="282" t="s">
        <v>31</v>
      </c>
      <c r="L44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4" s="283" t="s">
        <v>383</v>
      </c>
      <c r="N444" s="283">
        <v>50</v>
      </c>
      <c r="O444" s="285">
        <v>0.26</v>
      </c>
      <c r="P444" s="284">
        <f>IFERROR(_xlfn.LET(_xlpm.boxType, K444, _xlpm.tallos, N444, _xlpm.cost, O444, _xlpm.precio, Q444,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44" s="295">
        <v>1.29</v>
      </c>
      <c r="R444" s="285" t="s">
        <v>283</v>
      </c>
      <c r="S44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4" s="285">
        <v>0.26</v>
      </c>
      <c r="U44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44" s="287">
        <v>0.75</v>
      </c>
    </row>
    <row r="445" spans="1:22" x14ac:dyDescent="0.25">
      <c r="A445" s="277" t="s">
        <v>85</v>
      </c>
      <c r="B445" s="278">
        <f>_xlfn.XLOOKUP(Catalogo[[#This Row],[Finca]], Fincas[Nombre], Fincas[ID])</f>
        <v>38</v>
      </c>
      <c r="C445" s="277" t="s">
        <v>646</v>
      </c>
      <c r="D445" s="277" t="s">
        <v>825</v>
      </c>
      <c r="E445" s="277"/>
      <c r="F445" s="277" t="s">
        <v>526</v>
      </c>
      <c r="G445" s="277"/>
      <c r="H445" s="277"/>
      <c r="I445" s="311" t="s">
        <v>273</v>
      </c>
      <c r="J445" s="309"/>
      <c r="K445" s="278" t="s">
        <v>35</v>
      </c>
      <c r="L44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5" s="279" t="s">
        <v>385</v>
      </c>
      <c r="N445" s="279">
        <v>150</v>
      </c>
      <c r="O445" s="276">
        <v>0.26</v>
      </c>
      <c r="P445" s="280">
        <f>IFERROR(_xlfn.LET(_xlpm.boxType, K445, _xlpm.tallos, N445, _xlpm.cost, O445, _xlpm.precio, Q445,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45" s="296">
        <v>1.19</v>
      </c>
      <c r="R445" s="276" t="s">
        <v>284</v>
      </c>
      <c r="S44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5" s="276">
        <v>0.26</v>
      </c>
      <c r="U44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45" s="274">
        <v>0.69</v>
      </c>
    </row>
    <row r="446" spans="1:22" ht="15.75" thickBot="1" x14ac:dyDescent="0.3">
      <c r="A446" s="288" t="s">
        <v>85</v>
      </c>
      <c r="B446" s="289">
        <f>_xlfn.XLOOKUP(Catalogo[[#This Row],[Finca]], Fincas[Nombre], Fincas[ID])</f>
        <v>38</v>
      </c>
      <c r="C446" s="288" t="s">
        <v>646</v>
      </c>
      <c r="D446" s="288" t="s">
        <v>825</v>
      </c>
      <c r="E446" s="288"/>
      <c r="F446" s="288" t="s">
        <v>526</v>
      </c>
      <c r="G446" s="288"/>
      <c r="H446" s="288"/>
      <c r="I446" s="317" t="s">
        <v>273</v>
      </c>
      <c r="J446" s="310"/>
      <c r="K446" s="289" t="s">
        <v>93</v>
      </c>
      <c r="L44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6" s="290" t="s">
        <v>387</v>
      </c>
      <c r="N446" s="290">
        <v>300</v>
      </c>
      <c r="O446" s="292">
        <v>0.26</v>
      </c>
      <c r="P446" s="291">
        <f>IFERROR(_xlfn.LET(_xlpm.boxType, K446, _xlpm.tallos, N446, _xlpm.cost, O446, _xlpm.precio, Q446,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46" s="297">
        <v>1.19</v>
      </c>
      <c r="R446" s="292" t="s">
        <v>285</v>
      </c>
      <c r="S44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6" s="292">
        <v>0.26</v>
      </c>
      <c r="U44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46" s="294">
        <v>0.69</v>
      </c>
    </row>
    <row r="447" spans="1:22" x14ac:dyDescent="0.25">
      <c r="A447" s="277" t="s">
        <v>85</v>
      </c>
      <c r="B447" s="278">
        <f>_xlfn.XLOOKUP(Catalogo[[#This Row],[Finca]], Fincas[Nombre], Fincas[ID])</f>
        <v>38</v>
      </c>
      <c r="C447" s="277" t="s">
        <v>646</v>
      </c>
      <c r="D447" s="277" t="s">
        <v>825</v>
      </c>
      <c r="E447" s="277"/>
      <c r="F447" s="277" t="s">
        <v>526</v>
      </c>
      <c r="G447" s="277"/>
      <c r="H447" s="277"/>
      <c r="I447" s="311" t="s">
        <v>274</v>
      </c>
      <c r="J447" s="309"/>
      <c r="K447" s="278" t="s">
        <v>31</v>
      </c>
      <c r="L4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7" s="279" t="s">
        <v>383</v>
      </c>
      <c r="N447" s="279">
        <v>50</v>
      </c>
      <c r="O447" s="276">
        <v>0.36</v>
      </c>
      <c r="P447" s="280">
        <f>IFERROR(_xlfn.LET(_xlpm.boxType, K447, _xlpm.tallos, N447, _xlpm.cost, O447, _xlpm.precio, Q447,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47" s="296">
        <v>1.49</v>
      </c>
      <c r="R447" s="276" t="s">
        <v>283</v>
      </c>
      <c r="S4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7" s="276">
        <v>0.36</v>
      </c>
      <c r="U4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47" s="274">
        <v>0.85</v>
      </c>
    </row>
    <row r="448" spans="1:22" x14ac:dyDescent="0.25">
      <c r="A448" s="277" t="s">
        <v>85</v>
      </c>
      <c r="B448" s="278">
        <f>_xlfn.XLOOKUP(Catalogo[[#This Row],[Finca]], Fincas[Nombre], Fincas[ID])</f>
        <v>38</v>
      </c>
      <c r="C448" s="277" t="s">
        <v>646</v>
      </c>
      <c r="D448" s="277" t="s">
        <v>825</v>
      </c>
      <c r="E448" s="277"/>
      <c r="F448" s="277" t="s">
        <v>526</v>
      </c>
      <c r="G448" s="277"/>
      <c r="H448" s="277"/>
      <c r="I448" s="311" t="s">
        <v>274</v>
      </c>
      <c r="J448" s="309"/>
      <c r="K448" s="278" t="s">
        <v>35</v>
      </c>
      <c r="L44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8" s="279" t="s">
        <v>385</v>
      </c>
      <c r="N448" s="279">
        <v>125</v>
      </c>
      <c r="O448" s="276">
        <v>0.36</v>
      </c>
      <c r="P448" s="280">
        <f>IFERROR(_xlfn.LET(_xlpm.boxType, K448, _xlpm.tallos, N448, _xlpm.cost, O448, _xlpm.precio, Q448,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48" s="296">
        <v>1.39</v>
      </c>
      <c r="R448" s="276" t="s">
        <v>284</v>
      </c>
      <c r="S44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8" s="276">
        <v>0.36</v>
      </c>
      <c r="U44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48" s="274">
        <v>0.79</v>
      </c>
    </row>
    <row r="449" spans="1:22" ht="15.75" thickBot="1" x14ac:dyDescent="0.3">
      <c r="A449" s="277" t="s">
        <v>85</v>
      </c>
      <c r="B449" s="278">
        <f>_xlfn.XLOOKUP(Catalogo[[#This Row],[Finca]], Fincas[Nombre], Fincas[ID])</f>
        <v>38</v>
      </c>
      <c r="C449" s="277" t="s">
        <v>646</v>
      </c>
      <c r="D449" s="277" t="s">
        <v>825</v>
      </c>
      <c r="E449" s="277"/>
      <c r="F449" s="277" t="s">
        <v>526</v>
      </c>
      <c r="G449" s="277"/>
      <c r="H449" s="277"/>
      <c r="I449" s="311" t="s">
        <v>274</v>
      </c>
      <c r="J449" s="309"/>
      <c r="K449" s="278" t="s">
        <v>93</v>
      </c>
      <c r="L44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49" s="279" t="s">
        <v>387</v>
      </c>
      <c r="N449" s="279">
        <v>250</v>
      </c>
      <c r="O449" s="276">
        <v>0.36</v>
      </c>
      <c r="P449" s="280">
        <f>IFERROR(_xlfn.LET(_xlpm.boxType, K449, _xlpm.tallos, N449, _xlpm.cost, O449, _xlpm.precio, Q449,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49" s="296">
        <v>1.39</v>
      </c>
      <c r="R449" s="276" t="s">
        <v>285</v>
      </c>
      <c r="S44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49" s="276">
        <v>0.36</v>
      </c>
      <c r="U44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49" s="274">
        <v>0.79</v>
      </c>
    </row>
    <row r="450" spans="1:22" x14ac:dyDescent="0.25">
      <c r="A450" s="281" t="s">
        <v>85</v>
      </c>
      <c r="B450" s="282">
        <f>_xlfn.XLOOKUP(Catalogo[[#This Row],[Finca]], Fincas[Nombre], Fincas[ID])</f>
        <v>38</v>
      </c>
      <c r="C450" s="281" t="s">
        <v>646</v>
      </c>
      <c r="D450" s="281" t="s">
        <v>825</v>
      </c>
      <c r="E450" s="281"/>
      <c r="F450" s="281" t="s">
        <v>526</v>
      </c>
      <c r="G450" s="281"/>
      <c r="H450" s="281"/>
      <c r="I450" s="316" t="s">
        <v>275</v>
      </c>
      <c r="J450" s="308"/>
      <c r="K450" s="282" t="s">
        <v>31</v>
      </c>
      <c r="L45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0" s="283" t="s">
        <v>383</v>
      </c>
      <c r="N450" s="283">
        <v>50</v>
      </c>
      <c r="O450" s="285">
        <v>0.42</v>
      </c>
      <c r="P450" s="284">
        <f>IFERROR(_xlfn.LET(_xlpm.boxType, K450, _xlpm.tallos, N450, _xlpm.cost, O450, _xlpm.precio, Q450,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50" s="295">
        <v>1.59</v>
      </c>
      <c r="R450" s="285" t="s">
        <v>283</v>
      </c>
      <c r="S45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0" s="285">
        <v>0.42</v>
      </c>
      <c r="U45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50" s="287">
        <v>0.99</v>
      </c>
    </row>
    <row r="451" spans="1:22" x14ac:dyDescent="0.25">
      <c r="A451" s="277" t="s">
        <v>85</v>
      </c>
      <c r="B451" s="278">
        <f>_xlfn.XLOOKUP(Catalogo[[#This Row],[Finca]], Fincas[Nombre], Fincas[ID])</f>
        <v>38</v>
      </c>
      <c r="C451" s="277" t="s">
        <v>646</v>
      </c>
      <c r="D451" s="277" t="s">
        <v>825</v>
      </c>
      <c r="E451" s="277"/>
      <c r="F451" s="277" t="s">
        <v>526</v>
      </c>
      <c r="G451" s="277"/>
      <c r="H451" s="277"/>
      <c r="I451" s="311" t="s">
        <v>275</v>
      </c>
      <c r="J451" s="309"/>
      <c r="K451" s="278" t="s">
        <v>35</v>
      </c>
      <c r="L45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1" s="279" t="s">
        <v>385</v>
      </c>
      <c r="N451" s="279">
        <v>100</v>
      </c>
      <c r="O451" s="276">
        <v>0.42</v>
      </c>
      <c r="P451" s="280">
        <f>IFERROR(_xlfn.LET(_xlpm.boxType, K451, _xlpm.tallos, N451, _xlpm.cost, O451, _xlpm.precio, Q451,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51" s="296">
        <v>1.59</v>
      </c>
      <c r="R451" s="276" t="s">
        <v>284</v>
      </c>
      <c r="S45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1" s="276">
        <v>0.42</v>
      </c>
      <c r="U45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51" s="274">
        <v>0.89</v>
      </c>
    </row>
    <row r="452" spans="1:22" ht="15.75" thickBot="1" x14ac:dyDescent="0.3">
      <c r="A452" s="288" t="s">
        <v>85</v>
      </c>
      <c r="B452" s="289">
        <f>_xlfn.XLOOKUP(Catalogo[[#This Row],[Finca]], Fincas[Nombre], Fincas[ID])</f>
        <v>38</v>
      </c>
      <c r="C452" s="288" t="s">
        <v>646</v>
      </c>
      <c r="D452" s="288" t="s">
        <v>825</v>
      </c>
      <c r="E452" s="288"/>
      <c r="F452" s="288" t="s">
        <v>526</v>
      </c>
      <c r="G452" s="288"/>
      <c r="H452" s="288"/>
      <c r="I452" s="317" t="s">
        <v>275</v>
      </c>
      <c r="J452" s="310"/>
      <c r="K452" s="289" t="s">
        <v>93</v>
      </c>
      <c r="L45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2" s="290" t="s">
        <v>387</v>
      </c>
      <c r="N452" s="290">
        <v>200</v>
      </c>
      <c r="O452" s="292">
        <v>0.42</v>
      </c>
      <c r="P452" s="291">
        <f>IFERROR(_xlfn.LET(_xlpm.boxType, K452, _xlpm.tallos, N452, _xlpm.cost, O452, _xlpm.precio, Q452,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52" s="297">
        <v>1.59</v>
      </c>
      <c r="R452" s="292" t="s">
        <v>285</v>
      </c>
      <c r="S45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2" s="292">
        <v>0.42</v>
      </c>
      <c r="U45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52" s="294">
        <v>0.89</v>
      </c>
    </row>
    <row r="453" spans="1:22" x14ac:dyDescent="0.25">
      <c r="A453" s="281" t="s">
        <v>85</v>
      </c>
      <c r="B453" s="282">
        <f>_xlfn.XLOOKUP(Catalogo[[#This Row],[Finca]], Fincas[Nombre], Fincas[ID])</f>
        <v>38</v>
      </c>
      <c r="C453" s="281" t="s">
        <v>646</v>
      </c>
      <c r="D453" s="281" t="s">
        <v>826</v>
      </c>
      <c r="E453" s="281"/>
      <c r="F453" s="281" t="s">
        <v>503</v>
      </c>
      <c r="G453" s="281"/>
      <c r="H453" s="281"/>
      <c r="I453" s="316" t="s">
        <v>273</v>
      </c>
      <c r="J453" s="308"/>
      <c r="K453" s="282" t="s">
        <v>31</v>
      </c>
      <c r="L45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3" s="283" t="s">
        <v>383</v>
      </c>
      <c r="N453" s="283">
        <v>50</v>
      </c>
      <c r="O453" s="285">
        <v>0.26</v>
      </c>
      <c r="P453" s="284">
        <f>IFERROR(_xlfn.LET(_xlpm.boxType, K453, _xlpm.tallos, N453, _xlpm.cost, O453, _xlpm.precio, Q453,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53" s="295">
        <v>1.29</v>
      </c>
      <c r="R453" s="285" t="s">
        <v>283</v>
      </c>
      <c r="S45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3" s="285">
        <v>0.26</v>
      </c>
      <c r="U45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53" s="287">
        <v>0.75</v>
      </c>
    </row>
    <row r="454" spans="1:22" x14ac:dyDescent="0.25">
      <c r="A454" s="277" t="s">
        <v>85</v>
      </c>
      <c r="B454" s="278">
        <f>_xlfn.XLOOKUP(Catalogo[[#This Row],[Finca]], Fincas[Nombre], Fincas[ID])</f>
        <v>38</v>
      </c>
      <c r="C454" s="277" t="s">
        <v>646</v>
      </c>
      <c r="D454" s="277" t="s">
        <v>826</v>
      </c>
      <c r="E454" s="277"/>
      <c r="F454" s="277" t="s">
        <v>503</v>
      </c>
      <c r="G454" s="277"/>
      <c r="H454" s="277"/>
      <c r="I454" s="311" t="s">
        <v>273</v>
      </c>
      <c r="J454" s="309"/>
      <c r="K454" s="278" t="s">
        <v>35</v>
      </c>
      <c r="L45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4" s="279" t="s">
        <v>385</v>
      </c>
      <c r="N454" s="279">
        <v>150</v>
      </c>
      <c r="O454" s="276">
        <v>0.26</v>
      </c>
      <c r="P454" s="280">
        <f>IFERROR(_xlfn.LET(_xlpm.boxType, K454, _xlpm.tallos, N454, _xlpm.cost, O454, _xlpm.precio, Q454,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54" s="296">
        <v>1.19</v>
      </c>
      <c r="R454" s="276" t="s">
        <v>284</v>
      </c>
      <c r="S45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4" s="276">
        <v>0.26</v>
      </c>
      <c r="U45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54" s="274">
        <v>0.69</v>
      </c>
    </row>
    <row r="455" spans="1:22" ht="15.75" thickBot="1" x14ac:dyDescent="0.3">
      <c r="A455" s="288" t="s">
        <v>85</v>
      </c>
      <c r="B455" s="289">
        <f>_xlfn.XLOOKUP(Catalogo[[#This Row],[Finca]], Fincas[Nombre], Fincas[ID])</f>
        <v>38</v>
      </c>
      <c r="C455" s="288" t="s">
        <v>646</v>
      </c>
      <c r="D455" s="288" t="s">
        <v>826</v>
      </c>
      <c r="E455" s="288"/>
      <c r="F455" s="288" t="s">
        <v>503</v>
      </c>
      <c r="G455" s="288"/>
      <c r="H455" s="288"/>
      <c r="I455" s="317" t="s">
        <v>273</v>
      </c>
      <c r="J455" s="310"/>
      <c r="K455" s="289" t="s">
        <v>93</v>
      </c>
      <c r="L45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5" s="290" t="s">
        <v>387</v>
      </c>
      <c r="N455" s="290">
        <v>300</v>
      </c>
      <c r="O455" s="292">
        <v>0.26</v>
      </c>
      <c r="P455" s="291">
        <f>IFERROR(_xlfn.LET(_xlpm.boxType, K455, _xlpm.tallos, N455, _xlpm.cost, O455, _xlpm.precio, Q455,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55" s="297">
        <v>1.19</v>
      </c>
      <c r="R455" s="292" t="s">
        <v>285</v>
      </c>
      <c r="S45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5" s="292">
        <v>0.26</v>
      </c>
      <c r="U45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55" s="294">
        <v>0.69</v>
      </c>
    </row>
    <row r="456" spans="1:22" x14ac:dyDescent="0.25">
      <c r="A456" s="277" t="s">
        <v>85</v>
      </c>
      <c r="B456" s="278">
        <f>_xlfn.XLOOKUP(Catalogo[[#This Row],[Finca]], Fincas[Nombre], Fincas[ID])</f>
        <v>38</v>
      </c>
      <c r="C456" s="277" t="s">
        <v>646</v>
      </c>
      <c r="D456" s="277" t="s">
        <v>826</v>
      </c>
      <c r="E456" s="277"/>
      <c r="F456" s="277" t="s">
        <v>503</v>
      </c>
      <c r="G456" s="277"/>
      <c r="H456" s="277"/>
      <c r="I456" s="311" t="s">
        <v>274</v>
      </c>
      <c r="J456" s="309"/>
      <c r="K456" s="278" t="s">
        <v>31</v>
      </c>
      <c r="L4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6" s="279" t="s">
        <v>383</v>
      </c>
      <c r="N456" s="279">
        <v>50</v>
      </c>
      <c r="O456" s="276">
        <v>0.36</v>
      </c>
      <c r="P456" s="280">
        <f>IFERROR(_xlfn.LET(_xlpm.boxType, K456, _xlpm.tallos, N456, _xlpm.cost, O456, _xlpm.precio, Q456,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56" s="296">
        <v>1.49</v>
      </c>
      <c r="R456" s="276" t="s">
        <v>283</v>
      </c>
      <c r="S4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6" s="276">
        <v>0.36</v>
      </c>
      <c r="U45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56" s="274">
        <v>0.85</v>
      </c>
    </row>
    <row r="457" spans="1:22" x14ac:dyDescent="0.25">
      <c r="A457" s="277" t="s">
        <v>85</v>
      </c>
      <c r="B457" s="278">
        <f>_xlfn.XLOOKUP(Catalogo[[#This Row],[Finca]], Fincas[Nombre], Fincas[ID])</f>
        <v>38</v>
      </c>
      <c r="C457" s="277" t="s">
        <v>646</v>
      </c>
      <c r="D457" s="277" t="s">
        <v>826</v>
      </c>
      <c r="E457" s="277"/>
      <c r="F457" s="277" t="s">
        <v>503</v>
      </c>
      <c r="G457" s="277"/>
      <c r="H457" s="277"/>
      <c r="I457" s="311" t="s">
        <v>274</v>
      </c>
      <c r="J457" s="309"/>
      <c r="K457" s="278" t="s">
        <v>35</v>
      </c>
      <c r="L4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7" s="279" t="s">
        <v>385</v>
      </c>
      <c r="N457" s="279">
        <v>125</v>
      </c>
      <c r="O457" s="276">
        <v>0.36</v>
      </c>
      <c r="P457" s="280">
        <f>IFERROR(_xlfn.LET(_xlpm.boxType, K457, _xlpm.tallos, N457, _xlpm.cost, O457, _xlpm.precio, Q457,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57" s="296">
        <v>1.39</v>
      </c>
      <c r="R457" s="276" t="s">
        <v>284</v>
      </c>
      <c r="S4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7" s="276">
        <v>0.36</v>
      </c>
      <c r="U45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57" s="274">
        <v>0.79</v>
      </c>
    </row>
    <row r="458" spans="1:22" ht="15.75" thickBot="1" x14ac:dyDescent="0.3">
      <c r="A458" s="277" t="s">
        <v>85</v>
      </c>
      <c r="B458" s="278">
        <f>_xlfn.XLOOKUP(Catalogo[[#This Row],[Finca]], Fincas[Nombre], Fincas[ID])</f>
        <v>38</v>
      </c>
      <c r="C458" s="277" t="s">
        <v>646</v>
      </c>
      <c r="D458" s="277" t="s">
        <v>826</v>
      </c>
      <c r="E458" s="277"/>
      <c r="F458" s="277" t="s">
        <v>503</v>
      </c>
      <c r="G458" s="277"/>
      <c r="H458" s="277"/>
      <c r="I458" s="311" t="s">
        <v>274</v>
      </c>
      <c r="J458" s="309"/>
      <c r="K458" s="278" t="s">
        <v>93</v>
      </c>
      <c r="L45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8" s="279" t="s">
        <v>387</v>
      </c>
      <c r="N458" s="279">
        <v>250</v>
      </c>
      <c r="O458" s="276">
        <v>0.36</v>
      </c>
      <c r="P458" s="280">
        <f>IFERROR(_xlfn.LET(_xlpm.boxType, K458, _xlpm.tallos, N458, _xlpm.cost, O458, _xlpm.precio, Q458,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58" s="296">
        <v>1.39</v>
      </c>
      <c r="R458" s="276" t="s">
        <v>285</v>
      </c>
      <c r="S45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8" s="276">
        <v>0.36</v>
      </c>
      <c r="U45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58" s="274">
        <v>0.79</v>
      </c>
    </row>
    <row r="459" spans="1:22" x14ac:dyDescent="0.25">
      <c r="A459" s="281" t="s">
        <v>85</v>
      </c>
      <c r="B459" s="282">
        <f>_xlfn.XLOOKUP(Catalogo[[#This Row],[Finca]], Fincas[Nombre], Fincas[ID])</f>
        <v>38</v>
      </c>
      <c r="C459" s="281" t="s">
        <v>646</v>
      </c>
      <c r="D459" s="281" t="s">
        <v>826</v>
      </c>
      <c r="E459" s="281"/>
      <c r="F459" s="281" t="s">
        <v>503</v>
      </c>
      <c r="G459" s="281"/>
      <c r="H459" s="281"/>
      <c r="I459" s="316" t="s">
        <v>275</v>
      </c>
      <c r="J459" s="308"/>
      <c r="K459" s="282" t="s">
        <v>31</v>
      </c>
      <c r="L45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59" s="283" t="s">
        <v>383</v>
      </c>
      <c r="N459" s="283">
        <v>50</v>
      </c>
      <c r="O459" s="285">
        <v>0.42</v>
      </c>
      <c r="P459" s="284">
        <f>IFERROR(_xlfn.LET(_xlpm.boxType, K459, _xlpm.tallos, N459, _xlpm.cost, O459, _xlpm.precio, Q459,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59" s="295">
        <v>1.59</v>
      </c>
      <c r="R459" s="285" t="s">
        <v>283</v>
      </c>
      <c r="S45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59" s="285">
        <v>0.42</v>
      </c>
      <c r="U45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59" s="287">
        <v>0.99</v>
      </c>
    </row>
    <row r="460" spans="1:22" x14ac:dyDescent="0.25">
      <c r="A460" s="277" t="s">
        <v>85</v>
      </c>
      <c r="B460" s="278">
        <f>_xlfn.XLOOKUP(Catalogo[[#This Row],[Finca]], Fincas[Nombre], Fincas[ID])</f>
        <v>38</v>
      </c>
      <c r="C460" s="277" t="s">
        <v>646</v>
      </c>
      <c r="D460" s="277" t="s">
        <v>826</v>
      </c>
      <c r="E460" s="277"/>
      <c r="F460" s="277" t="s">
        <v>503</v>
      </c>
      <c r="G460" s="277"/>
      <c r="H460" s="277"/>
      <c r="I460" s="311" t="s">
        <v>275</v>
      </c>
      <c r="J460" s="309"/>
      <c r="K460" s="278" t="s">
        <v>35</v>
      </c>
      <c r="L46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0" s="279" t="s">
        <v>385</v>
      </c>
      <c r="N460" s="279">
        <v>100</v>
      </c>
      <c r="O460" s="276">
        <v>0.42</v>
      </c>
      <c r="P460" s="280">
        <f>IFERROR(_xlfn.LET(_xlpm.boxType, K460, _xlpm.tallos, N460, _xlpm.cost, O460, _xlpm.precio, Q460,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60" s="296">
        <v>1.59</v>
      </c>
      <c r="R460" s="276" t="s">
        <v>284</v>
      </c>
      <c r="S46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0" s="276">
        <v>0.42</v>
      </c>
      <c r="U46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60" s="274">
        <v>0.89</v>
      </c>
    </row>
    <row r="461" spans="1:22" ht="15.75" thickBot="1" x14ac:dyDescent="0.3">
      <c r="A461" s="288" t="s">
        <v>85</v>
      </c>
      <c r="B461" s="289">
        <f>_xlfn.XLOOKUP(Catalogo[[#This Row],[Finca]], Fincas[Nombre], Fincas[ID])</f>
        <v>38</v>
      </c>
      <c r="C461" s="288" t="s">
        <v>646</v>
      </c>
      <c r="D461" s="288" t="s">
        <v>826</v>
      </c>
      <c r="E461" s="288"/>
      <c r="F461" s="288" t="s">
        <v>503</v>
      </c>
      <c r="G461" s="288"/>
      <c r="H461" s="288"/>
      <c r="I461" s="317" t="s">
        <v>275</v>
      </c>
      <c r="J461" s="310"/>
      <c r="K461" s="289" t="s">
        <v>93</v>
      </c>
      <c r="L46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1" s="290" t="s">
        <v>387</v>
      </c>
      <c r="N461" s="290">
        <v>200</v>
      </c>
      <c r="O461" s="292">
        <v>0.42</v>
      </c>
      <c r="P461" s="291">
        <f>IFERROR(_xlfn.LET(_xlpm.boxType, K461, _xlpm.tallos, N461, _xlpm.cost, O461, _xlpm.precio, Q461,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61" s="297">
        <v>1.59</v>
      </c>
      <c r="R461" s="292" t="s">
        <v>285</v>
      </c>
      <c r="S46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1" s="292">
        <v>0.42</v>
      </c>
      <c r="U46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61" s="294">
        <v>0.89</v>
      </c>
    </row>
    <row r="462" spans="1:22" x14ac:dyDescent="0.25">
      <c r="A462" s="281" t="s">
        <v>85</v>
      </c>
      <c r="B462" s="282">
        <f>_xlfn.XLOOKUP(Catalogo[[#This Row],[Finca]], Fincas[Nombre], Fincas[ID])</f>
        <v>38</v>
      </c>
      <c r="C462" s="281" t="s">
        <v>646</v>
      </c>
      <c r="D462" s="281" t="s">
        <v>827</v>
      </c>
      <c r="E462" s="281"/>
      <c r="F462" s="281" t="s">
        <v>583</v>
      </c>
      <c r="G462" s="281"/>
      <c r="H462" s="281"/>
      <c r="I462" s="316" t="s">
        <v>273</v>
      </c>
      <c r="J462" s="308"/>
      <c r="K462" s="282" t="s">
        <v>31</v>
      </c>
      <c r="L46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2" s="283" t="s">
        <v>383</v>
      </c>
      <c r="N462" s="283">
        <v>50</v>
      </c>
      <c r="O462" s="285">
        <v>0.26</v>
      </c>
      <c r="P462" s="284">
        <f>IFERROR(_xlfn.LET(_xlpm.boxType, K462, _xlpm.tallos, N462, _xlpm.cost, O462, _xlpm.precio, Q462,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62" s="295">
        <v>1.29</v>
      </c>
      <c r="R462" s="285" t="s">
        <v>283</v>
      </c>
      <c r="S46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2" s="285">
        <v>0.26</v>
      </c>
      <c r="U46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62" s="287">
        <v>0.75</v>
      </c>
    </row>
    <row r="463" spans="1:22" x14ac:dyDescent="0.25">
      <c r="A463" s="277" t="s">
        <v>85</v>
      </c>
      <c r="B463" s="278">
        <f>_xlfn.XLOOKUP(Catalogo[[#This Row],[Finca]], Fincas[Nombre], Fincas[ID])</f>
        <v>38</v>
      </c>
      <c r="C463" s="277" t="s">
        <v>646</v>
      </c>
      <c r="D463" s="277" t="s">
        <v>827</v>
      </c>
      <c r="E463" s="277"/>
      <c r="F463" s="277" t="s">
        <v>583</v>
      </c>
      <c r="G463" s="277"/>
      <c r="H463" s="277"/>
      <c r="I463" s="311" t="s">
        <v>273</v>
      </c>
      <c r="J463" s="309"/>
      <c r="K463" s="278" t="s">
        <v>35</v>
      </c>
      <c r="L46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3" s="279" t="s">
        <v>385</v>
      </c>
      <c r="N463" s="279">
        <v>150</v>
      </c>
      <c r="O463" s="276">
        <v>0.26</v>
      </c>
      <c r="P463" s="280">
        <f>IFERROR(_xlfn.LET(_xlpm.boxType, K463, _xlpm.tallos, N463, _xlpm.cost, O463, _xlpm.precio, Q463,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63" s="296">
        <v>1.19</v>
      </c>
      <c r="R463" s="276" t="s">
        <v>284</v>
      </c>
      <c r="S46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3" s="276">
        <v>0.26</v>
      </c>
      <c r="U46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63" s="274">
        <v>0.69</v>
      </c>
    </row>
    <row r="464" spans="1:22" ht="15.75" thickBot="1" x14ac:dyDescent="0.3">
      <c r="A464" s="288" t="s">
        <v>85</v>
      </c>
      <c r="B464" s="289">
        <f>_xlfn.XLOOKUP(Catalogo[[#This Row],[Finca]], Fincas[Nombre], Fincas[ID])</f>
        <v>38</v>
      </c>
      <c r="C464" s="288" t="s">
        <v>646</v>
      </c>
      <c r="D464" s="288" t="s">
        <v>827</v>
      </c>
      <c r="E464" s="288"/>
      <c r="F464" s="288" t="s">
        <v>583</v>
      </c>
      <c r="G464" s="288"/>
      <c r="H464" s="288"/>
      <c r="I464" s="317" t="s">
        <v>273</v>
      </c>
      <c r="J464" s="310"/>
      <c r="K464" s="289" t="s">
        <v>93</v>
      </c>
      <c r="L46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4" s="290" t="s">
        <v>387</v>
      </c>
      <c r="N464" s="290">
        <v>300</v>
      </c>
      <c r="O464" s="292">
        <v>0.26</v>
      </c>
      <c r="P464" s="291">
        <f>IFERROR(_xlfn.LET(_xlpm.boxType, K464, _xlpm.tallos, N464, _xlpm.cost, O464, _xlpm.precio, Q464,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64" s="297">
        <v>1.19</v>
      </c>
      <c r="R464" s="292" t="s">
        <v>285</v>
      </c>
      <c r="S46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4" s="292">
        <v>0.26</v>
      </c>
      <c r="U46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64" s="294">
        <v>0.69</v>
      </c>
    </row>
    <row r="465" spans="1:22" x14ac:dyDescent="0.25">
      <c r="A465" s="277" t="s">
        <v>85</v>
      </c>
      <c r="B465" s="278">
        <f>_xlfn.XLOOKUP(Catalogo[[#This Row],[Finca]], Fincas[Nombre], Fincas[ID])</f>
        <v>38</v>
      </c>
      <c r="C465" s="277" t="s">
        <v>646</v>
      </c>
      <c r="D465" s="277" t="s">
        <v>827</v>
      </c>
      <c r="E465" s="277"/>
      <c r="F465" s="277" t="s">
        <v>583</v>
      </c>
      <c r="G465" s="277"/>
      <c r="H465" s="277"/>
      <c r="I465" s="311" t="s">
        <v>274</v>
      </c>
      <c r="J465" s="309"/>
      <c r="K465" s="278" t="s">
        <v>31</v>
      </c>
      <c r="L4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5" s="279" t="s">
        <v>383</v>
      </c>
      <c r="N465" s="279">
        <v>50</v>
      </c>
      <c r="O465" s="276">
        <v>0.36</v>
      </c>
      <c r="P465" s="280">
        <f>IFERROR(_xlfn.LET(_xlpm.boxType, K465, _xlpm.tallos, N465, _xlpm.cost, O465, _xlpm.precio, Q465,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65" s="296">
        <v>1.49</v>
      </c>
      <c r="R465" s="276" t="s">
        <v>283</v>
      </c>
      <c r="S4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5" s="276">
        <v>0.36</v>
      </c>
      <c r="U46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65" s="274">
        <v>0.85</v>
      </c>
    </row>
    <row r="466" spans="1:22" x14ac:dyDescent="0.25">
      <c r="A466" s="277" t="s">
        <v>85</v>
      </c>
      <c r="B466" s="278">
        <f>_xlfn.XLOOKUP(Catalogo[[#This Row],[Finca]], Fincas[Nombre], Fincas[ID])</f>
        <v>38</v>
      </c>
      <c r="C466" s="277" t="s">
        <v>646</v>
      </c>
      <c r="D466" s="277" t="s">
        <v>827</v>
      </c>
      <c r="E466" s="277"/>
      <c r="F466" s="277" t="s">
        <v>583</v>
      </c>
      <c r="G466" s="277"/>
      <c r="H466" s="277"/>
      <c r="I466" s="311" t="s">
        <v>274</v>
      </c>
      <c r="J466" s="309"/>
      <c r="K466" s="278" t="s">
        <v>35</v>
      </c>
      <c r="L46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6" s="279" t="s">
        <v>385</v>
      </c>
      <c r="N466" s="279">
        <v>125</v>
      </c>
      <c r="O466" s="276">
        <v>0.36</v>
      </c>
      <c r="P466" s="280">
        <f>IFERROR(_xlfn.LET(_xlpm.boxType, K466, _xlpm.tallos, N466, _xlpm.cost, O466, _xlpm.precio, Q466,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66" s="296">
        <v>1.39</v>
      </c>
      <c r="R466" s="276" t="s">
        <v>284</v>
      </c>
      <c r="S46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6" s="276">
        <v>0.36</v>
      </c>
      <c r="U46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66" s="274">
        <v>0.79</v>
      </c>
    </row>
    <row r="467" spans="1:22" ht="15.75" thickBot="1" x14ac:dyDescent="0.3">
      <c r="A467" s="277" t="s">
        <v>85</v>
      </c>
      <c r="B467" s="278">
        <f>_xlfn.XLOOKUP(Catalogo[[#This Row],[Finca]], Fincas[Nombre], Fincas[ID])</f>
        <v>38</v>
      </c>
      <c r="C467" s="277" t="s">
        <v>646</v>
      </c>
      <c r="D467" s="277" t="s">
        <v>827</v>
      </c>
      <c r="E467" s="277"/>
      <c r="F467" s="277" t="s">
        <v>583</v>
      </c>
      <c r="G467" s="277"/>
      <c r="H467" s="277"/>
      <c r="I467" s="311" t="s">
        <v>274</v>
      </c>
      <c r="J467" s="309"/>
      <c r="K467" s="278" t="s">
        <v>93</v>
      </c>
      <c r="L4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7" s="279" t="s">
        <v>387</v>
      </c>
      <c r="N467" s="279">
        <v>250</v>
      </c>
      <c r="O467" s="276">
        <v>0.36</v>
      </c>
      <c r="P467" s="280">
        <f>IFERROR(_xlfn.LET(_xlpm.boxType, K467, _xlpm.tallos, N467, _xlpm.cost, O467, _xlpm.precio, Q467,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67" s="296">
        <v>1.39</v>
      </c>
      <c r="R467" s="276" t="s">
        <v>285</v>
      </c>
      <c r="S4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7" s="276">
        <v>0.36</v>
      </c>
      <c r="U46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67" s="274">
        <v>0.79</v>
      </c>
    </row>
    <row r="468" spans="1:22" x14ac:dyDescent="0.25">
      <c r="A468" s="281" t="s">
        <v>85</v>
      </c>
      <c r="B468" s="282">
        <f>_xlfn.XLOOKUP(Catalogo[[#This Row],[Finca]], Fincas[Nombre], Fincas[ID])</f>
        <v>38</v>
      </c>
      <c r="C468" s="281" t="s">
        <v>646</v>
      </c>
      <c r="D468" s="281" t="s">
        <v>827</v>
      </c>
      <c r="E468" s="281"/>
      <c r="F468" s="281" t="s">
        <v>583</v>
      </c>
      <c r="G468" s="281"/>
      <c r="H468" s="281"/>
      <c r="I468" s="316" t="s">
        <v>275</v>
      </c>
      <c r="J468" s="308"/>
      <c r="K468" s="282" t="s">
        <v>31</v>
      </c>
      <c r="L46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8" s="283" t="s">
        <v>383</v>
      </c>
      <c r="N468" s="283">
        <v>50</v>
      </c>
      <c r="O468" s="285">
        <v>0.42</v>
      </c>
      <c r="P468" s="284">
        <f>IFERROR(_xlfn.LET(_xlpm.boxType, K468, _xlpm.tallos, N468, _xlpm.cost, O468, _xlpm.precio, Q468,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68" s="295">
        <v>1.59</v>
      </c>
      <c r="R468" s="285" t="s">
        <v>283</v>
      </c>
      <c r="S46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8" s="285">
        <v>0.42</v>
      </c>
      <c r="U46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68" s="287">
        <v>0.99</v>
      </c>
    </row>
    <row r="469" spans="1:22" x14ac:dyDescent="0.25">
      <c r="A469" s="277" t="s">
        <v>85</v>
      </c>
      <c r="B469" s="278">
        <f>_xlfn.XLOOKUP(Catalogo[[#This Row],[Finca]], Fincas[Nombre], Fincas[ID])</f>
        <v>38</v>
      </c>
      <c r="C469" s="277" t="s">
        <v>646</v>
      </c>
      <c r="D469" s="277" t="s">
        <v>827</v>
      </c>
      <c r="E469" s="277"/>
      <c r="F469" s="277" t="s">
        <v>583</v>
      </c>
      <c r="G469" s="277"/>
      <c r="H469" s="277"/>
      <c r="I469" s="311" t="s">
        <v>275</v>
      </c>
      <c r="J469" s="309"/>
      <c r="K469" s="278" t="s">
        <v>35</v>
      </c>
      <c r="L46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69" s="279" t="s">
        <v>385</v>
      </c>
      <c r="N469" s="279">
        <v>100</v>
      </c>
      <c r="O469" s="276">
        <v>0.42</v>
      </c>
      <c r="P469" s="280">
        <f>IFERROR(_xlfn.LET(_xlpm.boxType, K469, _xlpm.tallos, N469, _xlpm.cost, O469, _xlpm.precio, Q469,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69" s="296">
        <v>1.59</v>
      </c>
      <c r="R469" s="276" t="s">
        <v>284</v>
      </c>
      <c r="S46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69" s="276">
        <v>0.42</v>
      </c>
      <c r="U46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69" s="274">
        <v>0.89</v>
      </c>
    </row>
    <row r="470" spans="1:22" ht="15.75" thickBot="1" x14ac:dyDescent="0.3">
      <c r="A470" s="288" t="s">
        <v>85</v>
      </c>
      <c r="B470" s="289">
        <f>_xlfn.XLOOKUP(Catalogo[[#This Row],[Finca]], Fincas[Nombre], Fincas[ID])</f>
        <v>38</v>
      </c>
      <c r="C470" s="288" t="s">
        <v>646</v>
      </c>
      <c r="D470" s="288" t="s">
        <v>827</v>
      </c>
      <c r="E470" s="288"/>
      <c r="F470" s="288" t="s">
        <v>583</v>
      </c>
      <c r="G470" s="288"/>
      <c r="H470" s="288"/>
      <c r="I470" s="317" t="s">
        <v>275</v>
      </c>
      <c r="J470" s="310"/>
      <c r="K470" s="289" t="s">
        <v>93</v>
      </c>
      <c r="L47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0" s="290" t="s">
        <v>387</v>
      </c>
      <c r="N470" s="290">
        <v>200</v>
      </c>
      <c r="O470" s="292">
        <v>0.42</v>
      </c>
      <c r="P470" s="291">
        <f>IFERROR(_xlfn.LET(_xlpm.boxType, K470, _xlpm.tallos, N470, _xlpm.cost, O470, _xlpm.precio, Q470,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70" s="297">
        <v>1.59</v>
      </c>
      <c r="R470" s="292" t="s">
        <v>285</v>
      </c>
      <c r="S47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0" s="292">
        <v>0.42</v>
      </c>
      <c r="U47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70" s="294">
        <v>0.89</v>
      </c>
    </row>
    <row r="471" spans="1:22" x14ac:dyDescent="0.25">
      <c r="A471" s="281" t="s">
        <v>85</v>
      </c>
      <c r="B471" s="282">
        <f>_xlfn.XLOOKUP(Catalogo[[#This Row],[Finca]], Fincas[Nombre], Fincas[ID])</f>
        <v>38</v>
      </c>
      <c r="C471" s="281" t="s">
        <v>646</v>
      </c>
      <c r="D471" s="281" t="s">
        <v>828</v>
      </c>
      <c r="E471" s="281"/>
      <c r="F471" s="281" t="s">
        <v>503</v>
      </c>
      <c r="G471" s="281"/>
      <c r="H471" s="281"/>
      <c r="I471" s="316" t="s">
        <v>273</v>
      </c>
      <c r="J471" s="308"/>
      <c r="K471" s="282" t="s">
        <v>31</v>
      </c>
      <c r="L47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1" s="283" t="s">
        <v>383</v>
      </c>
      <c r="N471" s="283">
        <v>50</v>
      </c>
      <c r="O471" s="285">
        <v>0.26</v>
      </c>
      <c r="P471" s="284">
        <f>IFERROR(_xlfn.LET(_xlpm.boxType, K471, _xlpm.tallos, N471, _xlpm.cost, O471, _xlpm.precio, Q471,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71" s="295">
        <v>1.29</v>
      </c>
      <c r="R471" s="285" t="s">
        <v>283</v>
      </c>
      <c r="S47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1" s="285">
        <v>0.26</v>
      </c>
      <c r="U47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71" s="287">
        <v>0.75</v>
      </c>
    </row>
    <row r="472" spans="1:22" x14ac:dyDescent="0.25">
      <c r="A472" s="277" t="s">
        <v>85</v>
      </c>
      <c r="B472" s="278">
        <f>_xlfn.XLOOKUP(Catalogo[[#This Row],[Finca]], Fincas[Nombre], Fincas[ID])</f>
        <v>38</v>
      </c>
      <c r="C472" s="277" t="s">
        <v>646</v>
      </c>
      <c r="D472" s="277" t="s">
        <v>828</v>
      </c>
      <c r="E472" s="277"/>
      <c r="F472" s="277" t="s">
        <v>503</v>
      </c>
      <c r="G472" s="277"/>
      <c r="H472" s="277"/>
      <c r="I472" s="311" t="s">
        <v>273</v>
      </c>
      <c r="J472" s="309"/>
      <c r="K472" s="278" t="s">
        <v>35</v>
      </c>
      <c r="L47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2" s="279" t="s">
        <v>385</v>
      </c>
      <c r="N472" s="279">
        <v>150</v>
      </c>
      <c r="O472" s="276">
        <v>0.26</v>
      </c>
      <c r="P472" s="280">
        <f>IFERROR(_xlfn.LET(_xlpm.boxType, K472, _xlpm.tallos, N472, _xlpm.cost, O472, _xlpm.precio, Q472,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72" s="296">
        <v>1.19</v>
      </c>
      <c r="R472" s="276" t="s">
        <v>284</v>
      </c>
      <c r="S47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2" s="276">
        <v>0.26</v>
      </c>
      <c r="U47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72" s="274">
        <v>0.69</v>
      </c>
    </row>
    <row r="473" spans="1:22" ht="15.75" thickBot="1" x14ac:dyDescent="0.3">
      <c r="A473" s="288" t="s">
        <v>85</v>
      </c>
      <c r="B473" s="289">
        <f>_xlfn.XLOOKUP(Catalogo[[#This Row],[Finca]], Fincas[Nombre], Fincas[ID])</f>
        <v>38</v>
      </c>
      <c r="C473" s="288" t="s">
        <v>646</v>
      </c>
      <c r="D473" s="288" t="s">
        <v>828</v>
      </c>
      <c r="E473" s="288"/>
      <c r="F473" s="288" t="s">
        <v>503</v>
      </c>
      <c r="G473" s="288"/>
      <c r="H473" s="288"/>
      <c r="I473" s="317" t="s">
        <v>273</v>
      </c>
      <c r="J473" s="310"/>
      <c r="K473" s="289" t="s">
        <v>93</v>
      </c>
      <c r="L47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3" s="290" t="s">
        <v>387</v>
      </c>
      <c r="N473" s="290">
        <v>300</v>
      </c>
      <c r="O473" s="292">
        <v>0.26</v>
      </c>
      <c r="P473" s="291">
        <f>IFERROR(_xlfn.LET(_xlpm.boxType, K473, _xlpm.tallos, N473, _xlpm.cost, O473, _xlpm.precio, Q473,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73" s="297">
        <v>1.19</v>
      </c>
      <c r="R473" s="292" t="s">
        <v>285</v>
      </c>
      <c r="S47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3" s="292">
        <v>0.26</v>
      </c>
      <c r="U47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73" s="294">
        <v>0.69</v>
      </c>
    </row>
    <row r="474" spans="1:22" x14ac:dyDescent="0.25">
      <c r="A474" s="277" t="s">
        <v>85</v>
      </c>
      <c r="B474" s="278">
        <f>_xlfn.XLOOKUP(Catalogo[[#This Row],[Finca]], Fincas[Nombre], Fincas[ID])</f>
        <v>38</v>
      </c>
      <c r="C474" s="277" t="s">
        <v>646</v>
      </c>
      <c r="D474" s="277" t="s">
        <v>828</v>
      </c>
      <c r="E474" s="277"/>
      <c r="F474" s="277" t="s">
        <v>503</v>
      </c>
      <c r="G474" s="277"/>
      <c r="H474" s="277"/>
      <c r="I474" s="311" t="s">
        <v>274</v>
      </c>
      <c r="J474" s="309"/>
      <c r="K474" s="278" t="s">
        <v>31</v>
      </c>
      <c r="L47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4" s="279" t="s">
        <v>383</v>
      </c>
      <c r="N474" s="279">
        <v>50</v>
      </c>
      <c r="O474" s="276">
        <v>0.36</v>
      </c>
      <c r="P474" s="280">
        <f>IFERROR(_xlfn.LET(_xlpm.boxType, K474, _xlpm.tallos, N474, _xlpm.cost, O474, _xlpm.precio, Q474,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74" s="296">
        <v>1.49</v>
      </c>
      <c r="R474" s="276" t="s">
        <v>283</v>
      </c>
      <c r="S47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4" s="276">
        <v>0.36</v>
      </c>
      <c r="U47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74" s="274">
        <v>0.85</v>
      </c>
    </row>
    <row r="475" spans="1:22" x14ac:dyDescent="0.25">
      <c r="A475" s="277" t="s">
        <v>85</v>
      </c>
      <c r="B475" s="278">
        <f>_xlfn.XLOOKUP(Catalogo[[#This Row],[Finca]], Fincas[Nombre], Fincas[ID])</f>
        <v>38</v>
      </c>
      <c r="C475" s="277" t="s">
        <v>646</v>
      </c>
      <c r="D475" s="277" t="s">
        <v>828</v>
      </c>
      <c r="E475" s="277"/>
      <c r="F475" s="277" t="s">
        <v>503</v>
      </c>
      <c r="G475" s="277"/>
      <c r="H475" s="277"/>
      <c r="I475" s="311" t="s">
        <v>274</v>
      </c>
      <c r="J475" s="309"/>
      <c r="K475" s="278" t="s">
        <v>35</v>
      </c>
      <c r="L4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5" s="279" t="s">
        <v>385</v>
      </c>
      <c r="N475" s="279">
        <v>125</v>
      </c>
      <c r="O475" s="276">
        <v>0.36</v>
      </c>
      <c r="P475" s="280">
        <f>IFERROR(_xlfn.LET(_xlpm.boxType, K475, _xlpm.tallos, N475, _xlpm.cost, O475, _xlpm.precio, Q475,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75" s="296">
        <v>1.39</v>
      </c>
      <c r="R475" s="276" t="s">
        <v>284</v>
      </c>
      <c r="S4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5" s="276">
        <v>0.36</v>
      </c>
      <c r="U47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75" s="274">
        <v>0.79</v>
      </c>
    </row>
    <row r="476" spans="1:22" ht="15.75" thickBot="1" x14ac:dyDescent="0.3">
      <c r="A476" s="277" t="s">
        <v>85</v>
      </c>
      <c r="B476" s="278">
        <f>_xlfn.XLOOKUP(Catalogo[[#This Row],[Finca]], Fincas[Nombre], Fincas[ID])</f>
        <v>38</v>
      </c>
      <c r="C476" s="277" t="s">
        <v>646</v>
      </c>
      <c r="D476" s="277" t="s">
        <v>828</v>
      </c>
      <c r="E476" s="277"/>
      <c r="F476" s="277" t="s">
        <v>503</v>
      </c>
      <c r="G476" s="277"/>
      <c r="H476" s="277"/>
      <c r="I476" s="311" t="s">
        <v>274</v>
      </c>
      <c r="J476" s="309"/>
      <c r="K476" s="278" t="s">
        <v>93</v>
      </c>
      <c r="L47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6" s="279" t="s">
        <v>387</v>
      </c>
      <c r="N476" s="279">
        <v>250</v>
      </c>
      <c r="O476" s="276">
        <v>0.36</v>
      </c>
      <c r="P476" s="280">
        <f>IFERROR(_xlfn.LET(_xlpm.boxType, K476, _xlpm.tallos, N476, _xlpm.cost, O476, _xlpm.precio, Q476,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76" s="296">
        <v>1.39</v>
      </c>
      <c r="R476" s="276" t="s">
        <v>285</v>
      </c>
      <c r="S47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6" s="276">
        <v>0.36</v>
      </c>
      <c r="U47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76" s="274">
        <v>0.79</v>
      </c>
    </row>
    <row r="477" spans="1:22" x14ac:dyDescent="0.25">
      <c r="A477" s="281" t="s">
        <v>85</v>
      </c>
      <c r="B477" s="282">
        <f>_xlfn.XLOOKUP(Catalogo[[#This Row],[Finca]], Fincas[Nombre], Fincas[ID])</f>
        <v>38</v>
      </c>
      <c r="C477" s="281" t="s">
        <v>646</v>
      </c>
      <c r="D477" s="281" t="s">
        <v>828</v>
      </c>
      <c r="E477" s="281"/>
      <c r="F477" s="281" t="s">
        <v>503</v>
      </c>
      <c r="G477" s="281"/>
      <c r="H477" s="281"/>
      <c r="I477" s="316" t="s">
        <v>275</v>
      </c>
      <c r="J477" s="308"/>
      <c r="K477" s="282" t="s">
        <v>31</v>
      </c>
      <c r="L47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7" s="283" t="s">
        <v>383</v>
      </c>
      <c r="N477" s="283">
        <v>50</v>
      </c>
      <c r="O477" s="285">
        <v>0.42</v>
      </c>
      <c r="P477" s="284">
        <f>IFERROR(_xlfn.LET(_xlpm.boxType, K477, _xlpm.tallos, N477, _xlpm.cost, O477, _xlpm.precio, Q477,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77" s="295">
        <v>1.59</v>
      </c>
      <c r="R477" s="285" t="s">
        <v>283</v>
      </c>
      <c r="S47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7" s="285">
        <v>0.42</v>
      </c>
      <c r="U47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77" s="287">
        <v>0.99</v>
      </c>
    </row>
    <row r="478" spans="1:22" x14ac:dyDescent="0.25">
      <c r="A478" s="277" t="s">
        <v>85</v>
      </c>
      <c r="B478" s="278">
        <f>_xlfn.XLOOKUP(Catalogo[[#This Row],[Finca]], Fincas[Nombre], Fincas[ID])</f>
        <v>38</v>
      </c>
      <c r="C478" s="277" t="s">
        <v>646</v>
      </c>
      <c r="D478" s="277" t="s">
        <v>828</v>
      </c>
      <c r="E478" s="277"/>
      <c r="F478" s="277" t="s">
        <v>503</v>
      </c>
      <c r="G478" s="277"/>
      <c r="H478" s="277"/>
      <c r="I478" s="311" t="s">
        <v>275</v>
      </c>
      <c r="J478" s="309"/>
      <c r="K478" s="278" t="s">
        <v>35</v>
      </c>
      <c r="L47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8" s="279" t="s">
        <v>385</v>
      </c>
      <c r="N478" s="279">
        <v>100</v>
      </c>
      <c r="O478" s="276">
        <v>0.42</v>
      </c>
      <c r="P478" s="280">
        <f>IFERROR(_xlfn.LET(_xlpm.boxType, K478, _xlpm.tallos, N478, _xlpm.cost, O478, _xlpm.precio, Q478,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78" s="296">
        <v>1.59</v>
      </c>
      <c r="R478" s="276" t="s">
        <v>284</v>
      </c>
      <c r="S47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8" s="276">
        <v>0.42</v>
      </c>
      <c r="U47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78" s="274">
        <v>0.89</v>
      </c>
    </row>
    <row r="479" spans="1:22" ht="15.75" thickBot="1" x14ac:dyDescent="0.3">
      <c r="A479" s="288" t="s">
        <v>85</v>
      </c>
      <c r="B479" s="289">
        <f>_xlfn.XLOOKUP(Catalogo[[#This Row],[Finca]], Fincas[Nombre], Fincas[ID])</f>
        <v>38</v>
      </c>
      <c r="C479" s="288" t="s">
        <v>646</v>
      </c>
      <c r="D479" s="288" t="s">
        <v>828</v>
      </c>
      <c r="E479" s="288"/>
      <c r="F479" s="288" t="s">
        <v>503</v>
      </c>
      <c r="G479" s="288"/>
      <c r="H479" s="288"/>
      <c r="I479" s="317" t="s">
        <v>275</v>
      </c>
      <c r="J479" s="310"/>
      <c r="K479" s="289" t="s">
        <v>93</v>
      </c>
      <c r="L47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79" s="290" t="s">
        <v>387</v>
      </c>
      <c r="N479" s="290">
        <v>200</v>
      </c>
      <c r="O479" s="292">
        <v>0.42</v>
      </c>
      <c r="P479" s="291">
        <f>IFERROR(_xlfn.LET(_xlpm.boxType, K479, _xlpm.tallos, N479, _xlpm.cost, O479, _xlpm.precio, Q479,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79" s="297">
        <v>1.59</v>
      </c>
      <c r="R479" s="292" t="s">
        <v>285</v>
      </c>
      <c r="S47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79" s="292">
        <v>0.42</v>
      </c>
      <c r="U47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79" s="294">
        <v>0.89</v>
      </c>
    </row>
    <row r="480" spans="1:22" x14ac:dyDescent="0.25">
      <c r="A480" s="281" t="s">
        <v>85</v>
      </c>
      <c r="B480" s="282">
        <f>_xlfn.XLOOKUP(Catalogo[[#This Row],[Finca]], Fincas[Nombre], Fincas[ID])</f>
        <v>38</v>
      </c>
      <c r="C480" s="281" t="s">
        <v>646</v>
      </c>
      <c r="D480" s="281" t="s">
        <v>829</v>
      </c>
      <c r="E480" s="281"/>
      <c r="F480" s="281" t="s">
        <v>570</v>
      </c>
      <c r="G480" s="281"/>
      <c r="H480" s="281"/>
      <c r="I480" s="316" t="s">
        <v>273</v>
      </c>
      <c r="J480" s="308"/>
      <c r="K480" s="282" t="s">
        <v>31</v>
      </c>
      <c r="L48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0" s="283" t="s">
        <v>383</v>
      </c>
      <c r="N480" s="283">
        <v>50</v>
      </c>
      <c r="O480" s="285">
        <v>0.26</v>
      </c>
      <c r="P480" s="284">
        <f>IFERROR(_xlfn.LET(_xlpm.boxType, K480, _xlpm.tallos, N480, _xlpm.cost, O480, _xlpm.precio, Q480,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80" s="295">
        <v>1.29</v>
      </c>
      <c r="R480" s="285" t="s">
        <v>283</v>
      </c>
      <c r="S48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0" s="285">
        <v>0.26</v>
      </c>
      <c r="U48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80" s="287">
        <v>0.75</v>
      </c>
    </row>
    <row r="481" spans="1:22" x14ac:dyDescent="0.25">
      <c r="A481" s="277" t="s">
        <v>85</v>
      </c>
      <c r="B481" s="278">
        <f>_xlfn.XLOOKUP(Catalogo[[#This Row],[Finca]], Fincas[Nombre], Fincas[ID])</f>
        <v>38</v>
      </c>
      <c r="C481" s="277" t="s">
        <v>646</v>
      </c>
      <c r="D481" s="277" t="s">
        <v>829</v>
      </c>
      <c r="E481" s="277"/>
      <c r="F481" s="277" t="s">
        <v>570</v>
      </c>
      <c r="G481" s="277"/>
      <c r="H481" s="277"/>
      <c r="I481" s="311" t="s">
        <v>273</v>
      </c>
      <c r="J481" s="309"/>
      <c r="K481" s="278" t="s">
        <v>35</v>
      </c>
      <c r="L48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1" s="279" t="s">
        <v>385</v>
      </c>
      <c r="N481" s="279">
        <v>150</v>
      </c>
      <c r="O481" s="276">
        <v>0.26</v>
      </c>
      <c r="P481" s="280">
        <f>IFERROR(_xlfn.LET(_xlpm.boxType, K481, _xlpm.tallos, N481, _xlpm.cost, O481, _xlpm.precio, Q481,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81" s="296">
        <v>1.19</v>
      </c>
      <c r="R481" s="276" t="s">
        <v>284</v>
      </c>
      <c r="S48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1" s="276">
        <v>0.26</v>
      </c>
      <c r="U48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81" s="274">
        <v>0.69</v>
      </c>
    </row>
    <row r="482" spans="1:22" ht="15.75" thickBot="1" x14ac:dyDescent="0.3">
      <c r="A482" s="288" t="s">
        <v>85</v>
      </c>
      <c r="B482" s="289">
        <f>_xlfn.XLOOKUP(Catalogo[[#This Row],[Finca]], Fincas[Nombre], Fincas[ID])</f>
        <v>38</v>
      </c>
      <c r="C482" s="288" t="s">
        <v>646</v>
      </c>
      <c r="D482" s="288" t="s">
        <v>829</v>
      </c>
      <c r="E482" s="288"/>
      <c r="F482" s="288" t="s">
        <v>570</v>
      </c>
      <c r="G482" s="288"/>
      <c r="H482" s="288"/>
      <c r="I482" s="317" t="s">
        <v>273</v>
      </c>
      <c r="J482" s="310"/>
      <c r="K482" s="289" t="s">
        <v>93</v>
      </c>
      <c r="L48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2" s="290" t="s">
        <v>387</v>
      </c>
      <c r="N482" s="290">
        <v>300</v>
      </c>
      <c r="O482" s="292">
        <v>0.26</v>
      </c>
      <c r="P482" s="291">
        <f>IFERROR(_xlfn.LET(_xlpm.boxType, K482, _xlpm.tallos, N482, _xlpm.cost, O482, _xlpm.precio, Q482,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82" s="297">
        <v>1.19</v>
      </c>
      <c r="R482" s="292" t="s">
        <v>285</v>
      </c>
      <c r="S48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2" s="292">
        <v>0.26</v>
      </c>
      <c r="U48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82" s="294">
        <v>0.69</v>
      </c>
    </row>
    <row r="483" spans="1:22" x14ac:dyDescent="0.25">
      <c r="A483" s="277" t="s">
        <v>85</v>
      </c>
      <c r="B483" s="278">
        <f>_xlfn.XLOOKUP(Catalogo[[#This Row],[Finca]], Fincas[Nombre], Fincas[ID])</f>
        <v>38</v>
      </c>
      <c r="C483" s="277" t="s">
        <v>646</v>
      </c>
      <c r="D483" s="277" t="s">
        <v>829</v>
      </c>
      <c r="E483" s="277"/>
      <c r="F483" s="277" t="s">
        <v>570</v>
      </c>
      <c r="G483" s="277"/>
      <c r="H483" s="277"/>
      <c r="I483" s="311" t="s">
        <v>274</v>
      </c>
      <c r="J483" s="309"/>
      <c r="K483" s="278" t="s">
        <v>31</v>
      </c>
      <c r="L48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3" s="279" t="s">
        <v>383</v>
      </c>
      <c r="N483" s="279">
        <v>50</v>
      </c>
      <c r="O483" s="276">
        <v>0.36</v>
      </c>
      <c r="P483" s="280">
        <f>IFERROR(_xlfn.LET(_xlpm.boxType, K483, _xlpm.tallos, N483, _xlpm.cost, O483, _xlpm.precio, Q483,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83" s="296">
        <v>1.49</v>
      </c>
      <c r="R483" s="276" t="s">
        <v>283</v>
      </c>
      <c r="S48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3" s="276">
        <v>0.36</v>
      </c>
      <c r="U48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83" s="274">
        <v>0.85</v>
      </c>
    </row>
    <row r="484" spans="1:22" x14ac:dyDescent="0.25">
      <c r="A484" s="277" t="s">
        <v>85</v>
      </c>
      <c r="B484" s="278">
        <f>_xlfn.XLOOKUP(Catalogo[[#This Row],[Finca]], Fincas[Nombre], Fincas[ID])</f>
        <v>38</v>
      </c>
      <c r="C484" s="277" t="s">
        <v>646</v>
      </c>
      <c r="D484" s="277" t="s">
        <v>829</v>
      </c>
      <c r="E484" s="277"/>
      <c r="F484" s="277" t="s">
        <v>570</v>
      </c>
      <c r="G484" s="277"/>
      <c r="H484" s="277"/>
      <c r="I484" s="311" t="s">
        <v>274</v>
      </c>
      <c r="J484" s="309"/>
      <c r="K484" s="278" t="s">
        <v>35</v>
      </c>
      <c r="L48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4" s="279" t="s">
        <v>385</v>
      </c>
      <c r="N484" s="279">
        <v>125</v>
      </c>
      <c r="O484" s="276">
        <v>0.36</v>
      </c>
      <c r="P484" s="280">
        <f>IFERROR(_xlfn.LET(_xlpm.boxType, K484, _xlpm.tallos, N484, _xlpm.cost, O484, _xlpm.precio, Q484,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84" s="296">
        <v>1.39</v>
      </c>
      <c r="R484" s="276" t="s">
        <v>284</v>
      </c>
      <c r="S48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4" s="276">
        <v>0.36</v>
      </c>
      <c r="U48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84" s="274">
        <v>0.79</v>
      </c>
    </row>
    <row r="485" spans="1:22" ht="15.75" thickBot="1" x14ac:dyDescent="0.3">
      <c r="A485" s="277" t="s">
        <v>85</v>
      </c>
      <c r="B485" s="278">
        <f>_xlfn.XLOOKUP(Catalogo[[#This Row],[Finca]], Fincas[Nombre], Fincas[ID])</f>
        <v>38</v>
      </c>
      <c r="C485" s="277" t="s">
        <v>646</v>
      </c>
      <c r="D485" s="277" t="s">
        <v>829</v>
      </c>
      <c r="E485" s="277"/>
      <c r="F485" s="277" t="s">
        <v>570</v>
      </c>
      <c r="G485" s="277"/>
      <c r="H485" s="277"/>
      <c r="I485" s="311" t="s">
        <v>274</v>
      </c>
      <c r="J485" s="309"/>
      <c r="K485" s="278" t="s">
        <v>93</v>
      </c>
      <c r="L48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5" s="279" t="s">
        <v>387</v>
      </c>
      <c r="N485" s="279">
        <v>250</v>
      </c>
      <c r="O485" s="276">
        <v>0.36</v>
      </c>
      <c r="P485" s="280">
        <f>IFERROR(_xlfn.LET(_xlpm.boxType, K485, _xlpm.tallos, N485, _xlpm.cost, O485, _xlpm.precio, Q485,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85" s="296">
        <v>1.39</v>
      </c>
      <c r="R485" s="276" t="s">
        <v>285</v>
      </c>
      <c r="S48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5" s="276">
        <v>0.36</v>
      </c>
      <c r="U48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85" s="274">
        <v>0.79</v>
      </c>
    </row>
    <row r="486" spans="1:22" x14ac:dyDescent="0.25">
      <c r="A486" s="281" t="s">
        <v>85</v>
      </c>
      <c r="B486" s="282">
        <f>_xlfn.XLOOKUP(Catalogo[[#This Row],[Finca]], Fincas[Nombre], Fincas[ID])</f>
        <v>38</v>
      </c>
      <c r="C486" s="281" t="s">
        <v>646</v>
      </c>
      <c r="D486" s="281" t="s">
        <v>829</v>
      </c>
      <c r="E486" s="281"/>
      <c r="F486" s="281" t="s">
        <v>570</v>
      </c>
      <c r="G486" s="281"/>
      <c r="H486" s="281"/>
      <c r="I486" s="316" t="s">
        <v>275</v>
      </c>
      <c r="J486" s="308"/>
      <c r="K486" s="282" t="s">
        <v>31</v>
      </c>
      <c r="L48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6" s="283" t="s">
        <v>383</v>
      </c>
      <c r="N486" s="283">
        <v>50</v>
      </c>
      <c r="O486" s="285">
        <v>0.42</v>
      </c>
      <c r="P486" s="284">
        <f>IFERROR(_xlfn.LET(_xlpm.boxType, K486, _xlpm.tallos, N486, _xlpm.cost, O486, _xlpm.precio, Q486,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86" s="295">
        <v>1.59</v>
      </c>
      <c r="R486" s="285" t="s">
        <v>283</v>
      </c>
      <c r="S48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6" s="285">
        <v>0.42</v>
      </c>
      <c r="U48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86" s="287">
        <v>0.99</v>
      </c>
    </row>
    <row r="487" spans="1:22" x14ac:dyDescent="0.25">
      <c r="A487" s="277" t="s">
        <v>85</v>
      </c>
      <c r="B487" s="278">
        <f>_xlfn.XLOOKUP(Catalogo[[#This Row],[Finca]], Fincas[Nombre], Fincas[ID])</f>
        <v>38</v>
      </c>
      <c r="C487" s="277" t="s">
        <v>646</v>
      </c>
      <c r="D487" s="277" t="s">
        <v>829</v>
      </c>
      <c r="E487" s="277"/>
      <c r="F487" s="277" t="s">
        <v>570</v>
      </c>
      <c r="G487" s="277"/>
      <c r="H487" s="277"/>
      <c r="I487" s="311" t="s">
        <v>275</v>
      </c>
      <c r="J487" s="309"/>
      <c r="K487" s="278" t="s">
        <v>35</v>
      </c>
      <c r="L48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7" s="279" t="s">
        <v>385</v>
      </c>
      <c r="N487" s="279">
        <v>100</v>
      </c>
      <c r="O487" s="276">
        <v>0.42</v>
      </c>
      <c r="P487" s="280">
        <f>IFERROR(_xlfn.LET(_xlpm.boxType, K487, _xlpm.tallos, N487, _xlpm.cost, O487, _xlpm.precio, Q487,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87" s="296">
        <v>1.59</v>
      </c>
      <c r="R487" s="276" t="s">
        <v>284</v>
      </c>
      <c r="S48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7" s="276">
        <v>0.42</v>
      </c>
      <c r="U48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87" s="274">
        <v>0.89</v>
      </c>
    </row>
    <row r="488" spans="1:22" ht="15.75" thickBot="1" x14ac:dyDescent="0.3">
      <c r="A488" s="288" t="s">
        <v>85</v>
      </c>
      <c r="B488" s="289">
        <f>_xlfn.XLOOKUP(Catalogo[[#This Row],[Finca]], Fincas[Nombre], Fincas[ID])</f>
        <v>38</v>
      </c>
      <c r="C488" s="288" t="s">
        <v>646</v>
      </c>
      <c r="D488" s="288" t="s">
        <v>829</v>
      </c>
      <c r="E488" s="288"/>
      <c r="F488" s="288" t="s">
        <v>570</v>
      </c>
      <c r="G488" s="288"/>
      <c r="H488" s="288"/>
      <c r="I488" s="317" t="s">
        <v>275</v>
      </c>
      <c r="J488" s="310"/>
      <c r="K488" s="289" t="s">
        <v>93</v>
      </c>
      <c r="L48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8" s="290" t="s">
        <v>387</v>
      </c>
      <c r="N488" s="290">
        <v>200</v>
      </c>
      <c r="O488" s="292">
        <v>0.42</v>
      </c>
      <c r="P488" s="291">
        <f>IFERROR(_xlfn.LET(_xlpm.boxType, K488, _xlpm.tallos, N488, _xlpm.cost, O488, _xlpm.precio, Q488,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88" s="297">
        <v>1.59</v>
      </c>
      <c r="R488" s="292" t="s">
        <v>285</v>
      </c>
      <c r="S48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8" s="292">
        <v>0.42</v>
      </c>
      <c r="U48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88" s="294">
        <v>0.89</v>
      </c>
    </row>
    <row r="489" spans="1:22" x14ac:dyDescent="0.25">
      <c r="A489" s="281" t="s">
        <v>85</v>
      </c>
      <c r="B489" s="282">
        <f>_xlfn.XLOOKUP(Catalogo[[#This Row],[Finca]], Fincas[Nombre], Fincas[ID])</f>
        <v>38</v>
      </c>
      <c r="C489" s="281" t="s">
        <v>646</v>
      </c>
      <c r="D489" s="281" t="s">
        <v>830</v>
      </c>
      <c r="E489" s="281"/>
      <c r="F489" s="281" t="s">
        <v>570</v>
      </c>
      <c r="G489" s="281"/>
      <c r="H489" s="281"/>
      <c r="I489" s="316" t="s">
        <v>273</v>
      </c>
      <c r="J489" s="308"/>
      <c r="K489" s="282" t="s">
        <v>31</v>
      </c>
      <c r="L48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89" s="283" t="s">
        <v>383</v>
      </c>
      <c r="N489" s="283">
        <v>50</v>
      </c>
      <c r="O489" s="285">
        <v>0.26</v>
      </c>
      <c r="P489" s="284">
        <f>IFERROR(_xlfn.LET(_xlpm.boxType, K489, _xlpm.tallos, N489, _xlpm.cost, O489, _xlpm.precio, Q489,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89" s="295">
        <v>1.29</v>
      </c>
      <c r="R489" s="285" t="s">
        <v>283</v>
      </c>
      <c r="S48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89" s="285">
        <v>0.26</v>
      </c>
      <c r="U48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89" s="287">
        <v>0.75</v>
      </c>
    </row>
    <row r="490" spans="1:22" x14ac:dyDescent="0.25">
      <c r="A490" s="277" t="s">
        <v>85</v>
      </c>
      <c r="B490" s="278">
        <f>_xlfn.XLOOKUP(Catalogo[[#This Row],[Finca]], Fincas[Nombre], Fincas[ID])</f>
        <v>38</v>
      </c>
      <c r="C490" s="277" t="s">
        <v>646</v>
      </c>
      <c r="D490" s="277" t="s">
        <v>830</v>
      </c>
      <c r="E490" s="277"/>
      <c r="F490" s="277" t="s">
        <v>570</v>
      </c>
      <c r="G490" s="277"/>
      <c r="H490" s="277"/>
      <c r="I490" s="311" t="s">
        <v>273</v>
      </c>
      <c r="J490" s="309"/>
      <c r="K490" s="278" t="s">
        <v>35</v>
      </c>
      <c r="L49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0" s="279" t="s">
        <v>385</v>
      </c>
      <c r="N490" s="279">
        <v>150</v>
      </c>
      <c r="O490" s="276">
        <v>0.26</v>
      </c>
      <c r="P490" s="280">
        <f>IFERROR(_xlfn.LET(_xlpm.boxType, K490, _xlpm.tallos, N490, _xlpm.cost, O490, _xlpm.precio, Q490,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90" s="296">
        <v>1.19</v>
      </c>
      <c r="R490" s="276" t="s">
        <v>284</v>
      </c>
      <c r="S49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0" s="276">
        <v>0.26</v>
      </c>
      <c r="U49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90" s="274">
        <v>0.69</v>
      </c>
    </row>
    <row r="491" spans="1:22" ht="15.75" thickBot="1" x14ac:dyDescent="0.3">
      <c r="A491" s="288" t="s">
        <v>85</v>
      </c>
      <c r="B491" s="289">
        <f>_xlfn.XLOOKUP(Catalogo[[#This Row],[Finca]], Fincas[Nombre], Fincas[ID])</f>
        <v>38</v>
      </c>
      <c r="C491" s="288" t="s">
        <v>646</v>
      </c>
      <c r="D491" s="288" t="s">
        <v>830</v>
      </c>
      <c r="E491" s="288"/>
      <c r="F491" s="288" t="s">
        <v>570</v>
      </c>
      <c r="G491" s="288"/>
      <c r="H491" s="288"/>
      <c r="I491" s="317" t="s">
        <v>273</v>
      </c>
      <c r="J491" s="310"/>
      <c r="K491" s="289" t="s">
        <v>93</v>
      </c>
      <c r="L49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1" s="290" t="s">
        <v>387</v>
      </c>
      <c r="N491" s="290">
        <v>300</v>
      </c>
      <c r="O491" s="292">
        <v>0.26</v>
      </c>
      <c r="P491" s="291">
        <f>IFERROR(_xlfn.LET(_xlpm.boxType, K491, _xlpm.tallos, N491, _xlpm.cost, O491, _xlpm.precio, Q491,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491" s="297">
        <v>1.19</v>
      </c>
      <c r="R491" s="292" t="s">
        <v>285</v>
      </c>
      <c r="S49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1" s="292">
        <v>0.26</v>
      </c>
      <c r="U49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91" s="294">
        <v>0.69</v>
      </c>
    </row>
    <row r="492" spans="1:22" x14ac:dyDescent="0.25">
      <c r="A492" s="277" t="s">
        <v>85</v>
      </c>
      <c r="B492" s="278">
        <f>_xlfn.XLOOKUP(Catalogo[[#This Row],[Finca]], Fincas[Nombre], Fincas[ID])</f>
        <v>38</v>
      </c>
      <c r="C492" s="277" t="s">
        <v>646</v>
      </c>
      <c r="D492" s="277" t="s">
        <v>830</v>
      </c>
      <c r="E492" s="277"/>
      <c r="F492" s="277" t="s">
        <v>570</v>
      </c>
      <c r="G492" s="277"/>
      <c r="H492" s="277"/>
      <c r="I492" s="311" t="s">
        <v>274</v>
      </c>
      <c r="J492" s="309"/>
      <c r="K492" s="278" t="s">
        <v>31</v>
      </c>
      <c r="L49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2" s="279" t="s">
        <v>383</v>
      </c>
      <c r="N492" s="279">
        <v>50</v>
      </c>
      <c r="O492" s="276">
        <v>0.36</v>
      </c>
      <c r="P492" s="280">
        <f>IFERROR(_xlfn.LET(_xlpm.boxType, K492, _xlpm.tallos, N492, _xlpm.cost, O492, _xlpm.precio, Q492,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492" s="296">
        <v>1.49</v>
      </c>
      <c r="R492" s="276" t="s">
        <v>283</v>
      </c>
      <c r="S49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2" s="276">
        <v>0.36</v>
      </c>
      <c r="U49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492" s="274">
        <v>0.85</v>
      </c>
    </row>
    <row r="493" spans="1:22" x14ac:dyDescent="0.25">
      <c r="A493" s="277" t="s">
        <v>85</v>
      </c>
      <c r="B493" s="278">
        <f>_xlfn.XLOOKUP(Catalogo[[#This Row],[Finca]], Fincas[Nombre], Fincas[ID])</f>
        <v>38</v>
      </c>
      <c r="C493" s="277" t="s">
        <v>646</v>
      </c>
      <c r="D493" s="277" t="s">
        <v>830</v>
      </c>
      <c r="E493" s="277"/>
      <c r="F493" s="277" t="s">
        <v>570</v>
      </c>
      <c r="G493" s="277"/>
      <c r="H493" s="277"/>
      <c r="I493" s="311" t="s">
        <v>274</v>
      </c>
      <c r="J493" s="309"/>
      <c r="K493" s="278" t="s">
        <v>35</v>
      </c>
      <c r="L49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3" s="279" t="s">
        <v>385</v>
      </c>
      <c r="N493" s="279">
        <v>125</v>
      </c>
      <c r="O493" s="276">
        <v>0.36</v>
      </c>
      <c r="P493" s="280">
        <f>IFERROR(_xlfn.LET(_xlpm.boxType, K493, _xlpm.tallos, N493, _xlpm.cost, O493, _xlpm.precio, Q493,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493" s="296">
        <v>1.39</v>
      </c>
      <c r="R493" s="276" t="s">
        <v>284</v>
      </c>
      <c r="S49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3" s="276">
        <v>0.36</v>
      </c>
      <c r="U49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93" s="274">
        <v>0.79</v>
      </c>
    </row>
    <row r="494" spans="1:22" ht="15.75" thickBot="1" x14ac:dyDescent="0.3">
      <c r="A494" s="277" t="s">
        <v>85</v>
      </c>
      <c r="B494" s="278">
        <f>_xlfn.XLOOKUP(Catalogo[[#This Row],[Finca]], Fincas[Nombre], Fincas[ID])</f>
        <v>38</v>
      </c>
      <c r="C494" s="277" t="s">
        <v>646</v>
      </c>
      <c r="D494" s="277" t="s">
        <v>830</v>
      </c>
      <c r="E494" s="277"/>
      <c r="F494" s="277" t="s">
        <v>570</v>
      </c>
      <c r="G494" s="277"/>
      <c r="H494" s="277"/>
      <c r="I494" s="311" t="s">
        <v>274</v>
      </c>
      <c r="J494" s="309"/>
      <c r="K494" s="278" t="s">
        <v>93</v>
      </c>
      <c r="L49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4" s="279" t="s">
        <v>387</v>
      </c>
      <c r="N494" s="279">
        <v>250</v>
      </c>
      <c r="O494" s="276">
        <v>0.36</v>
      </c>
      <c r="P494" s="280">
        <f>IFERROR(_xlfn.LET(_xlpm.boxType, K494, _xlpm.tallos, N494, _xlpm.cost, O494, _xlpm.precio, Q494,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494" s="296">
        <v>1.39</v>
      </c>
      <c r="R494" s="276" t="s">
        <v>285</v>
      </c>
      <c r="S49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4" s="276">
        <v>0.36</v>
      </c>
      <c r="U49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494" s="274">
        <v>0.79</v>
      </c>
    </row>
    <row r="495" spans="1:22" x14ac:dyDescent="0.25">
      <c r="A495" s="281" t="s">
        <v>85</v>
      </c>
      <c r="B495" s="282">
        <f>_xlfn.XLOOKUP(Catalogo[[#This Row],[Finca]], Fincas[Nombre], Fincas[ID])</f>
        <v>38</v>
      </c>
      <c r="C495" s="281" t="s">
        <v>646</v>
      </c>
      <c r="D495" s="281" t="s">
        <v>830</v>
      </c>
      <c r="E495" s="281"/>
      <c r="F495" s="281" t="s">
        <v>570</v>
      </c>
      <c r="G495" s="281"/>
      <c r="H495" s="281"/>
      <c r="I495" s="316" t="s">
        <v>275</v>
      </c>
      <c r="J495" s="308"/>
      <c r="K495" s="282" t="s">
        <v>31</v>
      </c>
      <c r="L49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5" s="283" t="s">
        <v>383</v>
      </c>
      <c r="N495" s="283">
        <v>50</v>
      </c>
      <c r="O495" s="285">
        <v>0.42</v>
      </c>
      <c r="P495" s="284">
        <f>IFERROR(_xlfn.LET(_xlpm.boxType, K495, _xlpm.tallos, N495, _xlpm.cost, O495, _xlpm.precio, Q495,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95" s="295">
        <v>1.59</v>
      </c>
      <c r="R495" s="285" t="s">
        <v>283</v>
      </c>
      <c r="S49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5" s="285">
        <v>0.42</v>
      </c>
      <c r="U49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495" s="287">
        <v>0.99</v>
      </c>
    </row>
    <row r="496" spans="1:22" x14ac:dyDescent="0.25">
      <c r="A496" s="277" t="s">
        <v>85</v>
      </c>
      <c r="B496" s="278">
        <f>_xlfn.XLOOKUP(Catalogo[[#This Row],[Finca]], Fincas[Nombre], Fincas[ID])</f>
        <v>38</v>
      </c>
      <c r="C496" s="277" t="s">
        <v>646</v>
      </c>
      <c r="D496" s="277" t="s">
        <v>830</v>
      </c>
      <c r="E496" s="277"/>
      <c r="F496" s="277" t="s">
        <v>570</v>
      </c>
      <c r="G496" s="277"/>
      <c r="H496" s="277"/>
      <c r="I496" s="311" t="s">
        <v>275</v>
      </c>
      <c r="J496" s="309"/>
      <c r="K496" s="278" t="s">
        <v>35</v>
      </c>
      <c r="L49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6" s="279" t="s">
        <v>385</v>
      </c>
      <c r="N496" s="279">
        <v>100</v>
      </c>
      <c r="O496" s="276">
        <v>0.42</v>
      </c>
      <c r="P496" s="280">
        <f>IFERROR(_xlfn.LET(_xlpm.boxType, K496, _xlpm.tallos, N496, _xlpm.cost, O496, _xlpm.precio, Q496,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496" s="296">
        <v>1.59</v>
      </c>
      <c r="R496" s="276" t="s">
        <v>284</v>
      </c>
      <c r="S49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6" s="276">
        <v>0.42</v>
      </c>
      <c r="U49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96" s="274">
        <v>0.89</v>
      </c>
    </row>
    <row r="497" spans="1:22" ht="15.75" thickBot="1" x14ac:dyDescent="0.3">
      <c r="A497" s="288" t="s">
        <v>85</v>
      </c>
      <c r="B497" s="289">
        <f>_xlfn.XLOOKUP(Catalogo[[#This Row],[Finca]], Fincas[Nombre], Fincas[ID])</f>
        <v>38</v>
      </c>
      <c r="C497" s="288" t="s">
        <v>646</v>
      </c>
      <c r="D497" s="288" t="s">
        <v>830</v>
      </c>
      <c r="E497" s="288"/>
      <c r="F497" s="288" t="s">
        <v>570</v>
      </c>
      <c r="G497" s="288"/>
      <c r="H497" s="288"/>
      <c r="I497" s="317" t="s">
        <v>275</v>
      </c>
      <c r="J497" s="310"/>
      <c r="K497" s="289" t="s">
        <v>93</v>
      </c>
      <c r="L49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7" s="290" t="s">
        <v>387</v>
      </c>
      <c r="N497" s="290">
        <v>200</v>
      </c>
      <c r="O497" s="292">
        <v>0.42</v>
      </c>
      <c r="P497" s="291">
        <f>IFERROR(_xlfn.LET(_xlpm.boxType, K497, _xlpm.tallos, N497, _xlpm.cost, O497, _xlpm.precio, Q497,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497" s="297">
        <v>1.59</v>
      </c>
      <c r="R497" s="292" t="s">
        <v>285</v>
      </c>
      <c r="S49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7" s="292">
        <v>0.42</v>
      </c>
      <c r="U49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497" s="294">
        <v>0.89</v>
      </c>
    </row>
    <row r="498" spans="1:22" x14ac:dyDescent="0.25">
      <c r="A498" s="281" t="s">
        <v>85</v>
      </c>
      <c r="B498" s="282">
        <f>_xlfn.XLOOKUP(Catalogo[[#This Row],[Finca]], Fincas[Nombre], Fincas[ID])</f>
        <v>38</v>
      </c>
      <c r="C498" s="281" t="s">
        <v>646</v>
      </c>
      <c r="D498" s="281" t="s">
        <v>831</v>
      </c>
      <c r="E498" s="281"/>
      <c r="F498" s="281" t="s">
        <v>541</v>
      </c>
      <c r="G498" s="281"/>
      <c r="H498" s="281"/>
      <c r="I498" s="316" t="s">
        <v>273</v>
      </c>
      <c r="J498" s="308"/>
      <c r="K498" s="282" t="s">
        <v>31</v>
      </c>
      <c r="L49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8" s="283" t="s">
        <v>383</v>
      </c>
      <c r="N498" s="283">
        <v>50</v>
      </c>
      <c r="O498" s="285">
        <v>0.26</v>
      </c>
      <c r="P498" s="284">
        <f>IFERROR(_xlfn.LET(_xlpm.boxType, K498, _xlpm.tallos, N498, _xlpm.cost, O498, _xlpm.precio, Q498,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498" s="295">
        <v>1.29</v>
      </c>
      <c r="R498" s="285" t="s">
        <v>283</v>
      </c>
      <c r="S49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8" s="285">
        <v>0.26</v>
      </c>
      <c r="U49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498" s="287">
        <v>0.75</v>
      </c>
    </row>
    <row r="499" spans="1:22" x14ac:dyDescent="0.25">
      <c r="A499" s="277" t="s">
        <v>85</v>
      </c>
      <c r="B499" s="278">
        <f>_xlfn.XLOOKUP(Catalogo[[#This Row],[Finca]], Fincas[Nombre], Fincas[ID])</f>
        <v>38</v>
      </c>
      <c r="C499" s="277" t="s">
        <v>646</v>
      </c>
      <c r="D499" s="277" t="s">
        <v>831</v>
      </c>
      <c r="E499" s="277"/>
      <c r="F499" s="277" t="s">
        <v>541</v>
      </c>
      <c r="G499" s="277"/>
      <c r="H499" s="277"/>
      <c r="I499" s="311" t="s">
        <v>273</v>
      </c>
      <c r="J499" s="309"/>
      <c r="K499" s="278" t="s">
        <v>35</v>
      </c>
      <c r="L49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499" s="279" t="s">
        <v>385</v>
      </c>
      <c r="N499" s="279">
        <v>150</v>
      </c>
      <c r="O499" s="276">
        <v>0.26</v>
      </c>
      <c r="P499" s="280">
        <f>IFERROR(_xlfn.LET(_xlpm.boxType, K499, _xlpm.tallos, N499, _xlpm.cost, O499, _xlpm.precio, Q499,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499" s="296">
        <v>1.19</v>
      </c>
      <c r="R499" s="276" t="s">
        <v>284</v>
      </c>
      <c r="S49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499" s="276">
        <v>0.26</v>
      </c>
      <c r="U49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499" s="274">
        <v>0.69</v>
      </c>
    </row>
    <row r="500" spans="1:22" ht="15.75" thickBot="1" x14ac:dyDescent="0.3">
      <c r="A500" s="288" t="s">
        <v>85</v>
      </c>
      <c r="B500" s="289">
        <f>_xlfn.XLOOKUP(Catalogo[[#This Row],[Finca]], Fincas[Nombre], Fincas[ID])</f>
        <v>38</v>
      </c>
      <c r="C500" s="288" t="s">
        <v>646</v>
      </c>
      <c r="D500" s="288" t="s">
        <v>831</v>
      </c>
      <c r="E500" s="288"/>
      <c r="F500" s="288" t="s">
        <v>541</v>
      </c>
      <c r="G500" s="288"/>
      <c r="H500" s="288"/>
      <c r="I500" s="317" t="s">
        <v>273</v>
      </c>
      <c r="J500" s="310"/>
      <c r="K500" s="289" t="s">
        <v>93</v>
      </c>
      <c r="L50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0" s="290" t="s">
        <v>387</v>
      </c>
      <c r="N500" s="290">
        <v>300</v>
      </c>
      <c r="O500" s="292">
        <v>0.26</v>
      </c>
      <c r="P500" s="291">
        <f>IFERROR(_xlfn.LET(_xlpm.boxType, K500, _xlpm.tallos, N500, _xlpm.cost, O500, _xlpm.precio, Q500,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00" s="297">
        <v>1.19</v>
      </c>
      <c r="R500" s="292" t="s">
        <v>285</v>
      </c>
      <c r="S50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0" s="292">
        <v>0.26</v>
      </c>
      <c r="U50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00" s="294">
        <v>0.69</v>
      </c>
    </row>
    <row r="501" spans="1:22" x14ac:dyDescent="0.25">
      <c r="A501" s="277" t="s">
        <v>85</v>
      </c>
      <c r="B501" s="278">
        <f>_xlfn.XLOOKUP(Catalogo[[#This Row],[Finca]], Fincas[Nombre], Fincas[ID])</f>
        <v>38</v>
      </c>
      <c r="C501" s="277" t="s">
        <v>646</v>
      </c>
      <c r="D501" s="277" t="s">
        <v>831</v>
      </c>
      <c r="E501" s="277"/>
      <c r="F501" s="277" t="s">
        <v>541</v>
      </c>
      <c r="G501" s="277"/>
      <c r="H501" s="277"/>
      <c r="I501" s="311" t="s">
        <v>274</v>
      </c>
      <c r="J501" s="309"/>
      <c r="K501" s="278" t="s">
        <v>31</v>
      </c>
      <c r="L50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1" s="279" t="s">
        <v>383</v>
      </c>
      <c r="N501" s="279">
        <v>50</v>
      </c>
      <c r="O501" s="276">
        <v>0.36</v>
      </c>
      <c r="P501" s="280">
        <f>IFERROR(_xlfn.LET(_xlpm.boxType, K501, _xlpm.tallos, N501, _xlpm.cost, O501, _xlpm.precio, Q501,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01" s="296">
        <v>1.49</v>
      </c>
      <c r="R501" s="276" t="s">
        <v>283</v>
      </c>
      <c r="S50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1" s="276">
        <v>0.36</v>
      </c>
      <c r="U50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01" s="274">
        <v>0.85</v>
      </c>
    </row>
    <row r="502" spans="1:22" x14ac:dyDescent="0.25">
      <c r="A502" s="277" t="s">
        <v>85</v>
      </c>
      <c r="B502" s="278">
        <f>_xlfn.XLOOKUP(Catalogo[[#This Row],[Finca]], Fincas[Nombre], Fincas[ID])</f>
        <v>38</v>
      </c>
      <c r="C502" s="277" t="s">
        <v>646</v>
      </c>
      <c r="D502" s="277" t="s">
        <v>831</v>
      </c>
      <c r="E502" s="277"/>
      <c r="F502" s="277" t="s">
        <v>541</v>
      </c>
      <c r="G502" s="277"/>
      <c r="H502" s="277"/>
      <c r="I502" s="311" t="s">
        <v>274</v>
      </c>
      <c r="J502" s="309"/>
      <c r="K502" s="278" t="s">
        <v>35</v>
      </c>
      <c r="L50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2" s="279" t="s">
        <v>385</v>
      </c>
      <c r="N502" s="279">
        <v>125</v>
      </c>
      <c r="O502" s="276">
        <v>0.36</v>
      </c>
      <c r="P502" s="280">
        <f>IFERROR(_xlfn.LET(_xlpm.boxType, K502, _xlpm.tallos, N502, _xlpm.cost, O502, _xlpm.precio, Q502,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02" s="296">
        <v>1.39</v>
      </c>
      <c r="R502" s="276" t="s">
        <v>284</v>
      </c>
      <c r="S50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2" s="276">
        <v>0.36</v>
      </c>
      <c r="U50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02" s="274">
        <v>0.79</v>
      </c>
    </row>
    <row r="503" spans="1:22" ht="15.75" thickBot="1" x14ac:dyDescent="0.3">
      <c r="A503" s="277" t="s">
        <v>85</v>
      </c>
      <c r="B503" s="278">
        <f>_xlfn.XLOOKUP(Catalogo[[#This Row],[Finca]], Fincas[Nombre], Fincas[ID])</f>
        <v>38</v>
      </c>
      <c r="C503" s="277" t="s">
        <v>646</v>
      </c>
      <c r="D503" s="277" t="s">
        <v>831</v>
      </c>
      <c r="E503" s="277"/>
      <c r="F503" s="277" t="s">
        <v>541</v>
      </c>
      <c r="G503" s="277"/>
      <c r="H503" s="277"/>
      <c r="I503" s="311" t="s">
        <v>274</v>
      </c>
      <c r="J503" s="309"/>
      <c r="K503" s="278" t="s">
        <v>93</v>
      </c>
      <c r="L50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3" s="279" t="s">
        <v>387</v>
      </c>
      <c r="N503" s="279">
        <v>250</v>
      </c>
      <c r="O503" s="276">
        <v>0.36</v>
      </c>
      <c r="P503" s="280">
        <f>IFERROR(_xlfn.LET(_xlpm.boxType, K503, _xlpm.tallos, N503, _xlpm.cost, O503, _xlpm.precio, Q503,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03" s="296">
        <v>1.39</v>
      </c>
      <c r="R503" s="276" t="s">
        <v>285</v>
      </c>
      <c r="S50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3" s="276">
        <v>0.36</v>
      </c>
      <c r="U50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03" s="274">
        <v>0.79</v>
      </c>
    </row>
    <row r="504" spans="1:22" x14ac:dyDescent="0.25">
      <c r="A504" s="281" t="s">
        <v>85</v>
      </c>
      <c r="B504" s="282">
        <f>_xlfn.XLOOKUP(Catalogo[[#This Row],[Finca]], Fincas[Nombre], Fincas[ID])</f>
        <v>38</v>
      </c>
      <c r="C504" s="281" t="s">
        <v>646</v>
      </c>
      <c r="D504" s="281" t="s">
        <v>831</v>
      </c>
      <c r="E504" s="281"/>
      <c r="F504" s="281" t="s">
        <v>541</v>
      </c>
      <c r="G504" s="281"/>
      <c r="H504" s="281"/>
      <c r="I504" s="316" t="s">
        <v>275</v>
      </c>
      <c r="J504" s="308"/>
      <c r="K504" s="282" t="s">
        <v>31</v>
      </c>
      <c r="L50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4" s="283" t="s">
        <v>383</v>
      </c>
      <c r="N504" s="283">
        <v>50</v>
      </c>
      <c r="O504" s="285">
        <v>0.42</v>
      </c>
      <c r="P504" s="284">
        <f>IFERROR(_xlfn.LET(_xlpm.boxType, K504, _xlpm.tallos, N504, _xlpm.cost, O504, _xlpm.precio, Q504,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04" s="295">
        <v>1.59</v>
      </c>
      <c r="R504" s="285" t="s">
        <v>283</v>
      </c>
      <c r="S50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4" s="285">
        <v>0.42</v>
      </c>
      <c r="U50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04" s="287">
        <v>0.99</v>
      </c>
    </row>
    <row r="505" spans="1:22" x14ac:dyDescent="0.25">
      <c r="A505" s="277" t="s">
        <v>85</v>
      </c>
      <c r="B505" s="278">
        <f>_xlfn.XLOOKUP(Catalogo[[#This Row],[Finca]], Fincas[Nombre], Fincas[ID])</f>
        <v>38</v>
      </c>
      <c r="C505" s="277" t="s">
        <v>646</v>
      </c>
      <c r="D505" s="277" t="s">
        <v>831</v>
      </c>
      <c r="E505" s="277"/>
      <c r="F505" s="277" t="s">
        <v>541</v>
      </c>
      <c r="G505" s="277"/>
      <c r="H505" s="277"/>
      <c r="I505" s="311" t="s">
        <v>275</v>
      </c>
      <c r="J505" s="309"/>
      <c r="K505" s="278" t="s">
        <v>35</v>
      </c>
      <c r="L50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5" s="279" t="s">
        <v>385</v>
      </c>
      <c r="N505" s="279">
        <v>100</v>
      </c>
      <c r="O505" s="276">
        <v>0.42</v>
      </c>
      <c r="P505" s="280">
        <f>IFERROR(_xlfn.LET(_xlpm.boxType, K505, _xlpm.tallos, N505, _xlpm.cost, O505, _xlpm.precio, Q505,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05" s="296">
        <v>1.59</v>
      </c>
      <c r="R505" s="276" t="s">
        <v>284</v>
      </c>
      <c r="S50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5" s="276">
        <v>0.42</v>
      </c>
      <c r="U50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05" s="274">
        <v>0.89</v>
      </c>
    </row>
    <row r="506" spans="1:22" ht="15.75" thickBot="1" x14ac:dyDescent="0.3">
      <c r="A506" s="288" t="s">
        <v>85</v>
      </c>
      <c r="B506" s="289">
        <f>_xlfn.XLOOKUP(Catalogo[[#This Row],[Finca]], Fincas[Nombre], Fincas[ID])</f>
        <v>38</v>
      </c>
      <c r="C506" s="288" t="s">
        <v>646</v>
      </c>
      <c r="D506" s="288" t="s">
        <v>831</v>
      </c>
      <c r="E506" s="288"/>
      <c r="F506" s="288" t="s">
        <v>541</v>
      </c>
      <c r="G506" s="288"/>
      <c r="H506" s="288"/>
      <c r="I506" s="317" t="s">
        <v>275</v>
      </c>
      <c r="J506" s="310"/>
      <c r="K506" s="289" t="s">
        <v>93</v>
      </c>
      <c r="L50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6" s="290" t="s">
        <v>387</v>
      </c>
      <c r="N506" s="290">
        <v>200</v>
      </c>
      <c r="O506" s="292">
        <v>0.42</v>
      </c>
      <c r="P506" s="291">
        <f>IFERROR(_xlfn.LET(_xlpm.boxType, K506, _xlpm.tallos, N506, _xlpm.cost, O506, _xlpm.precio, Q506,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06" s="297">
        <v>1.59</v>
      </c>
      <c r="R506" s="292" t="s">
        <v>285</v>
      </c>
      <c r="S50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6" s="292">
        <v>0.42</v>
      </c>
      <c r="U50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06" s="294">
        <v>0.89</v>
      </c>
    </row>
    <row r="507" spans="1:22" x14ac:dyDescent="0.25">
      <c r="A507" s="281" t="s">
        <v>85</v>
      </c>
      <c r="B507" s="282">
        <f>_xlfn.XLOOKUP(Catalogo[[#This Row],[Finca]], Fincas[Nombre], Fincas[ID])</f>
        <v>38</v>
      </c>
      <c r="C507" s="281" t="s">
        <v>646</v>
      </c>
      <c r="D507" s="281" t="s">
        <v>832</v>
      </c>
      <c r="E507" s="281"/>
      <c r="F507" s="281" t="s">
        <v>534</v>
      </c>
      <c r="G507" s="281" t="s">
        <v>541</v>
      </c>
      <c r="H507" s="281"/>
      <c r="I507" s="316" t="s">
        <v>273</v>
      </c>
      <c r="J507" s="308"/>
      <c r="K507" s="282" t="s">
        <v>31</v>
      </c>
      <c r="L50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7" s="283" t="s">
        <v>383</v>
      </c>
      <c r="N507" s="283">
        <v>50</v>
      </c>
      <c r="O507" s="285">
        <v>0.26</v>
      </c>
      <c r="P507" s="284">
        <f>IFERROR(_xlfn.LET(_xlpm.boxType, K507, _xlpm.tallos, N507, _xlpm.cost, O507, _xlpm.precio, Q507,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07" s="295">
        <v>1.29</v>
      </c>
      <c r="R507" s="285" t="s">
        <v>283</v>
      </c>
      <c r="S50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7" s="285">
        <v>0.26</v>
      </c>
      <c r="U50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07" s="287">
        <v>0.75</v>
      </c>
    </row>
    <row r="508" spans="1:22" x14ac:dyDescent="0.25">
      <c r="A508" s="277" t="s">
        <v>85</v>
      </c>
      <c r="B508" s="278">
        <f>_xlfn.XLOOKUP(Catalogo[[#This Row],[Finca]], Fincas[Nombre], Fincas[ID])</f>
        <v>38</v>
      </c>
      <c r="C508" s="277" t="s">
        <v>646</v>
      </c>
      <c r="D508" s="277" t="s">
        <v>832</v>
      </c>
      <c r="E508" s="277"/>
      <c r="F508" s="277" t="s">
        <v>534</v>
      </c>
      <c r="G508" s="277" t="s">
        <v>541</v>
      </c>
      <c r="H508" s="277"/>
      <c r="I508" s="311" t="s">
        <v>273</v>
      </c>
      <c r="J508" s="309"/>
      <c r="K508" s="278" t="s">
        <v>35</v>
      </c>
      <c r="L50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8" s="279" t="s">
        <v>385</v>
      </c>
      <c r="N508" s="279">
        <v>150</v>
      </c>
      <c r="O508" s="276">
        <v>0.26</v>
      </c>
      <c r="P508" s="280">
        <f>IFERROR(_xlfn.LET(_xlpm.boxType, K508, _xlpm.tallos, N508, _xlpm.cost, O508, _xlpm.precio, Q508,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08" s="296">
        <v>1.19</v>
      </c>
      <c r="R508" s="276" t="s">
        <v>284</v>
      </c>
      <c r="S50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8" s="276">
        <v>0.26</v>
      </c>
      <c r="U50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08" s="274">
        <v>0.69</v>
      </c>
    </row>
    <row r="509" spans="1:22" ht="15.75" thickBot="1" x14ac:dyDescent="0.3">
      <c r="A509" s="288" t="s">
        <v>85</v>
      </c>
      <c r="B509" s="289">
        <f>_xlfn.XLOOKUP(Catalogo[[#This Row],[Finca]], Fincas[Nombre], Fincas[ID])</f>
        <v>38</v>
      </c>
      <c r="C509" s="288" t="s">
        <v>646</v>
      </c>
      <c r="D509" s="288" t="s">
        <v>832</v>
      </c>
      <c r="E509" s="288"/>
      <c r="F509" s="288" t="s">
        <v>534</v>
      </c>
      <c r="G509" s="288" t="s">
        <v>541</v>
      </c>
      <c r="H509" s="288"/>
      <c r="I509" s="317" t="s">
        <v>273</v>
      </c>
      <c r="J509" s="310"/>
      <c r="K509" s="289" t="s">
        <v>93</v>
      </c>
      <c r="L50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09" s="290" t="s">
        <v>387</v>
      </c>
      <c r="N509" s="290">
        <v>300</v>
      </c>
      <c r="O509" s="292">
        <v>0.26</v>
      </c>
      <c r="P509" s="291">
        <f>IFERROR(_xlfn.LET(_xlpm.boxType, K509, _xlpm.tallos, N509, _xlpm.cost, O509, _xlpm.precio, Q509,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09" s="297">
        <v>1.19</v>
      </c>
      <c r="R509" s="292" t="s">
        <v>285</v>
      </c>
      <c r="S50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09" s="292">
        <v>0.26</v>
      </c>
      <c r="U50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09" s="294">
        <v>0.69</v>
      </c>
    </row>
    <row r="510" spans="1:22" x14ac:dyDescent="0.25">
      <c r="A510" s="277" t="s">
        <v>85</v>
      </c>
      <c r="B510" s="278">
        <f>_xlfn.XLOOKUP(Catalogo[[#This Row],[Finca]], Fincas[Nombre], Fincas[ID])</f>
        <v>38</v>
      </c>
      <c r="C510" s="277" t="s">
        <v>646</v>
      </c>
      <c r="D510" s="277" t="s">
        <v>832</v>
      </c>
      <c r="E510" s="277"/>
      <c r="F510" s="277" t="s">
        <v>534</v>
      </c>
      <c r="G510" s="277" t="s">
        <v>541</v>
      </c>
      <c r="H510" s="277"/>
      <c r="I510" s="311" t="s">
        <v>274</v>
      </c>
      <c r="J510" s="309"/>
      <c r="K510" s="278" t="s">
        <v>31</v>
      </c>
      <c r="L5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0" s="279" t="s">
        <v>383</v>
      </c>
      <c r="N510" s="279">
        <v>50</v>
      </c>
      <c r="O510" s="276">
        <v>0.36</v>
      </c>
      <c r="P510" s="280">
        <f>IFERROR(_xlfn.LET(_xlpm.boxType, K510, _xlpm.tallos, N510, _xlpm.cost, O510, _xlpm.precio, Q510,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10" s="296">
        <v>1.49</v>
      </c>
      <c r="R510" s="276" t="s">
        <v>283</v>
      </c>
      <c r="S5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0" s="276">
        <v>0.36</v>
      </c>
      <c r="U51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10" s="274">
        <v>0.85</v>
      </c>
    </row>
    <row r="511" spans="1:22" x14ac:dyDescent="0.25">
      <c r="A511" s="277" t="s">
        <v>85</v>
      </c>
      <c r="B511" s="278">
        <f>_xlfn.XLOOKUP(Catalogo[[#This Row],[Finca]], Fincas[Nombre], Fincas[ID])</f>
        <v>38</v>
      </c>
      <c r="C511" s="277" t="s">
        <v>646</v>
      </c>
      <c r="D511" s="277" t="s">
        <v>832</v>
      </c>
      <c r="E511" s="277"/>
      <c r="F511" s="277" t="s">
        <v>534</v>
      </c>
      <c r="G511" s="277" t="s">
        <v>541</v>
      </c>
      <c r="H511" s="277"/>
      <c r="I511" s="311" t="s">
        <v>274</v>
      </c>
      <c r="J511" s="309"/>
      <c r="K511" s="278" t="s">
        <v>35</v>
      </c>
      <c r="L5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1" s="279" t="s">
        <v>385</v>
      </c>
      <c r="N511" s="279">
        <v>125</v>
      </c>
      <c r="O511" s="276">
        <v>0.36</v>
      </c>
      <c r="P511" s="280">
        <f>IFERROR(_xlfn.LET(_xlpm.boxType, K511, _xlpm.tallos, N511, _xlpm.cost, O511, _xlpm.precio, Q511,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11" s="296">
        <v>1.39</v>
      </c>
      <c r="R511" s="276" t="s">
        <v>284</v>
      </c>
      <c r="S5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1" s="276">
        <v>0.36</v>
      </c>
      <c r="U51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11" s="274">
        <v>0.79</v>
      </c>
    </row>
    <row r="512" spans="1:22" ht="15.75" thickBot="1" x14ac:dyDescent="0.3">
      <c r="A512" s="277" t="s">
        <v>85</v>
      </c>
      <c r="B512" s="278">
        <f>_xlfn.XLOOKUP(Catalogo[[#This Row],[Finca]], Fincas[Nombre], Fincas[ID])</f>
        <v>38</v>
      </c>
      <c r="C512" s="277" t="s">
        <v>646</v>
      </c>
      <c r="D512" s="277" t="s">
        <v>832</v>
      </c>
      <c r="E512" s="277"/>
      <c r="F512" s="277" t="s">
        <v>534</v>
      </c>
      <c r="G512" s="277" t="s">
        <v>541</v>
      </c>
      <c r="H512" s="277"/>
      <c r="I512" s="311" t="s">
        <v>274</v>
      </c>
      <c r="J512" s="309"/>
      <c r="K512" s="278" t="s">
        <v>93</v>
      </c>
      <c r="L51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2" s="279" t="s">
        <v>387</v>
      </c>
      <c r="N512" s="279">
        <v>250</v>
      </c>
      <c r="O512" s="276">
        <v>0.36</v>
      </c>
      <c r="P512" s="280">
        <f>IFERROR(_xlfn.LET(_xlpm.boxType, K512, _xlpm.tallos, N512, _xlpm.cost, O512, _xlpm.precio, Q512,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12" s="296">
        <v>1.39</v>
      </c>
      <c r="R512" s="276" t="s">
        <v>285</v>
      </c>
      <c r="S51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2" s="276">
        <v>0.36</v>
      </c>
      <c r="U51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12" s="274">
        <v>0.79</v>
      </c>
    </row>
    <row r="513" spans="1:22" x14ac:dyDescent="0.25">
      <c r="A513" s="281" t="s">
        <v>85</v>
      </c>
      <c r="B513" s="282">
        <f>_xlfn.XLOOKUP(Catalogo[[#This Row],[Finca]], Fincas[Nombre], Fincas[ID])</f>
        <v>38</v>
      </c>
      <c r="C513" s="281" t="s">
        <v>646</v>
      </c>
      <c r="D513" s="281" t="s">
        <v>832</v>
      </c>
      <c r="E513" s="281"/>
      <c r="F513" s="281" t="s">
        <v>534</v>
      </c>
      <c r="G513" s="281" t="s">
        <v>541</v>
      </c>
      <c r="H513" s="281"/>
      <c r="I513" s="316" t="s">
        <v>275</v>
      </c>
      <c r="J513" s="308"/>
      <c r="K513" s="282" t="s">
        <v>31</v>
      </c>
      <c r="L51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3" s="283" t="s">
        <v>383</v>
      </c>
      <c r="N513" s="283">
        <v>50</v>
      </c>
      <c r="O513" s="285">
        <v>0.42</v>
      </c>
      <c r="P513" s="284">
        <f>IFERROR(_xlfn.LET(_xlpm.boxType, K513, _xlpm.tallos, N513, _xlpm.cost, O513, _xlpm.precio, Q513,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13" s="295">
        <v>1.59</v>
      </c>
      <c r="R513" s="285" t="s">
        <v>283</v>
      </c>
      <c r="S51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3" s="285">
        <v>0.42</v>
      </c>
      <c r="U51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13" s="287">
        <v>0.99</v>
      </c>
    </row>
    <row r="514" spans="1:22" x14ac:dyDescent="0.25">
      <c r="A514" s="277" t="s">
        <v>85</v>
      </c>
      <c r="B514" s="278">
        <f>_xlfn.XLOOKUP(Catalogo[[#This Row],[Finca]], Fincas[Nombre], Fincas[ID])</f>
        <v>38</v>
      </c>
      <c r="C514" s="277" t="s">
        <v>646</v>
      </c>
      <c r="D514" s="277" t="s">
        <v>832</v>
      </c>
      <c r="E514" s="277"/>
      <c r="F514" s="277" t="s">
        <v>534</v>
      </c>
      <c r="G514" s="277" t="s">
        <v>541</v>
      </c>
      <c r="H514" s="277"/>
      <c r="I514" s="311" t="s">
        <v>275</v>
      </c>
      <c r="J514" s="309"/>
      <c r="K514" s="278" t="s">
        <v>35</v>
      </c>
      <c r="L51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4" s="279" t="s">
        <v>385</v>
      </c>
      <c r="N514" s="279">
        <v>100</v>
      </c>
      <c r="O514" s="276">
        <v>0.42</v>
      </c>
      <c r="P514" s="280">
        <f>IFERROR(_xlfn.LET(_xlpm.boxType, K514, _xlpm.tallos, N514, _xlpm.cost, O514, _xlpm.precio, Q514,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14" s="296">
        <v>1.59</v>
      </c>
      <c r="R514" s="276" t="s">
        <v>284</v>
      </c>
      <c r="S51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4" s="276">
        <v>0.42</v>
      </c>
      <c r="U51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14" s="274">
        <v>0.89</v>
      </c>
    </row>
    <row r="515" spans="1:22" ht="15.75" thickBot="1" x14ac:dyDescent="0.3">
      <c r="A515" s="288" t="s">
        <v>85</v>
      </c>
      <c r="B515" s="289">
        <f>_xlfn.XLOOKUP(Catalogo[[#This Row],[Finca]], Fincas[Nombre], Fincas[ID])</f>
        <v>38</v>
      </c>
      <c r="C515" s="288" t="s">
        <v>646</v>
      </c>
      <c r="D515" s="288" t="s">
        <v>832</v>
      </c>
      <c r="E515" s="288"/>
      <c r="F515" s="288" t="s">
        <v>534</v>
      </c>
      <c r="G515" s="288" t="s">
        <v>541</v>
      </c>
      <c r="H515" s="288"/>
      <c r="I515" s="317" t="s">
        <v>275</v>
      </c>
      <c r="J515" s="310"/>
      <c r="K515" s="289" t="s">
        <v>93</v>
      </c>
      <c r="L51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5" s="290" t="s">
        <v>387</v>
      </c>
      <c r="N515" s="290">
        <v>200</v>
      </c>
      <c r="O515" s="292">
        <v>0.42</v>
      </c>
      <c r="P515" s="291">
        <f>IFERROR(_xlfn.LET(_xlpm.boxType, K515, _xlpm.tallos, N515, _xlpm.cost, O515, _xlpm.precio, Q515,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15" s="297">
        <v>1.59</v>
      </c>
      <c r="R515" s="292" t="s">
        <v>285</v>
      </c>
      <c r="S51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5" s="292">
        <v>0.42</v>
      </c>
      <c r="U51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15" s="294">
        <v>0.89</v>
      </c>
    </row>
    <row r="516" spans="1:22" x14ac:dyDescent="0.25">
      <c r="A516" s="281" t="s">
        <v>85</v>
      </c>
      <c r="B516" s="282">
        <f>_xlfn.XLOOKUP(Catalogo[[#This Row],[Finca]], Fincas[Nombre], Fincas[ID])</f>
        <v>38</v>
      </c>
      <c r="C516" s="281" t="s">
        <v>646</v>
      </c>
      <c r="D516" s="281" t="s">
        <v>833</v>
      </c>
      <c r="E516" s="281"/>
      <c r="F516" s="281" t="s">
        <v>600</v>
      </c>
      <c r="G516" s="281"/>
      <c r="H516" s="281"/>
      <c r="I516" s="316" t="s">
        <v>273</v>
      </c>
      <c r="J516" s="308"/>
      <c r="K516" s="282" t="s">
        <v>31</v>
      </c>
      <c r="L51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6" s="283" t="s">
        <v>383</v>
      </c>
      <c r="N516" s="283">
        <v>50</v>
      </c>
      <c r="O516" s="285">
        <v>0.26</v>
      </c>
      <c r="P516" s="284">
        <f>IFERROR(_xlfn.LET(_xlpm.boxType, K516, _xlpm.tallos, N516, _xlpm.cost, O516, _xlpm.precio, Q516,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16" s="295">
        <v>1.29</v>
      </c>
      <c r="R516" s="285" t="s">
        <v>283</v>
      </c>
      <c r="S51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6" s="285">
        <v>0.26</v>
      </c>
      <c r="U51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16" s="287">
        <v>0.75</v>
      </c>
    </row>
    <row r="517" spans="1:22" x14ac:dyDescent="0.25">
      <c r="A517" s="277" t="s">
        <v>85</v>
      </c>
      <c r="B517" s="278">
        <f>_xlfn.XLOOKUP(Catalogo[[#This Row],[Finca]], Fincas[Nombre], Fincas[ID])</f>
        <v>38</v>
      </c>
      <c r="C517" s="277" t="s">
        <v>646</v>
      </c>
      <c r="D517" s="277" t="s">
        <v>833</v>
      </c>
      <c r="E517" s="277"/>
      <c r="F517" s="277" t="s">
        <v>600</v>
      </c>
      <c r="G517" s="277"/>
      <c r="H517" s="277"/>
      <c r="I517" s="311" t="s">
        <v>273</v>
      </c>
      <c r="J517" s="309"/>
      <c r="K517" s="278" t="s">
        <v>35</v>
      </c>
      <c r="L51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7" s="279" t="s">
        <v>385</v>
      </c>
      <c r="N517" s="279">
        <v>150</v>
      </c>
      <c r="O517" s="276">
        <v>0.26</v>
      </c>
      <c r="P517" s="280">
        <f>IFERROR(_xlfn.LET(_xlpm.boxType, K517, _xlpm.tallos, N517, _xlpm.cost, O517, _xlpm.precio, Q517,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17" s="296">
        <v>1.19</v>
      </c>
      <c r="R517" s="276" t="s">
        <v>284</v>
      </c>
      <c r="S51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7" s="276">
        <v>0.26</v>
      </c>
      <c r="U51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17" s="274">
        <v>0.69</v>
      </c>
    </row>
    <row r="518" spans="1:22" ht="15.75" thickBot="1" x14ac:dyDescent="0.3">
      <c r="A518" s="288" t="s">
        <v>85</v>
      </c>
      <c r="B518" s="289">
        <f>_xlfn.XLOOKUP(Catalogo[[#This Row],[Finca]], Fincas[Nombre], Fincas[ID])</f>
        <v>38</v>
      </c>
      <c r="C518" s="288" t="s">
        <v>646</v>
      </c>
      <c r="D518" s="288" t="s">
        <v>833</v>
      </c>
      <c r="E518" s="288"/>
      <c r="F518" s="288" t="s">
        <v>600</v>
      </c>
      <c r="G518" s="288"/>
      <c r="H518" s="288"/>
      <c r="I518" s="317" t="s">
        <v>273</v>
      </c>
      <c r="J518" s="310"/>
      <c r="K518" s="289" t="s">
        <v>93</v>
      </c>
      <c r="L51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8" s="290" t="s">
        <v>387</v>
      </c>
      <c r="N518" s="290">
        <v>300</v>
      </c>
      <c r="O518" s="292">
        <v>0.26</v>
      </c>
      <c r="P518" s="291">
        <f>IFERROR(_xlfn.LET(_xlpm.boxType, K518, _xlpm.tallos, N518, _xlpm.cost, O518, _xlpm.precio, Q518,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18" s="297">
        <v>1.19</v>
      </c>
      <c r="R518" s="292" t="s">
        <v>285</v>
      </c>
      <c r="S51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8" s="292">
        <v>0.26</v>
      </c>
      <c r="U51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18" s="294">
        <v>0.69</v>
      </c>
    </row>
    <row r="519" spans="1:22" x14ac:dyDescent="0.25">
      <c r="A519" s="277" t="s">
        <v>85</v>
      </c>
      <c r="B519" s="278">
        <f>_xlfn.XLOOKUP(Catalogo[[#This Row],[Finca]], Fincas[Nombre], Fincas[ID])</f>
        <v>38</v>
      </c>
      <c r="C519" s="277" t="s">
        <v>646</v>
      </c>
      <c r="D519" s="277" t="s">
        <v>833</v>
      </c>
      <c r="E519" s="277"/>
      <c r="F519" s="277" t="s">
        <v>600</v>
      </c>
      <c r="G519" s="277"/>
      <c r="H519" s="277"/>
      <c r="I519" s="311" t="s">
        <v>274</v>
      </c>
      <c r="J519" s="309"/>
      <c r="K519" s="278" t="s">
        <v>31</v>
      </c>
      <c r="L5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19" s="279" t="s">
        <v>383</v>
      </c>
      <c r="N519" s="279">
        <v>50</v>
      </c>
      <c r="O519" s="276">
        <v>0.36</v>
      </c>
      <c r="P519" s="280">
        <f>IFERROR(_xlfn.LET(_xlpm.boxType, K519, _xlpm.tallos, N519, _xlpm.cost, O519, _xlpm.precio, Q519,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19" s="296">
        <v>1.49</v>
      </c>
      <c r="R519" s="276" t="s">
        <v>283</v>
      </c>
      <c r="S5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19" s="276">
        <v>0.36</v>
      </c>
      <c r="U51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19" s="274">
        <v>0.85</v>
      </c>
    </row>
    <row r="520" spans="1:22" x14ac:dyDescent="0.25">
      <c r="A520" s="277" t="s">
        <v>85</v>
      </c>
      <c r="B520" s="278">
        <f>_xlfn.XLOOKUP(Catalogo[[#This Row],[Finca]], Fincas[Nombre], Fincas[ID])</f>
        <v>38</v>
      </c>
      <c r="C520" s="277" t="s">
        <v>646</v>
      </c>
      <c r="D520" s="277" t="s">
        <v>833</v>
      </c>
      <c r="E520" s="277"/>
      <c r="F520" s="277" t="s">
        <v>600</v>
      </c>
      <c r="G520" s="277"/>
      <c r="H520" s="277"/>
      <c r="I520" s="311" t="s">
        <v>274</v>
      </c>
      <c r="J520" s="309"/>
      <c r="K520" s="278" t="s">
        <v>35</v>
      </c>
      <c r="L5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0" s="279" t="s">
        <v>385</v>
      </c>
      <c r="N520" s="279">
        <v>125</v>
      </c>
      <c r="O520" s="276">
        <v>0.36</v>
      </c>
      <c r="P520" s="280">
        <f>IFERROR(_xlfn.LET(_xlpm.boxType, K520, _xlpm.tallos, N520, _xlpm.cost, O520, _xlpm.precio, Q520,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20" s="296">
        <v>1.39</v>
      </c>
      <c r="R520" s="276" t="s">
        <v>284</v>
      </c>
      <c r="S5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0" s="276">
        <v>0.36</v>
      </c>
      <c r="U52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20" s="274">
        <v>0.79</v>
      </c>
    </row>
    <row r="521" spans="1:22" ht="15.75" thickBot="1" x14ac:dyDescent="0.3">
      <c r="A521" s="277" t="s">
        <v>85</v>
      </c>
      <c r="B521" s="278">
        <f>_xlfn.XLOOKUP(Catalogo[[#This Row],[Finca]], Fincas[Nombre], Fincas[ID])</f>
        <v>38</v>
      </c>
      <c r="C521" s="277" t="s">
        <v>646</v>
      </c>
      <c r="D521" s="277" t="s">
        <v>833</v>
      </c>
      <c r="E521" s="277"/>
      <c r="F521" s="277" t="s">
        <v>600</v>
      </c>
      <c r="G521" s="277"/>
      <c r="H521" s="277"/>
      <c r="I521" s="311" t="s">
        <v>274</v>
      </c>
      <c r="J521" s="309"/>
      <c r="K521" s="278" t="s">
        <v>93</v>
      </c>
      <c r="L52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1" s="279" t="s">
        <v>387</v>
      </c>
      <c r="N521" s="279">
        <v>250</v>
      </c>
      <c r="O521" s="276">
        <v>0.36</v>
      </c>
      <c r="P521" s="280">
        <f>IFERROR(_xlfn.LET(_xlpm.boxType, K521, _xlpm.tallos, N521, _xlpm.cost, O521, _xlpm.precio, Q521,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21" s="296">
        <v>1.39</v>
      </c>
      <c r="R521" s="276" t="s">
        <v>285</v>
      </c>
      <c r="S52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1" s="276">
        <v>0.36</v>
      </c>
      <c r="U52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21" s="274">
        <v>0.79</v>
      </c>
    </row>
    <row r="522" spans="1:22" x14ac:dyDescent="0.25">
      <c r="A522" s="281" t="s">
        <v>85</v>
      </c>
      <c r="B522" s="282">
        <f>_xlfn.XLOOKUP(Catalogo[[#This Row],[Finca]], Fincas[Nombre], Fincas[ID])</f>
        <v>38</v>
      </c>
      <c r="C522" s="281" t="s">
        <v>646</v>
      </c>
      <c r="D522" s="281" t="s">
        <v>833</v>
      </c>
      <c r="E522" s="281"/>
      <c r="F522" s="281" t="s">
        <v>600</v>
      </c>
      <c r="G522" s="281"/>
      <c r="H522" s="281"/>
      <c r="I522" s="316" t="s">
        <v>275</v>
      </c>
      <c r="J522" s="308"/>
      <c r="K522" s="282" t="s">
        <v>31</v>
      </c>
      <c r="L52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2" s="283" t="s">
        <v>383</v>
      </c>
      <c r="N522" s="283">
        <v>50</v>
      </c>
      <c r="O522" s="285">
        <v>0.42</v>
      </c>
      <c r="P522" s="284">
        <f>IFERROR(_xlfn.LET(_xlpm.boxType, K522, _xlpm.tallos, N522, _xlpm.cost, O522, _xlpm.precio, Q522,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22" s="295">
        <v>1.59</v>
      </c>
      <c r="R522" s="285" t="s">
        <v>283</v>
      </c>
      <c r="S52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2" s="285">
        <v>0.42</v>
      </c>
      <c r="U52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22" s="287">
        <v>0.99</v>
      </c>
    </row>
    <row r="523" spans="1:22" x14ac:dyDescent="0.25">
      <c r="A523" s="277" t="s">
        <v>85</v>
      </c>
      <c r="B523" s="278">
        <f>_xlfn.XLOOKUP(Catalogo[[#This Row],[Finca]], Fincas[Nombre], Fincas[ID])</f>
        <v>38</v>
      </c>
      <c r="C523" s="277" t="s">
        <v>646</v>
      </c>
      <c r="D523" s="277" t="s">
        <v>833</v>
      </c>
      <c r="E523" s="277"/>
      <c r="F523" s="277" t="s">
        <v>600</v>
      </c>
      <c r="G523" s="277"/>
      <c r="H523" s="277"/>
      <c r="I523" s="311" t="s">
        <v>275</v>
      </c>
      <c r="J523" s="309"/>
      <c r="K523" s="278" t="s">
        <v>35</v>
      </c>
      <c r="L52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3" s="279" t="s">
        <v>385</v>
      </c>
      <c r="N523" s="279">
        <v>100</v>
      </c>
      <c r="O523" s="276">
        <v>0.42</v>
      </c>
      <c r="P523" s="280">
        <f>IFERROR(_xlfn.LET(_xlpm.boxType, K523, _xlpm.tallos, N523, _xlpm.cost, O523, _xlpm.precio, Q523,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23" s="296">
        <v>1.59</v>
      </c>
      <c r="R523" s="276" t="s">
        <v>284</v>
      </c>
      <c r="S52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3" s="276">
        <v>0.42</v>
      </c>
      <c r="U52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23" s="274">
        <v>0.89</v>
      </c>
    </row>
    <row r="524" spans="1:22" ht="15.75" thickBot="1" x14ac:dyDescent="0.3">
      <c r="A524" s="288" t="s">
        <v>85</v>
      </c>
      <c r="B524" s="289">
        <f>_xlfn.XLOOKUP(Catalogo[[#This Row],[Finca]], Fincas[Nombre], Fincas[ID])</f>
        <v>38</v>
      </c>
      <c r="C524" s="288" t="s">
        <v>646</v>
      </c>
      <c r="D524" s="288" t="s">
        <v>833</v>
      </c>
      <c r="E524" s="288"/>
      <c r="F524" s="288" t="s">
        <v>600</v>
      </c>
      <c r="G524" s="288"/>
      <c r="H524" s="288"/>
      <c r="I524" s="317" t="s">
        <v>275</v>
      </c>
      <c r="J524" s="310"/>
      <c r="K524" s="289" t="s">
        <v>93</v>
      </c>
      <c r="L52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4" s="290" t="s">
        <v>387</v>
      </c>
      <c r="N524" s="290">
        <v>200</v>
      </c>
      <c r="O524" s="292">
        <v>0.42</v>
      </c>
      <c r="P524" s="291">
        <f>IFERROR(_xlfn.LET(_xlpm.boxType, K524, _xlpm.tallos, N524, _xlpm.cost, O524, _xlpm.precio, Q524,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24" s="297">
        <v>1.59</v>
      </c>
      <c r="R524" s="292" t="s">
        <v>285</v>
      </c>
      <c r="S52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4" s="292">
        <v>0.42</v>
      </c>
      <c r="U52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24" s="294">
        <v>0.89</v>
      </c>
    </row>
    <row r="525" spans="1:22" x14ac:dyDescent="0.25">
      <c r="A525" s="281" t="s">
        <v>85</v>
      </c>
      <c r="B525" s="282">
        <f>_xlfn.XLOOKUP(Catalogo[[#This Row],[Finca]], Fincas[Nombre], Fincas[ID])</f>
        <v>38</v>
      </c>
      <c r="C525" s="281" t="s">
        <v>646</v>
      </c>
      <c r="D525" s="281" t="s">
        <v>834</v>
      </c>
      <c r="E525" s="281"/>
      <c r="F525" s="281" t="s">
        <v>576</v>
      </c>
      <c r="G525" s="281"/>
      <c r="H525" s="281"/>
      <c r="I525" s="316" t="s">
        <v>273</v>
      </c>
      <c r="J525" s="308"/>
      <c r="K525" s="282" t="s">
        <v>31</v>
      </c>
      <c r="L52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5" s="283" t="s">
        <v>383</v>
      </c>
      <c r="N525" s="283">
        <v>50</v>
      </c>
      <c r="O525" s="285">
        <v>0.26</v>
      </c>
      <c r="P525" s="284">
        <f>IFERROR(_xlfn.LET(_xlpm.boxType, K525, _xlpm.tallos, N525, _xlpm.cost, O525, _xlpm.precio, Q525,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25" s="295">
        <v>1.29</v>
      </c>
      <c r="R525" s="285" t="s">
        <v>283</v>
      </c>
      <c r="S52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5" s="285">
        <v>0.26</v>
      </c>
      <c r="U52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25" s="287">
        <v>0.75</v>
      </c>
    </row>
    <row r="526" spans="1:22" x14ac:dyDescent="0.25">
      <c r="A526" s="277" t="s">
        <v>85</v>
      </c>
      <c r="B526" s="278">
        <f>_xlfn.XLOOKUP(Catalogo[[#This Row],[Finca]], Fincas[Nombre], Fincas[ID])</f>
        <v>38</v>
      </c>
      <c r="C526" s="277" t="s">
        <v>646</v>
      </c>
      <c r="D526" s="277" t="s">
        <v>834</v>
      </c>
      <c r="E526" s="277"/>
      <c r="F526" s="277" t="s">
        <v>576</v>
      </c>
      <c r="G526" s="277"/>
      <c r="H526" s="277"/>
      <c r="I526" s="311" t="s">
        <v>273</v>
      </c>
      <c r="J526" s="309"/>
      <c r="K526" s="278" t="s">
        <v>35</v>
      </c>
      <c r="L52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6" s="279" t="s">
        <v>385</v>
      </c>
      <c r="N526" s="279">
        <v>150</v>
      </c>
      <c r="O526" s="276">
        <v>0.26</v>
      </c>
      <c r="P526" s="280">
        <f>IFERROR(_xlfn.LET(_xlpm.boxType, K526, _xlpm.tallos, N526, _xlpm.cost, O526, _xlpm.precio, Q526,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26" s="296">
        <v>1.19</v>
      </c>
      <c r="R526" s="276" t="s">
        <v>284</v>
      </c>
      <c r="S52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6" s="276">
        <v>0.26</v>
      </c>
      <c r="U52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26" s="274">
        <v>0.69</v>
      </c>
    </row>
    <row r="527" spans="1:22" ht="15.75" thickBot="1" x14ac:dyDescent="0.3">
      <c r="A527" s="288" t="s">
        <v>85</v>
      </c>
      <c r="B527" s="289">
        <f>_xlfn.XLOOKUP(Catalogo[[#This Row],[Finca]], Fincas[Nombre], Fincas[ID])</f>
        <v>38</v>
      </c>
      <c r="C527" s="288" t="s">
        <v>646</v>
      </c>
      <c r="D527" s="288" t="s">
        <v>834</v>
      </c>
      <c r="E527" s="288"/>
      <c r="F527" s="288" t="s">
        <v>576</v>
      </c>
      <c r="G527" s="288"/>
      <c r="H527" s="288"/>
      <c r="I527" s="317" t="s">
        <v>273</v>
      </c>
      <c r="J527" s="310"/>
      <c r="K527" s="289" t="s">
        <v>93</v>
      </c>
      <c r="L52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7" s="290" t="s">
        <v>387</v>
      </c>
      <c r="N527" s="290">
        <v>300</v>
      </c>
      <c r="O527" s="292">
        <v>0.26</v>
      </c>
      <c r="P527" s="291">
        <f>IFERROR(_xlfn.LET(_xlpm.boxType, K527, _xlpm.tallos, N527, _xlpm.cost, O527, _xlpm.precio, Q527,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27" s="297">
        <v>1.19</v>
      </c>
      <c r="R527" s="292" t="s">
        <v>285</v>
      </c>
      <c r="S52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7" s="292">
        <v>0.26</v>
      </c>
      <c r="U52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27" s="294">
        <v>0.69</v>
      </c>
    </row>
    <row r="528" spans="1:22" x14ac:dyDescent="0.25">
      <c r="A528" s="277" t="s">
        <v>85</v>
      </c>
      <c r="B528" s="278">
        <f>_xlfn.XLOOKUP(Catalogo[[#This Row],[Finca]], Fincas[Nombre], Fincas[ID])</f>
        <v>38</v>
      </c>
      <c r="C528" s="277" t="s">
        <v>646</v>
      </c>
      <c r="D528" s="277" t="s">
        <v>834</v>
      </c>
      <c r="E528" s="277"/>
      <c r="F528" s="277" t="s">
        <v>576</v>
      </c>
      <c r="G528" s="277"/>
      <c r="H528" s="277"/>
      <c r="I528" s="311" t="s">
        <v>274</v>
      </c>
      <c r="J528" s="309"/>
      <c r="K528" s="278" t="s">
        <v>31</v>
      </c>
      <c r="L52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8" s="279" t="s">
        <v>383</v>
      </c>
      <c r="N528" s="279">
        <v>50</v>
      </c>
      <c r="O528" s="276">
        <v>0.36</v>
      </c>
      <c r="P528" s="280">
        <f>IFERROR(_xlfn.LET(_xlpm.boxType, K528, _xlpm.tallos, N528, _xlpm.cost, O528, _xlpm.precio, Q528,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28" s="296">
        <v>1.49</v>
      </c>
      <c r="R528" s="276" t="s">
        <v>283</v>
      </c>
      <c r="S52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8" s="276">
        <v>0.36</v>
      </c>
      <c r="U52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28" s="274">
        <v>0.85</v>
      </c>
    </row>
    <row r="529" spans="1:22" x14ac:dyDescent="0.25">
      <c r="A529" s="277" t="s">
        <v>85</v>
      </c>
      <c r="B529" s="278">
        <f>_xlfn.XLOOKUP(Catalogo[[#This Row],[Finca]], Fincas[Nombre], Fincas[ID])</f>
        <v>38</v>
      </c>
      <c r="C529" s="277" t="s">
        <v>646</v>
      </c>
      <c r="D529" s="277" t="s">
        <v>834</v>
      </c>
      <c r="E529" s="277"/>
      <c r="F529" s="277" t="s">
        <v>576</v>
      </c>
      <c r="G529" s="277"/>
      <c r="H529" s="277"/>
      <c r="I529" s="311" t="s">
        <v>274</v>
      </c>
      <c r="J529" s="309"/>
      <c r="K529" s="278" t="s">
        <v>35</v>
      </c>
      <c r="L5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29" s="279" t="s">
        <v>385</v>
      </c>
      <c r="N529" s="279">
        <v>125</v>
      </c>
      <c r="O529" s="276">
        <v>0.36</v>
      </c>
      <c r="P529" s="280">
        <f>IFERROR(_xlfn.LET(_xlpm.boxType, K529, _xlpm.tallos, N529, _xlpm.cost, O529, _xlpm.precio, Q529,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29" s="296">
        <v>1.39</v>
      </c>
      <c r="R529" s="276" t="s">
        <v>284</v>
      </c>
      <c r="S5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29" s="276">
        <v>0.36</v>
      </c>
      <c r="U52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29" s="274">
        <v>0.79</v>
      </c>
    </row>
    <row r="530" spans="1:22" ht="15.75" thickBot="1" x14ac:dyDescent="0.3">
      <c r="A530" s="277" t="s">
        <v>85</v>
      </c>
      <c r="B530" s="278">
        <f>_xlfn.XLOOKUP(Catalogo[[#This Row],[Finca]], Fincas[Nombre], Fincas[ID])</f>
        <v>38</v>
      </c>
      <c r="C530" s="277" t="s">
        <v>646</v>
      </c>
      <c r="D530" s="277" t="s">
        <v>834</v>
      </c>
      <c r="E530" s="277"/>
      <c r="F530" s="277" t="s">
        <v>576</v>
      </c>
      <c r="G530" s="277"/>
      <c r="H530" s="277"/>
      <c r="I530" s="311" t="s">
        <v>274</v>
      </c>
      <c r="J530" s="309"/>
      <c r="K530" s="278" t="s">
        <v>93</v>
      </c>
      <c r="L5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0" s="279" t="s">
        <v>387</v>
      </c>
      <c r="N530" s="279">
        <v>250</v>
      </c>
      <c r="O530" s="276">
        <v>0.36</v>
      </c>
      <c r="P530" s="280">
        <f>IFERROR(_xlfn.LET(_xlpm.boxType, K530, _xlpm.tallos, N530, _xlpm.cost, O530, _xlpm.precio, Q530,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30" s="296">
        <v>1.39</v>
      </c>
      <c r="R530" s="276" t="s">
        <v>285</v>
      </c>
      <c r="S5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0" s="276">
        <v>0.36</v>
      </c>
      <c r="U53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30" s="274">
        <v>0.79</v>
      </c>
    </row>
    <row r="531" spans="1:22" x14ac:dyDescent="0.25">
      <c r="A531" s="281" t="s">
        <v>85</v>
      </c>
      <c r="B531" s="282">
        <f>_xlfn.XLOOKUP(Catalogo[[#This Row],[Finca]], Fincas[Nombre], Fincas[ID])</f>
        <v>38</v>
      </c>
      <c r="C531" s="281" t="s">
        <v>646</v>
      </c>
      <c r="D531" s="281" t="s">
        <v>834</v>
      </c>
      <c r="E531" s="281"/>
      <c r="F531" s="281" t="s">
        <v>576</v>
      </c>
      <c r="G531" s="281"/>
      <c r="H531" s="281"/>
      <c r="I531" s="316" t="s">
        <v>275</v>
      </c>
      <c r="J531" s="308"/>
      <c r="K531" s="282" t="s">
        <v>31</v>
      </c>
      <c r="L53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1" s="283" t="s">
        <v>383</v>
      </c>
      <c r="N531" s="283">
        <v>50</v>
      </c>
      <c r="O531" s="285">
        <v>0.42</v>
      </c>
      <c r="P531" s="284">
        <f>IFERROR(_xlfn.LET(_xlpm.boxType, K531, _xlpm.tallos, N531, _xlpm.cost, O531, _xlpm.precio, Q531,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31" s="295">
        <v>1.59</v>
      </c>
      <c r="R531" s="285" t="s">
        <v>283</v>
      </c>
      <c r="S53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1" s="285">
        <v>0.42</v>
      </c>
      <c r="U53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31" s="287">
        <v>0.99</v>
      </c>
    </row>
    <row r="532" spans="1:22" x14ac:dyDescent="0.25">
      <c r="A532" s="277" t="s">
        <v>85</v>
      </c>
      <c r="B532" s="278">
        <f>_xlfn.XLOOKUP(Catalogo[[#This Row],[Finca]], Fincas[Nombre], Fincas[ID])</f>
        <v>38</v>
      </c>
      <c r="C532" s="277" t="s">
        <v>646</v>
      </c>
      <c r="D532" s="277" t="s">
        <v>834</v>
      </c>
      <c r="E532" s="277"/>
      <c r="F532" s="277" t="s">
        <v>576</v>
      </c>
      <c r="G532" s="277"/>
      <c r="H532" s="277"/>
      <c r="I532" s="311" t="s">
        <v>275</v>
      </c>
      <c r="J532" s="309"/>
      <c r="K532" s="278" t="s">
        <v>35</v>
      </c>
      <c r="L53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2" s="279" t="s">
        <v>385</v>
      </c>
      <c r="N532" s="279">
        <v>100</v>
      </c>
      <c r="O532" s="276">
        <v>0.42</v>
      </c>
      <c r="P532" s="280">
        <f>IFERROR(_xlfn.LET(_xlpm.boxType, K532, _xlpm.tallos, N532, _xlpm.cost, O532, _xlpm.precio, Q532,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32" s="296">
        <v>1.59</v>
      </c>
      <c r="R532" s="276" t="s">
        <v>284</v>
      </c>
      <c r="S53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2" s="276">
        <v>0.42</v>
      </c>
      <c r="U53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32" s="274">
        <v>0.89</v>
      </c>
    </row>
    <row r="533" spans="1:22" ht="15.75" thickBot="1" x14ac:dyDescent="0.3">
      <c r="A533" s="288" t="s">
        <v>85</v>
      </c>
      <c r="B533" s="289">
        <f>_xlfn.XLOOKUP(Catalogo[[#This Row],[Finca]], Fincas[Nombre], Fincas[ID])</f>
        <v>38</v>
      </c>
      <c r="C533" s="288" t="s">
        <v>646</v>
      </c>
      <c r="D533" s="288" t="s">
        <v>834</v>
      </c>
      <c r="E533" s="288"/>
      <c r="F533" s="288" t="s">
        <v>576</v>
      </c>
      <c r="G533" s="288"/>
      <c r="H533" s="288"/>
      <c r="I533" s="317" t="s">
        <v>275</v>
      </c>
      <c r="J533" s="310"/>
      <c r="K533" s="289" t="s">
        <v>93</v>
      </c>
      <c r="L53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3" s="290" t="s">
        <v>387</v>
      </c>
      <c r="N533" s="290">
        <v>200</v>
      </c>
      <c r="O533" s="292">
        <v>0.42</v>
      </c>
      <c r="P533" s="291">
        <f>IFERROR(_xlfn.LET(_xlpm.boxType, K533, _xlpm.tallos, N533, _xlpm.cost, O533, _xlpm.precio, Q533,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33" s="297">
        <v>1.59</v>
      </c>
      <c r="R533" s="292" t="s">
        <v>285</v>
      </c>
      <c r="S53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3" s="292">
        <v>0.42</v>
      </c>
      <c r="U53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33" s="294">
        <v>0.89</v>
      </c>
    </row>
    <row r="534" spans="1:22" x14ac:dyDescent="0.25">
      <c r="A534" s="281" t="s">
        <v>85</v>
      </c>
      <c r="B534" s="282">
        <f>_xlfn.XLOOKUP(Catalogo[[#This Row],[Finca]], Fincas[Nombre], Fincas[ID])</f>
        <v>38</v>
      </c>
      <c r="C534" s="281" t="s">
        <v>646</v>
      </c>
      <c r="D534" s="281" t="s">
        <v>835</v>
      </c>
      <c r="E534" s="281"/>
      <c r="F534" s="281" t="s">
        <v>534</v>
      </c>
      <c r="G534" s="281"/>
      <c r="H534" s="281"/>
      <c r="I534" s="316" t="s">
        <v>273</v>
      </c>
      <c r="J534" s="308"/>
      <c r="K534" s="282" t="s">
        <v>31</v>
      </c>
      <c r="L53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4" s="283" t="s">
        <v>383</v>
      </c>
      <c r="N534" s="283">
        <v>50</v>
      </c>
      <c r="O534" s="285">
        <v>0.26</v>
      </c>
      <c r="P534" s="284">
        <f>IFERROR(_xlfn.LET(_xlpm.boxType, K534, _xlpm.tallos, N534, _xlpm.cost, O534, _xlpm.precio, Q534,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34" s="295">
        <v>1.29</v>
      </c>
      <c r="R534" s="285" t="s">
        <v>283</v>
      </c>
      <c r="S53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4" s="285">
        <v>0.26</v>
      </c>
      <c r="U53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34" s="287">
        <v>0.75</v>
      </c>
    </row>
    <row r="535" spans="1:22" x14ac:dyDescent="0.25">
      <c r="A535" s="277" t="s">
        <v>85</v>
      </c>
      <c r="B535" s="278">
        <f>_xlfn.XLOOKUP(Catalogo[[#This Row],[Finca]], Fincas[Nombre], Fincas[ID])</f>
        <v>38</v>
      </c>
      <c r="C535" s="277" t="s">
        <v>646</v>
      </c>
      <c r="D535" s="277" t="s">
        <v>835</v>
      </c>
      <c r="E535" s="277"/>
      <c r="F535" s="277" t="s">
        <v>534</v>
      </c>
      <c r="G535" s="277"/>
      <c r="H535" s="277"/>
      <c r="I535" s="311" t="s">
        <v>273</v>
      </c>
      <c r="J535" s="309"/>
      <c r="K535" s="278" t="s">
        <v>35</v>
      </c>
      <c r="L53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5" s="279" t="s">
        <v>385</v>
      </c>
      <c r="N535" s="279">
        <v>150</v>
      </c>
      <c r="O535" s="276">
        <v>0.26</v>
      </c>
      <c r="P535" s="280">
        <f>IFERROR(_xlfn.LET(_xlpm.boxType, K535, _xlpm.tallos, N535, _xlpm.cost, O535, _xlpm.precio, Q535,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35" s="296">
        <v>1.19</v>
      </c>
      <c r="R535" s="276" t="s">
        <v>284</v>
      </c>
      <c r="S53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5" s="276">
        <v>0.26</v>
      </c>
      <c r="U53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35" s="274">
        <v>0.69</v>
      </c>
    </row>
    <row r="536" spans="1:22" ht="15.75" thickBot="1" x14ac:dyDescent="0.3">
      <c r="A536" s="288" t="s">
        <v>85</v>
      </c>
      <c r="B536" s="289">
        <f>_xlfn.XLOOKUP(Catalogo[[#This Row],[Finca]], Fincas[Nombre], Fincas[ID])</f>
        <v>38</v>
      </c>
      <c r="C536" s="288" t="s">
        <v>646</v>
      </c>
      <c r="D536" s="288" t="s">
        <v>835</v>
      </c>
      <c r="E536" s="288"/>
      <c r="F536" s="288" t="s">
        <v>534</v>
      </c>
      <c r="G536" s="288"/>
      <c r="H536" s="288"/>
      <c r="I536" s="317" t="s">
        <v>273</v>
      </c>
      <c r="J536" s="310"/>
      <c r="K536" s="289" t="s">
        <v>93</v>
      </c>
      <c r="L53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6" s="290" t="s">
        <v>387</v>
      </c>
      <c r="N536" s="290">
        <v>300</v>
      </c>
      <c r="O536" s="292">
        <v>0.26</v>
      </c>
      <c r="P536" s="291">
        <f>IFERROR(_xlfn.LET(_xlpm.boxType, K536, _xlpm.tallos, N536, _xlpm.cost, O536, _xlpm.precio, Q536,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36" s="297">
        <v>1.19</v>
      </c>
      <c r="R536" s="292" t="s">
        <v>285</v>
      </c>
      <c r="S53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6" s="292">
        <v>0.26</v>
      </c>
      <c r="U53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36" s="294">
        <v>0.69</v>
      </c>
    </row>
    <row r="537" spans="1:22" x14ac:dyDescent="0.25">
      <c r="A537" s="277" t="s">
        <v>85</v>
      </c>
      <c r="B537" s="278">
        <f>_xlfn.XLOOKUP(Catalogo[[#This Row],[Finca]], Fincas[Nombre], Fincas[ID])</f>
        <v>38</v>
      </c>
      <c r="C537" s="277" t="s">
        <v>646</v>
      </c>
      <c r="D537" s="277" t="s">
        <v>835</v>
      </c>
      <c r="E537" s="277"/>
      <c r="F537" s="277" t="s">
        <v>534</v>
      </c>
      <c r="G537" s="277"/>
      <c r="H537" s="277"/>
      <c r="I537" s="311" t="s">
        <v>274</v>
      </c>
      <c r="J537" s="309"/>
      <c r="K537" s="278" t="s">
        <v>31</v>
      </c>
      <c r="L53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7" s="279" t="s">
        <v>383</v>
      </c>
      <c r="N537" s="279">
        <v>50</v>
      </c>
      <c r="O537" s="276">
        <v>0.36</v>
      </c>
      <c r="P537" s="280">
        <f>IFERROR(_xlfn.LET(_xlpm.boxType, K537, _xlpm.tallos, N537, _xlpm.cost, O537, _xlpm.precio, Q537,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37" s="296">
        <v>1.49</v>
      </c>
      <c r="R537" s="276" t="s">
        <v>283</v>
      </c>
      <c r="S53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7" s="276">
        <v>0.36</v>
      </c>
      <c r="U53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37" s="274">
        <v>0.85</v>
      </c>
    </row>
    <row r="538" spans="1:22" x14ac:dyDescent="0.25">
      <c r="A538" s="277" t="s">
        <v>85</v>
      </c>
      <c r="B538" s="278">
        <f>_xlfn.XLOOKUP(Catalogo[[#This Row],[Finca]], Fincas[Nombre], Fincas[ID])</f>
        <v>38</v>
      </c>
      <c r="C538" s="277" t="s">
        <v>646</v>
      </c>
      <c r="D538" s="277" t="s">
        <v>835</v>
      </c>
      <c r="E538" s="277"/>
      <c r="F538" s="277" t="s">
        <v>534</v>
      </c>
      <c r="G538" s="277"/>
      <c r="H538" s="277"/>
      <c r="I538" s="311" t="s">
        <v>274</v>
      </c>
      <c r="J538" s="309"/>
      <c r="K538" s="278" t="s">
        <v>35</v>
      </c>
      <c r="L5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8" s="279" t="s">
        <v>385</v>
      </c>
      <c r="N538" s="279">
        <v>125</v>
      </c>
      <c r="O538" s="276">
        <v>0.36</v>
      </c>
      <c r="P538" s="280">
        <f>IFERROR(_xlfn.LET(_xlpm.boxType, K538, _xlpm.tallos, N538, _xlpm.cost, O538, _xlpm.precio, Q538,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38" s="296">
        <v>1.39</v>
      </c>
      <c r="R538" s="276" t="s">
        <v>284</v>
      </c>
      <c r="S5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8" s="276">
        <v>0.36</v>
      </c>
      <c r="U5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38" s="274">
        <v>0.79</v>
      </c>
    </row>
    <row r="539" spans="1:22" ht="15.75" thickBot="1" x14ac:dyDescent="0.3">
      <c r="A539" s="277" t="s">
        <v>85</v>
      </c>
      <c r="B539" s="278">
        <f>_xlfn.XLOOKUP(Catalogo[[#This Row],[Finca]], Fincas[Nombre], Fincas[ID])</f>
        <v>38</v>
      </c>
      <c r="C539" s="277" t="s">
        <v>646</v>
      </c>
      <c r="D539" s="277" t="s">
        <v>835</v>
      </c>
      <c r="E539" s="277"/>
      <c r="F539" s="277" t="s">
        <v>534</v>
      </c>
      <c r="G539" s="277"/>
      <c r="H539" s="277"/>
      <c r="I539" s="311" t="s">
        <v>274</v>
      </c>
      <c r="J539" s="309"/>
      <c r="K539" s="278" t="s">
        <v>93</v>
      </c>
      <c r="L5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39" s="279" t="s">
        <v>387</v>
      </c>
      <c r="N539" s="279">
        <v>250</v>
      </c>
      <c r="O539" s="276">
        <v>0.36</v>
      </c>
      <c r="P539" s="280">
        <f>IFERROR(_xlfn.LET(_xlpm.boxType, K539, _xlpm.tallos, N539, _xlpm.cost, O539, _xlpm.precio, Q539,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39" s="296">
        <v>1.39</v>
      </c>
      <c r="R539" s="276" t="s">
        <v>285</v>
      </c>
      <c r="S5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39" s="276">
        <v>0.36</v>
      </c>
      <c r="U53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39" s="274">
        <v>0.79</v>
      </c>
    </row>
    <row r="540" spans="1:22" x14ac:dyDescent="0.25">
      <c r="A540" s="281" t="s">
        <v>85</v>
      </c>
      <c r="B540" s="282">
        <f>_xlfn.XLOOKUP(Catalogo[[#This Row],[Finca]], Fincas[Nombre], Fincas[ID])</f>
        <v>38</v>
      </c>
      <c r="C540" s="281" t="s">
        <v>646</v>
      </c>
      <c r="D540" s="281" t="s">
        <v>835</v>
      </c>
      <c r="E540" s="281"/>
      <c r="F540" s="281" t="s">
        <v>534</v>
      </c>
      <c r="G540" s="281"/>
      <c r="H540" s="281"/>
      <c r="I540" s="316" t="s">
        <v>275</v>
      </c>
      <c r="J540" s="308"/>
      <c r="K540" s="282" t="s">
        <v>31</v>
      </c>
      <c r="L54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0" s="283" t="s">
        <v>383</v>
      </c>
      <c r="N540" s="283">
        <v>50</v>
      </c>
      <c r="O540" s="285">
        <v>0.42</v>
      </c>
      <c r="P540" s="284">
        <f>IFERROR(_xlfn.LET(_xlpm.boxType, K540, _xlpm.tallos, N540, _xlpm.cost, O540, _xlpm.precio, Q540,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40" s="295">
        <v>1.59</v>
      </c>
      <c r="R540" s="285" t="s">
        <v>283</v>
      </c>
      <c r="S54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0" s="285">
        <v>0.42</v>
      </c>
      <c r="U54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40" s="287">
        <v>0.99</v>
      </c>
    </row>
    <row r="541" spans="1:22" x14ac:dyDescent="0.25">
      <c r="A541" s="277" t="s">
        <v>85</v>
      </c>
      <c r="B541" s="278">
        <f>_xlfn.XLOOKUP(Catalogo[[#This Row],[Finca]], Fincas[Nombre], Fincas[ID])</f>
        <v>38</v>
      </c>
      <c r="C541" s="277" t="s">
        <v>646</v>
      </c>
      <c r="D541" s="277" t="s">
        <v>835</v>
      </c>
      <c r="E541" s="277"/>
      <c r="F541" s="277" t="s">
        <v>534</v>
      </c>
      <c r="G541" s="277"/>
      <c r="H541" s="277"/>
      <c r="I541" s="311" t="s">
        <v>275</v>
      </c>
      <c r="J541" s="309"/>
      <c r="K541" s="278" t="s">
        <v>35</v>
      </c>
      <c r="L54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1" s="279" t="s">
        <v>385</v>
      </c>
      <c r="N541" s="279">
        <v>100</v>
      </c>
      <c r="O541" s="276">
        <v>0.42</v>
      </c>
      <c r="P541" s="280">
        <f>IFERROR(_xlfn.LET(_xlpm.boxType, K541, _xlpm.tallos, N541, _xlpm.cost, O541, _xlpm.precio, Q541,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41" s="296">
        <v>1.59</v>
      </c>
      <c r="R541" s="276" t="s">
        <v>284</v>
      </c>
      <c r="S54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1" s="276">
        <v>0.42</v>
      </c>
      <c r="U54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41" s="274">
        <v>0.89</v>
      </c>
    </row>
    <row r="542" spans="1:22" ht="15.75" thickBot="1" x14ac:dyDescent="0.3">
      <c r="A542" s="288" t="s">
        <v>85</v>
      </c>
      <c r="B542" s="289">
        <f>_xlfn.XLOOKUP(Catalogo[[#This Row],[Finca]], Fincas[Nombre], Fincas[ID])</f>
        <v>38</v>
      </c>
      <c r="C542" s="288" t="s">
        <v>646</v>
      </c>
      <c r="D542" s="288" t="s">
        <v>835</v>
      </c>
      <c r="E542" s="288"/>
      <c r="F542" s="288" t="s">
        <v>534</v>
      </c>
      <c r="G542" s="288"/>
      <c r="H542" s="288"/>
      <c r="I542" s="317" t="s">
        <v>275</v>
      </c>
      <c r="J542" s="310"/>
      <c r="K542" s="289" t="s">
        <v>93</v>
      </c>
      <c r="L54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2" s="290" t="s">
        <v>387</v>
      </c>
      <c r="N542" s="290">
        <v>200</v>
      </c>
      <c r="O542" s="292">
        <v>0.42</v>
      </c>
      <c r="P542" s="291">
        <f>IFERROR(_xlfn.LET(_xlpm.boxType, K542, _xlpm.tallos, N542, _xlpm.cost, O542, _xlpm.precio, Q542,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42" s="297">
        <v>1.59</v>
      </c>
      <c r="R542" s="292" t="s">
        <v>285</v>
      </c>
      <c r="S54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2" s="292">
        <v>0.42</v>
      </c>
      <c r="U54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42" s="294">
        <v>0.89</v>
      </c>
    </row>
    <row r="543" spans="1:22" x14ac:dyDescent="0.25">
      <c r="A543" s="281" t="s">
        <v>85</v>
      </c>
      <c r="B543" s="282">
        <f>_xlfn.XLOOKUP(Catalogo[[#This Row],[Finca]], Fincas[Nombre], Fincas[ID])</f>
        <v>38</v>
      </c>
      <c r="C543" s="281" t="s">
        <v>646</v>
      </c>
      <c r="D543" s="281" t="s">
        <v>836</v>
      </c>
      <c r="E543" s="281"/>
      <c r="F543" s="281" t="s">
        <v>519</v>
      </c>
      <c r="G543" s="281" t="s">
        <v>576</v>
      </c>
      <c r="H543" s="281"/>
      <c r="I543" s="316" t="s">
        <v>273</v>
      </c>
      <c r="J543" s="308"/>
      <c r="K543" s="282" t="s">
        <v>31</v>
      </c>
      <c r="L54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3" s="283" t="s">
        <v>383</v>
      </c>
      <c r="N543" s="283">
        <v>50</v>
      </c>
      <c r="O543" s="285">
        <v>0.26</v>
      </c>
      <c r="P543" s="284">
        <f>IFERROR(_xlfn.LET(_xlpm.boxType, K543, _xlpm.tallos, N543, _xlpm.cost, O543, _xlpm.precio, Q543,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43" s="295">
        <v>1.29</v>
      </c>
      <c r="R543" s="285" t="s">
        <v>283</v>
      </c>
      <c r="S54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3" s="285">
        <v>0.26</v>
      </c>
      <c r="U54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43" s="287">
        <v>0.75</v>
      </c>
    </row>
    <row r="544" spans="1:22" x14ac:dyDescent="0.25">
      <c r="A544" s="277" t="s">
        <v>85</v>
      </c>
      <c r="B544" s="278">
        <f>_xlfn.XLOOKUP(Catalogo[[#This Row],[Finca]], Fincas[Nombre], Fincas[ID])</f>
        <v>38</v>
      </c>
      <c r="C544" s="277" t="s">
        <v>646</v>
      </c>
      <c r="D544" s="277" t="s">
        <v>836</v>
      </c>
      <c r="E544" s="277"/>
      <c r="F544" s="277" t="s">
        <v>519</v>
      </c>
      <c r="G544" s="277" t="s">
        <v>576</v>
      </c>
      <c r="H544" s="277"/>
      <c r="I544" s="311" t="s">
        <v>273</v>
      </c>
      <c r="J544" s="309"/>
      <c r="K544" s="278" t="s">
        <v>35</v>
      </c>
      <c r="L54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4" s="279" t="s">
        <v>385</v>
      </c>
      <c r="N544" s="279">
        <v>150</v>
      </c>
      <c r="O544" s="276">
        <v>0.26</v>
      </c>
      <c r="P544" s="280">
        <f>IFERROR(_xlfn.LET(_xlpm.boxType, K544, _xlpm.tallos, N544, _xlpm.cost, O544, _xlpm.precio, Q544,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44" s="296">
        <v>1.19</v>
      </c>
      <c r="R544" s="276" t="s">
        <v>284</v>
      </c>
      <c r="S54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4" s="276">
        <v>0.26</v>
      </c>
      <c r="U54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44" s="274">
        <v>0.69</v>
      </c>
    </row>
    <row r="545" spans="1:22" ht="15.75" thickBot="1" x14ac:dyDescent="0.3">
      <c r="A545" s="288" t="s">
        <v>85</v>
      </c>
      <c r="B545" s="289">
        <f>_xlfn.XLOOKUP(Catalogo[[#This Row],[Finca]], Fincas[Nombre], Fincas[ID])</f>
        <v>38</v>
      </c>
      <c r="C545" s="288" t="s">
        <v>646</v>
      </c>
      <c r="D545" s="288" t="s">
        <v>836</v>
      </c>
      <c r="E545" s="288"/>
      <c r="F545" s="288" t="s">
        <v>519</v>
      </c>
      <c r="G545" s="288" t="s">
        <v>576</v>
      </c>
      <c r="H545" s="288"/>
      <c r="I545" s="317" t="s">
        <v>273</v>
      </c>
      <c r="J545" s="310"/>
      <c r="K545" s="289" t="s">
        <v>93</v>
      </c>
      <c r="L54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5" s="290" t="s">
        <v>387</v>
      </c>
      <c r="N545" s="290">
        <v>300</v>
      </c>
      <c r="O545" s="292">
        <v>0.26</v>
      </c>
      <c r="P545" s="291">
        <f>IFERROR(_xlfn.LET(_xlpm.boxType, K545, _xlpm.tallos, N545, _xlpm.cost, O545, _xlpm.precio, Q545,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45" s="297">
        <v>1.19</v>
      </c>
      <c r="R545" s="292" t="s">
        <v>285</v>
      </c>
      <c r="S54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5" s="292">
        <v>0.26</v>
      </c>
      <c r="U54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45" s="294">
        <v>0.69</v>
      </c>
    </row>
    <row r="546" spans="1:22" x14ac:dyDescent="0.25">
      <c r="A546" s="277" t="s">
        <v>85</v>
      </c>
      <c r="B546" s="278">
        <f>_xlfn.XLOOKUP(Catalogo[[#This Row],[Finca]], Fincas[Nombre], Fincas[ID])</f>
        <v>38</v>
      </c>
      <c r="C546" s="277" t="s">
        <v>646</v>
      </c>
      <c r="D546" s="277" t="s">
        <v>836</v>
      </c>
      <c r="E546" s="277"/>
      <c r="F546" s="277" t="s">
        <v>519</v>
      </c>
      <c r="G546" s="277" t="s">
        <v>576</v>
      </c>
      <c r="H546" s="277"/>
      <c r="I546" s="311" t="s">
        <v>274</v>
      </c>
      <c r="J546" s="309"/>
      <c r="K546" s="278" t="s">
        <v>31</v>
      </c>
      <c r="L54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6" s="279" t="s">
        <v>383</v>
      </c>
      <c r="N546" s="279">
        <v>50</v>
      </c>
      <c r="O546" s="276">
        <v>0.36</v>
      </c>
      <c r="P546" s="280">
        <f>IFERROR(_xlfn.LET(_xlpm.boxType, K546, _xlpm.tallos, N546, _xlpm.cost, O546, _xlpm.precio, Q546,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46" s="296">
        <v>1.49</v>
      </c>
      <c r="R546" s="276" t="s">
        <v>283</v>
      </c>
      <c r="S54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6" s="276">
        <v>0.36</v>
      </c>
      <c r="U54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46" s="274">
        <v>0.85</v>
      </c>
    </row>
    <row r="547" spans="1:22" x14ac:dyDescent="0.25">
      <c r="A547" s="277" t="s">
        <v>85</v>
      </c>
      <c r="B547" s="278">
        <f>_xlfn.XLOOKUP(Catalogo[[#This Row],[Finca]], Fincas[Nombre], Fincas[ID])</f>
        <v>38</v>
      </c>
      <c r="C547" s="277" t="s">
        <v>646</v>
      </c>
      <c r="D547" s="277" t="s">
        <v>836</v>
      </c>
      <c r="E547" s="277"/>
      <c r="F547" s="277" t="s">
        <v>519</v>
      </c>
      <c r="G547" s="277" t="s">
        <v>576</v>
      </c>
      <c r="H547" s="277"/>
      <c r="I547" s="311" t="s">
        <v>274</v>
      </c>
      <c r="J547" s="309"/>
      <c r="K547" s="278" t="s">
        <v>35</v>
      </c>
      <c r="L5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7" s="279" t="s">
        <v>385</v>
      </c>
      <c r="N547" s="279">
        <v>125</v>
      </c>
      <c r="O547" s="276">
        <v>0.36</v>
      </c>
      <c r="P547" s="280">
        <f>IFERROR(_xlfn.LET(_xlpm.boxType, K547, _xlpm.tallos, N547, _xlpm.cost, O547, _xlpm.precio, Q547,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47" s="296">
        <v>1.39</v>
      </c>
      <c r="R547" s="276" t="s">
        <v>284</v>
      </c>
      <c r="S5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7" s="276">
        <v>0.36</v>
      </c>
      <c r="U5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47" s="274">
        <v>0.79</v>
      </c>
    </row>
    <row r="548" spans="1:22" ht="15.75" thickBot="1" x14ac:dyDescent="0.3">
      <c r="A548" s="277" t="s">
        <v>85</v>
      </c>
      <c r="B548" s="278">
        <f>_xlfn.XLOOKUP(Catalogo[[#This Row],[Finca]], Fincas[Nombre], Fincas[ID])</f>
        <v>38</v>
      </c>
      <c r="C548" s="277" t="s">
        <v>646</v>
      </c>
      <c r="D548" s="277" t="s">
        <v>836</v>
      </c>
      <c r="E548" s="277"/>
      <c r="F548" s="277" t="s">
        <v>519</v>
      </c>
      <c r="G548" s="277" t="s">
        <v>576</v>
      </c>
      <c r="H548" s="277"/>
      <c r="I548" s="311" t="s">
        <v>274</v>
      </c>
      <c r="J548" s="309"/>
      <c r="K548" s="278" t="s">
        <v>93</v>
      </c>
      <c r="L54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8" s="279" t="s">
        <v>387</v>
      </c>
      <c r="N548" s="279">
        <v>250</v>
      </c>
      <c r="O548" s="276">
        <v>0.36</v>
      </c>
      <c r="P548" s="280">
        <f>IFERROR(_xlfn.LET(_xlpm.boxType, K548, _xlpm.tallos, N548, _xlpm.cost, O548, _xlpm.precio, Q548,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48" s="296">
        <v>1.39</v>
      </c>
      <c r="R548" s="276" t="s">
        <v>285</v>
      </c>
      <c r="S54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8" s="276">
        <v>0.36</v>
      </c>
      <c r="U54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48" s="274">
        <v>0.79</v>
      </c>
    </row>
    <row r="549" spans="1:22" x14ac:dyDescent="0.25">
      <c r="A549" s="281" t="s">
        <v>85</v>
      </c>
      <c r="B549" s="282">
        <f>_xlfn.XLOOKUP(Catalogo[[#This Row],[Finca]], Fincas[Nombre], Fincas[ID])</f>
        <v>38</v>
      </c>
      <c r="C549" s="281" t="s">
        <v>646</v>
      </c>
      <c r="D549" s="281" t="s">
        <v>836</v>
      </c>
      <c r="E549" s="281"/>
      <c r="F549" s="281" t="s">
        <v>519</v>
      </c>
      <c r="G549" s="281" t="s">
        <v>576</v>
      </c>
      <c r="H549" s="281"/>
      <c r="I549" s="316" t="s">
        <v>275</v>
      </c>
      <c r="J549" s="308"/>
      <c r="K549" s="282" t="s">
        <v>31</v>
      </c>
      <c r="L54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49" s="283" t="s">
        <v>383</v>
      </c>
      <c r="N549" s="283">
        <v>50</v>
      </c>
      <c r="O549" s="285">
        <v>0.42</v>
      </c>
      <c r="P549" s="284">
        <f>IFERROR(_xlfn.LET(_xlpm.boxType, K549, _xlpm.tallos, N549, _xlpm.cost, O549, _xlpm.precio, Q549,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49" s="295">
        <v>1.59</v>
      </c>
      <c r="R549" s="285" t="s">
        <v>283</v>
      </c>
      <c r="S54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49" s="285">
        <v>0.42</v>
      </c>
      <c r="U54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49" s="287">
        <v>0.99</v>
      </c>
    </row>
    <row r="550" spans="1:22" x14ac:dyDescent="0.25">
      <c r="A550" s="277" t="s">
        <v>85</v>
      </c>
      <c r="B550" s="278">
        <f>_xlfn.XLOOKUP(Catalogo[[#This Row],[Finca]], Fincas[Nombre], Fincas[ID])</f>
        <v>38</v>
      </c>
      <c r="C550" s="277" t="s">
        <v>646</v>
      </c>
      <c r="D550" s="277" t="s">
        <v>836</v>
      </c>
      <c r="E550" s="277"/>
      <c r="F550" s="277" t="s">
        <v>519</v>
      </c>
      <c r="G550" s="277" t="s">
        <v>576</v>
      </c>
      <c r="H550" s="277"/>
      <c r="I550" s="311" t="s">
        <v>275</v>
      </c>
      <c r="J550" s="309"/>
      <c r="K550" s="278" t="s">
        <v>35</v>
      </c>
      <c r="L55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0" s="279" t="s">
        <v>385</v>
      </c>
      <c r="N550" s="279">
        <v>100</v>
      </c>
      <c r="O550" s="276">
        <v>0.42</v>
      </c>
      <c r="P550" s="280">
        <f>IFERROR(_xlfn.LET(_xlpm.boxType, K550, _xlpm.tallos, N550, _xlpm.cost, O550, _xlpm.precio, Q550,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50" s="296">
        <v>1.59</v>
      </c>
      <c r="R550" s="276" t="s">
        <v>284</v>
      </c>
      <c r="S55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0" s="276">
        <v>0.42</v>
      </c>
      <c r="U55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50" s="274">
        <v>0.89</v>
      </c>
    </row>
    <row r="551" spans="1:22" ht="15.75" thickBot="1" x14ac:dyDescent="0.3">
      <c r="A551" s="288" t="s">
        <v>85</v>
      </c>
      <c r="B551" s="289">
        <f>_xlfn.XLOOKUP(Catalogo[[#This Row],[Finca]], Fincas[Nombre], Fincas[ID])</f>
        <v>38</v>
      </c>
      <c r="C551" s="288" t="s">
        <v>646</v>
      </c>
      <c r="D551" s="288" t="s">
        <v>836</v>
      </c>
      <c r="E551" s="288"/>
      <c r="F551" s="288" t="s">
        <v>519</v>
      </c>
      <c r="G551" s="288" t="s">
        <v>576</v>
      </c>
      <c r="H551" s="288"/>
      <c r="I551" s="317" t="s">
        <v>275</v>
      </c>
      <c r="J551" s="310"/>
      <c r="K551" s="289" t="s">
        <v>93</v>
      </c>
      <c r="L55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1" s="290" t="s">
        <v>387</v>
      </c>
      <c r="N551" s="290">
        <v>200</v>
      </c>
      <c r="O551" s="292">
        <v>0.42</v>
      </c>
      <c r="P551" s="291">
        <f>IFERROR(_xlfn.LET(_xlpm.boxType, K551, _xlpm.tallos, N551, _xlpm.cost, O551, _xlpm.precio, Q551,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51" s="297">
        <v>1.59</v>
      </c>
      <c r="R551" s="292" t="s">
        <v>285</v>
      </c>
      <c r="S55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1" s="292">
        <v>0.42</v>
      </c>
      <c r="U55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51" s="294">
        <v>0.89</v>
      </c>
    </row>
    <row r="552" spans="1:22" x14ac:dyDescent="0.25">
      <c r="A552" s="281" t="s">
        <v>85</v>
      </c>
      <c r="B552" s="282">
        <f>_xlfn.XLOOKUP(Catalogo[[#This Row],[Finca]], Fincas[Nombre], Fincas[ID])</f>
        <v>38</v>
      </c>
      <c r="C552" s="281" t="s">
        <v>646</v>
      </c>
      <c r="D552" s="281" t="s">
        <v>837</v>
      </c>
      <c r="E552" s="281"/>
      <c r="F552" s="281" t="s">
        <v>608</v>
      </c>
      <c r="G552" s="281"/>
      <c r="H552" s="281"/>
      <c r="I552" s="316" t="s">
        <v>273</v>
      </c>
      <c r="J552" s="308"/>
      <c r="K552" s="282" t="s">
        <v>31</v>
      </c>
      <c r="L55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2" s="283" t="s">
        <v>383</v>
      </c>
      <c r="N552" s="283">
        <v>50</v>
      </c>
      <c r="O552" s="285">
        <v>0.26</v>
      </c>
      <c r="P552" s="284">
        <f>IFERROR(_xlfn.LET(_xlpm.boxType, K552, _xlpm.tallos, N552, _xlpm.cost, O552, _xlpm.precio, Q552,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52" s="295">
        <v>1.29</v>
      </c>
      <c r="R552" s="285" t="s">
        <v>283</v>
      </c>
      <c r="S55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2" s="285">
        <v>0.26</v>
      </c>
      <c r="U55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52" s="287">
        <v>0.75</v>
      </c>
    </row>
    <row r="553" spans="1:22" x14ac:dyDescent="0.25">
      <c r="A553" s="277" t="s">
        <v>85</v>
      </c>
      <c r="B553" s="278">
        <f>_xlfn.XLOOKUP(Catalogo[[#This Row],[Finca]], Fincas[Nombre], Fincas[ID])</f>
        <v>38</v>
      </c>
      <c r="C553" s="277" t="s">
        <v>646</v>
      </c>
      <c r="D553" s="277" t="s">
        <v>837</v>
      </c>
      <c r="E553" s="277"/>
      <c r="F553" s="277" t="s">
        <v>608</v>
      </c>
      <c r="G553" s="277"/>
      <c r="H553" s="277"/>
      <c r="I553" s="311" t="s">
        <v>273</v>
      </c>
      <c r="J553" s="309"/>
      <c r="K553" s="278" t="s">
        <v>35</v>
      </c>
      <c r="L55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3" s="279" t="s">
        <v>385</v>
      </c>
      <c r="N553" s="279">
        <v>150</v>
      </c>
      <c r="O553" s="276">
        <v>0.26</v>
      </c>
      <c r="P553" s="280">
        <f>IFERROR(_xlfn.LET(_xlpm.boxType, K553, _xlpm.tallos, N553, _xlpm.cost, O553, _xlpm.precio, Q553,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53" s="296">
        <v>1.19</v>
      </c>
      <c r="R553" s="276" t="s">
        <v>284</v>
      </c>
      <c r="S55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3" s="276">
        <v>0.26</v>
      </c>
      <c r="U55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53" s="274">
        <v>0.69</v>
      </c>
    </row>
    <row r="554" spans="1:22" ht="15.75" thickBot="1" x14ac:dyDescent="0.3">
      <c r="A554" s="288" t="s">
        <v>85</v>
      </c>
      <c r="B554" s="289">
        <f>_xlfn.XLOOKUP(Catalogo[[#This Row],[Finca]], Fincas[Nombre], Fincas[ID])</f>
        <v>38</v>
      </c>
      <c r="C554" s="288" t="s">
        <v>646</v>
      </c>
      <c r="D554" s="288" t="s">
        <v>837</v>
      </c>
      <c r="E554" s="288"/>
      <c r="F554" s="288" t="s">
        <v>608</v>
      </c>
      <c r="G554" s="288"/>
      <c r="H554" s="288"/>
      <c r="I554" s="317" t="s">
        <v>273</v>
      </c>
      <c r="J554" s="310"/>
      <c r="K554" s="289" t="s">
        <v>93</v>
      </c>
      <c r="L55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4" s="290" t="s">
        <v>387</v>
      </c>
      <c r="N554" s="290">
        <v>300</v>
      </c>
      <c r="O554" s="292">
        <v>0.26</v>
      </c>
      <c r="P554" s="291">
        <f>IFERROR(_xlfn.LET(_xlpm.boxType, K554, _xlpm.tallos, N554, _xlpm.cost, O554, _xlpm.precio, Q554,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54" s="297">
        <v>1.19</v>
      </c>
      <c r="R554" s="292" t="s">
        <v>285</v>
      </c>
      <c r="S55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4" s="292">
        <v>0.26</v>
      </c>
      <c r="U55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54" s="294">
        <v>0.69</v>
      </c>
    </row>
    <row r="555" spans="1:22" x14ac:dyDescent="0.25">
      <c r="A555" s="277" t="s">
        <v>85</v>
      </c>
      <c r="B555" s="278">
        <f>_xlfn.XLOOKUP(Catalogo[[#This Row],[Finca]], Fincas[Nombre], Fincas[ID])</f>
        <v>38</v>
      </c>
      <c r="C555" s="277" t="s">
        <v>646</v>
      </c>
      <c r="D555" s="277" t="s">
        <v>837</v>
      </c>
      <c r="E555" s="277"/>
      <c r="F555" s="277" t="s">
        <v>608</v>
      </c>
      <c r="G555" s="277"/>
      <c r="H555" s="277"/>
      <c r="I555" s="311" t="s">
        <v>274</v>
      </c>
      <c r="J555" s="309"/>
      <c r="K555" s="278" t="s">
        <v>31</v>
      </c>
      <c r="L55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5" s="279" t="s">
        <v>383</v>
      </c>
      <c r="N555" s="279">
        <v>50</v>
      </c>
      <c r="O555" s="276">
        <v>0.36</v>
      </c>
      <c r="P555" s="280">
        <f>IFERROR(_xlfn.LET(_xlpm.boxType, K555, _xlpm.tallos, N555, _xlpm.cost, O555, _xlpm.precio, Q555,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55" s="296">
        <v>1.49</v>
      </c>
      <c r="R555" s="276" t="s">
        <v>283</v>
      </c>
      <c r="S55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5" s="276">
        <v>0.36</v>
      </c>
      <c r="U55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55" s="274">
        <v>0.85</v>
      </c>
    </row>
    <row r="556" spans="1:22" x14ac:dyDescent="0.25">
      <c r="A556" s="277" t="s">
        <v>85</v>
      </c>
      <c r="B556" s="278">
        <f>_xlfn.XLOOKUP(Catalogo[[#This Row],[Finca]], Fincas[Nombre], Fincas[ID])</f>
        <v>38</v>
      </c>
      <c r="C556" s="277" t="s">
        <v>646</v>
      </c>
      <c r="D556" s="277" t="s">
        <v>837</v>
      </c>
      <c r="E556" s="277"/>
      <c r="F556" s="277" t="s">
        <v>608</v>
      </c>
      <c r="G556" s="277"/>
      <c r="H556" s="277"/>
      <c r="I556" s="311" t="s">
        <v>274</v>
      </c>
      <c r="J556" s="309"/>
      <c r="K556" s="278" t="s">
        <v>35</v>
      </c>
      <c r="L5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6" s="279" t="s">
        <v>385</v>
      </c>
      <c r="N556" s="279">
        <v>125</v>
      </c>
      <c r="O556" s="276">
        <v>0.36</v>
      </c>
      <c r="P556" s="280">
        <f>IFERROR(_xlfn.LET(_xlpm.boxType, K556, _xlpm.tallos, N556, _xlpm.cost, O556, _xlpm.precio, Q556,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56" s="296">
        <v>1.39</v>
      </c>
      <c r="R556" s="276" t="s">
        <v>284</v>
      </c>
      <c r="S5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6" s="276">
        <v>0.36</v>
      </c>
      <c r="U55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56" s="274">
        <v>0.79</v>
      </c>
    </row>
    <row r="557" spans="1:22" ht="15.75" thickBot="1" x14ac:dyDescent="0.3">
      <c r="A557" s="277" t="s">
        <v>85</v>
      </c>
      <c r="B557" s="278">
        <f>_xlfn.XLOOKUP(Catalogo[[#This Row],[Finca]], Fincas[Nombre], Fincas[ID])</f>
        <v>38</v>
      </c>
      <c r="C557" s="277" t="s">
        <v>646</v>
      </c>
      <c r="D557" s="277" t="s">
        <v>837</v>
      </c>
      <c r="E557" s="277"/>
      <c r="F557" s="277" t="s">
        <v>608</v>
      </c>
      <c r="G557" s="277"/>
      <c r="H557" s="277"/>
      <c r="I557" s="311" t="s">
        <v>274</v>
      </c>
      <c r="J557" s="309"/>
      <c r="K557" s="278" t="s">
        <v>93</v>
      </c>
      <c r="L5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7" s="279" t="s">
        <v>387</v>
      </c>
      <c r="N557" s="279">
        <v>250</v>
      </c>
      <c r="O557" s="276">
        <v>0.36</v>
      </c>
      <c r="P557" s="280">
        <f>IFERROR(_xlfn.LET(_xlpm.boxType, K557, _xlpm.tallos, N557, _xlpm.cost, O557, _xlpm.precio, Q557,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57" s="296">
        <v>1.39</v>
      </c>
      <c r="R557" s="276" t="s">
        <v>285</v>
      </c>
      <c r="S5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7" s="276">
        <v>0.36</v>
      </c>
      <c r="U55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57" s="274">
        <v>0.79</v>
      </c>
    </row>
    <row r="558" spans="1:22" x14ac:dyDescent="0.25">
      <c r="A558" s="281" t="s">
        <v>85</v>
      </c>
      <c r="B558" s="282">
        <f>_xlfn.XLOOKUP(Catalogo[[#This Row],[Finca]], Fincas[Nombre], Fincas[ID])</f>
        <v>38</v>
      </c>
      <c r="C558" s="281" t="s">
        <v>646</v>
      </c>
      <c r="D558" s="281" t="s">
        <v>837</v>
      </c>
      <c r="E558" s="281"/>
      <c r="F558" s="281" t="s">
        <v>608</v>
      </c>
      <c r="G558" s="281"/>
      <c r="H558" s="281"/>
      <c r="I558" s="316" t="s">
        <v>275</v>
      </c>
      <c r="J558" s="308"/>
      <c r="K558" s="282" t="s">
        <v>31</v>
      </c>
      <c r="L55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8" s="283" t="s">
        <v>383</v>
      </c>
      <c r="N558" s="283">
        <v>50</v>
      </c>
      <c r="O558" s="285">
        <v>0.42</v>
      </c>
      <c r="P558" s="284">
        <f>IFERROR(_xlfn.LET(_xlpm.boxType, K558, _xlpm.tallos, N558, _xlpm.cost, O558, _xlpm.precio, Q558,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58" s="295">
        <v>1.59</v>
      </c>
      <c r="R558" s="285" t="s">
        <v>283</v>
      </c>
      <c r="S55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8" s="285">
        <v>0.42</v>
      </c>
      <c r="U55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58" s="287">
        <v>0.99</v>
      </c>
    </row>
    <row r="559" spans="1:22" x14ac:dyDescent="0.25">
      <c r="A559" s="277" t="s">
        <v>85</v>
      </c>
      <c r="B559" s="278">
        <f>_xlfn.XLOOKUP(Catalogo[[#This Row],[Finca]], Fincas[Nombre], Fincas[ID])</f>
        <v>38</v>
      </c>
      <c r="C559" s="277" t="s">
        <v>646</v>
      </c>
      <c r="D559" s="277" t="s">
        <v>837</v>
      </c>
      <c r="E559" s="277"/>
      <c r="F559" s="277" t="s">
        <v>608</v>
      </c>
      <c r="G559" s="277"/>
      <c r="H559" s="277"/>
      <c r="I559" s="311" t="s">
        <v>275</v>
      </c>
      <c r="J559" s="309"/>
      <c r="K559" s="278" t="s">
        <v>35</v>
      </c>
      <c r="L55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59" s="279" t="s">
        <v>385</v>
      </c>
      <c r="N559" s="279">
        <v>100</v>
      </c>
      <c r="O559" s="276">
        <v>0.42</v>
      </c>
      <c r="P559" s="280">
        <f>IFERROR(_xlfn.LET(_xlpm.boxType, K559, _xlpm.tallos, N559, _xlpm.cost, O559, _xlpm.precio, Q559,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59" s="296">
        <v>1.59</v>
      </c>
      <c r="R559" s="276" t="s">
        <v>284</v>
      </c>
      <c r="S55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59" s="276">
        <v>0.42</v>
      </c>
      <c r="U55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59" s="274">
        <v>0.89</v>
      </c>
    </row>
    <row r="560" spans="1:22" ht="15.75" thickBot="1" x14ac:dyDescent="0.3">
      <c r="A560" s="288" t="s">
        <v>85</v>
      </c>
      <c r="B560" s="289">
        <f>_xlfn.XLOOKUP(Catalogo[[#This Row],[Finca]], Fincas[Nombre], Fincas[ID])</f>
        <v>38</v>
      </c>
      <c r="C560" s="288" t="s">
        <v>646</v>
      </c>
      <c r="D560" s="288" t="s">
        <v>837</v>
      </c>
      <c r="E560" s="288"/>
      <c r="F560" s="288" t="s">
        <v>608</v>
      </c>
      <c r="G560" s="288"/>
      <c r="H560" s="288"/>
      <c r="I560" s="317" t="s">
        <v>275</v>
      </c>
      <c r="J560" s="310"/>
      <c r="K560" s="289" t="s">
        <v>93</v>
      </c>
      <c r="L56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0" s="290" t="s">
        <v>387</v>
      </c>
      <c r="N560" s="290">
        <v>200</v>
      </c>
      <c r="O560" s="292">
        <v>0.42</v>
      </c>
      <c r="P560" s="291">
        <f>IFERROR(_xlfn.LET(_xlpm.boxType, K560, _xlpm.tallos, N560, _xlpm.cost, O560, _xlpm.precio, Q560,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60" s="297">
        <v>1.59</v>
      </c>
      <c r="R560" s="292" t="s">
        <v>285</v>
      </c>
      <c r="S56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0" s="292">
        <v>0.42</v>
      </c>
      <c r="U56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60" s="294">
        <v>0.89</v>
      </c>
    </row>
    <row r="561" spans="1:22" x14ac:dyDescent="0.25">
      <c r="A561" s="281" t="s">
        <v>85</v>
      </c>
      <c r="B561" s="282">
        <f>_xlfn.XLOOKUP(Catalogo[[#This Row],[Finca]], Fincas[Nombre], Fincas[ID])</f>
        <v>38</v>
      </c>
      <c r="C561" s="281" t="s">
        <v>646</v>
      </c>
      <c r="D561" s="281" t="s">
        <v>838</v>
      </c>
      <c r="E561" s="281"/>
      <c r="F561" s="281" t="s">
        <v>608</v>
      </c>
      <c r="G561" s="281"/>
      <c r="H561" s="281"/>
      <c r="I561" s="316" t="s">
        <v>273</v>
      </c>
      <c r="J561" s="308"/>
      <c r="K561" s="282" t="s">
        <v>31</v>
      </c>
      <c r="L56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1" s="283" t="s">
        <v>383</v>
      </c>
      <c r="N561" s="283">
        <v>50</v>
      </c>
      <c r="O561" s="285">
        <v>0.26</v>
      </c>
      <c r="P561" s="284">
        <f>IFERROR(_xlfn.LET(_xlpm.boxType, K561, _xlpm.tallos, N561, _xlpm.cost, O561, _xlpm.precio, Q561,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61" s="295">
        <v>1.29</v>
      </c>
      <c r="R561" s="285" t="s">
        <v>283</v>
      </c>
      <c r="S56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1" s="285">
        <v>0.26</v>
      </c>
      <c r="U56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61" s="287">
        <v>0.75</v>
      </c>
    </row>
    <row r="562" spans="1:22" x14ac:dyDescent="0.25">
      <c r="A562" s="277" t="s">
        <v>85</v>
      </c>
      <c r="B562" s="278">
        <f>_xlfn.XLOOKUP(Catalogo[[#This Row],[Finca]], Fincas[Nombre], Fincas[ID])</f>
        <v>38</v>
      </c>
      <c r="C562" s="277" t="s">
        <v>646</v>
      </c>
      <c r="D562" s="277" t="s">
        <v>838</v>
      </c>
      <c r="E562" s="277"/>
      <c r="F562" s="277" t="s">
        <v>608</v>
      </c>
      <c r="G562" s="277"/>
      <c r="H562" s="277"/>
      <c r="I562" s="311" t="s">
        <v>273</v>
      </c>
      <c r="J562" s="309"/>
      <c r="K562" s="278" t="s">
        <v>35</v>
      </c>
      <c r="L56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2" s="279" t="s">
        <v>385</v>
      </c>
      <c r="N562" s="279">
        <v>150</v>
      </c>
      <c r="O562" s="276">
        <v>0.26</v>
      </c>
      <c r="P562" s="280">
        <f>IFERROR(_xlfn.LET(_xlpm.boxType, K562, _xlpm.tallos, N562, _xlpm.cost, O562, _xlpm.precio, Q562,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62" s="296">
        <v>1.19</v>
      </c>
      <c r="R562" s="276" t="s">
        <v>284</v>
      </c>
      <c r="S56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2" s="276">
        <v>0.26</v>
      </c>
      <c r="U56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62" s="274">
        <v>0.69</v>
      </c>
    </row>
    <row r="563" spans="1:22" ht="15.75" thickBot="1" x14ac:dyDescent="0.3">
      <c r="A563" s="288" t="s">
        <v>85</v>
      </c>
      <c r="B563" s="289">
        <f>_xlfn.XLOOKUP(Catalogo[[#This Row],[Finca]], Fincas[Nombre], Fincas[ID])</f>
        <v>38</v>
      </c>
      <c r="C563" s="288" t="s">
        <v>646</v>
      </c>
      <c r="D563" s="288" t="s">
        <v>838</v>
      </c>
      <c r="E563" s="288"/>
      <c r="F563" s="288" t="s">
        <v>608</v>
      </c>
      <c r="G563" s="288"/>
      <c r="H563" s="288"/>
      <c r="I563" s="317" t="s">
        <v>273</v>
      </c>
      <c r="J563" s="310"/>
      <c r="K563" s="289" t="s">
        <v>93</v>
      </c>
      <c r="L56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3" s="290" t="s">
        <v>387</v>
      </c>
      <c r="N563" s="290">
        <v>300</v>
      </c>
      <c r="O563" s="292">
        <v>0.26</v>
      </c>
      <c r="P563" s="291">
        <f>IFERROR(_xlfn.LET(_xlpm.boxType, K563, _xlpm.tallos, N563, _xlpm.cost, O563, _xlpm.precio, Q563,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63" s="297">
        <v>1.19</v>
      </c>
      <c r="R563" s="292" t="s">
        <v>285</v>
      </c>
      <c r="S56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3" s="292">
        <v>0.26</v>
      </c>
      <c r="U56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63" s="294">
        <v>0.69</v>
      </c>
    </row>
    <row r="564" spans="1:22" x14ac:dyDescent="0.25">
      <c r="A564" s="277" t="s">
        <v>85</v>
      </c>
      <c r="B564" s="278">
        <f>_xlfn.XLOOKUP(Catalogo[[#This Row],[Finca]], Fincas[Nombre], Fincas[ID])</f>
        <v>38</v>
      </c>
      <c r="C564" s="277" t="s">
        <v>646</v>
      </c>
      <c r="D564" s="277" t="s">
        <v>838</v>
      </c>
      <c r="E564" s="277"/>
      <c r="F564" s="277" t="s">
        <v>608</v>
      </c>
      <c r="G564" s="277"/>
      <c r="H564" s="277"/>
      <c r="I564" s="311" t="s">
        <v>274</v>
      </c>
      <c r="J564" s="309"/>
      <c r="K564" s="278" t="s">
        <v>31</v>
      </c>
      <c r="L56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4" s="279" t="s">
        <v>383</v>
      </c>
      <c r="N564" s="279">
        <v>50</v>
      </c>
      <c r="O564" s="276">
        <v>0.36</v>
      </c>
      <c r="P564" s="280">
        <f>IFERROR(_xlfn.LET(_xlpm.boxType, K564, _xlpm.tallos, N564, _xlpm.cost, O564, _xlpm.precio, Q564,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64" s="296">
        <v>1.49</v>
      </c>
      <c r="R564" s="276" t="s">
        <v>283</v>
      </c>
      <c r="S56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4" s="276">
        <v>0.36</v>
      </c>
      <c r="U56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64" s="274">
        <v>0.85</v>
      </c>
    </row>
    <row r="565" spans="1:22" x14ac:dyDescent="0.25">
      <c r="A565" s="277" t="s">
        <v>85</v>
      </c>
      <c r="B565" s="278">
        <f>_xlfn.XLOOKUP(Catalogo[[#This Row],[Finca]], Fincas[Nombre], Fincas[ID])</f>
        <v>38</v>
      </c>
      <c r="C565" s="277" t="s">
        <v>646</v>
      </c>
      <c r="D565" s="277" t="s">
        <v>838</v>
      </c>
      <c r="E565" s="277"/>
      <c r="F565" s="277" t="s">
        <v>608</v>
      </c>
      <c r="G565" s="277"/>
      <c r="H565" s="277"/>
      <c r="I565" s="311" t="s">
        <v>274</v>
      </c>
      <c r="J565" s="309"/>
      <c r="K565" s="278" t="s">
        <v>35</v>
      </c>
      <c r="L5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5" s="279" t="s">
        <v>385</v>
      </c>
      <c r="N565" s="279">
        <v>125</v>
      </c>
      <c r="O565" s="276">
        <v>0.36</v>
      </c>
      <c r="P565" s="280">
        <f>IFERROR(_xlfn.LET(_xlpm.boxType, K565, _xlpm.tallos, N565, _xlpm.cost, O565, _xlpm.precio, Q565,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65" s="296">
        <v>1.39</v>
      </c>
      <c r="R565" s="276" t="s">
        <v>284</v>
      </c>
      <c r="S5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5" s="276">
        <v>0.36</v>
      </c>
      <c r="U56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65" s="274">
        <v>0.79</v>
      </c>
    </row>
    <row r="566" spans="1:22" ht="15.75" thickBot="1" x14ac:dyDescent="0.3">
      <c r="A566" s="277" t="s">
        <v>85</v>
      </c>
      <c r="B566" s="278">
        <f>_xlfn.XLOOKUP(Catalogo[[#This Row],[Finca]], Fincas[Nombre], Fincas[ID])</f>
        <v>38</v>
      </c>
      <c r="C566" s="277" t="s">
        <v>646</v>
      </c>
      <c r="D566" s="277" t="s">
        <v>838</v>
      </c>
      <c r="E566" s="277"/>
      <c r="F566" s="277" t="s">
        <v>608</v>
      </c>
      <c r="G566" s="277"/>
      <c r="H566" s="277"/>
      <c r="I566" s="311" t="s">
        <v>274</v>
      </c>
      <c r="J566" s="309"/>
      <c r="K566" s="278" t="s">
        <v>93</v>
      </c>
      <c r="L56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6" s="279" t="s">
        <v>387</v>
      </c>
      <c r="N566" s="279">
        <v>250</v>
      </c>
      <c r="O566" s="276">
        <v>0.36</v>
      </c>
      <c r="P566" s="280">
        <f>IFERROR(_xlfn.LET(_xlpm.boxType, K566, _xlpm.tallos, N566, _xlpm.cost, O566, _xlpm.precio, Q566,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66" s="296">
        <v>1.39</v>
      </c>
      <c r="R566" s="276" t="s">
        <v>285</v>
      </c>
      <c r="S56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6" s="276">
        <v>0.36</v>
      </c>
      <c r="U56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66" s="274">
        <v>0.79</v>
      </c>
    </row>
    <row r="567" spans="1:22" x14ac:dyDescent="0.25">
      <c r="A567" s="281" t="s">
        <v>85</v>
      </c>
      <c r="B567" s="282">
        <f>_xlfn.XLOOKUP(Catalogo[[#This Row],[Finca]], Fincas[Nombre], Fincas[ID])</f>
        <v>38</v>
      </c>
      <c r="C567" s="281" t="s">
        <v>646</v>
      </c>
      <c r="D567" s="281" t="s">
        <v>838</v>
      </c>
      <c r="E567" s="281"/>
      <c r="F567" s="281" t="s">
        <v>608</v>
      </c>
      <c r="G567" s="281"/>
      <c r="H567" s="281"/>
      <c r="I567" s="316" t="s">
        <v>275</v>
      </c>
      <c r="J567" s="308"/>
      <c r="K567" s="282" t="s">
        <v>31</v>
      </c>
      <c r="L56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7" s="283" t="s">
        <v>383</v>
      </c>
      <c r="N567" s="283">
        <v>50</v>
      </c>
      <c r="O567" s="285">
        <v>0.42</v>
      </c>
      <c r="P567" s="284">
        <f>IFERROR(_xlfn.LET(_xlpm.boxType, K567, _xlpm.tallos, N567, _xlpm.cost, O567, _xlpm.precio, Q567,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67" s="295">
        <v>1.59</v>
      </c>
      <c r="R567" s="285" t="s">
        <v>283</v>
      </c>
      <c r="S56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7" s="285">
        <v>0.42</v>
      </c>
      <c r="U56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67" s="287">
        <v>0.99</v>
      </c>
    </row>
    <row r="568" spans="1:22" x14ac:dyDescent="0.25">
      <c r="A568" s="277" t="s">
        <v>85</v>
      </c>
      <c r="B568" s="278">
        <f>_xlfn.XLOOKUP(Catalogo[[#This Row],[Finca]], Fincas[Nombre], Fincas[ID])</f>
        <v>38</v>
      </c>
      <c r="C568" s="277" t="s">
        <v>646</v>
      </c>
      <c r="D568" s="277" t="s">
        <v>838</v>
      </c>
      <c r="E568" s="277"/>
      <c r="F568" s="277" t="s">
        <v>608</v>
      </c>
      <c r="G568" s="277"/>
      <c r="H568" s="277"/>
      <c r="I568" s="311" t="s">
        <v>275</v>
      </c>
      <c r="J568" s="309"/>
      <c r="K568" s="278" t="s">
        <v>35</v>
      </c>
      <c r="L56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8" s="279" t="s">
        <v>385</v>
      </c>
      <c r="N568" s="279">
        <v>100</v>
      </c>
      <c r="O568" s="276">
        <v>0.42</v>
      </c>
      <c r="P568" s="280">
        <f>IFERROR(_xlfn.LET(_xlpm.boxType, K568, _xlpm.tallos, N568, _xlpm.cost, O568, _xlpm.precio, Q568,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68" s="296">
        <v>1.59</v>
      </c>
      <c r="R568" s="276" t="s">
        <v>284</v>
      </c>
      <c r="S56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8" s="276">
        <v>0.42</v>
      </c>
      <c r="U56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68" s="274">
        <v>0.89</v>
      </c>
    </row>
    <row r="569" spans="1:22" ht="15.75" thickBot="1" x14ac:dyDescent="0.3">
      <c r="A569" s="288" t="s">
        <v>85</v>
      </c>
      <c r="B569" s="289">
        <f>_xlfn.XLOOKUP(Catalogo[[#This Row],[Finca]], Fincas[Nombre], Fincas[ID])</f>
        <v>38</v>
      </c>
      <c r="C569" s="288" t="s">
        <v>646</v>
      </c>
      <c r="D569" s="288" t="s">
        <v>838</v>
      </c>
      <c r="E569" s="288"/>
      <c r="F569" s="288" t="s">
        <v>608</v>
      </c>
      <c r="G569" s="288"/>
      <c r="H569" s="288"/>
      <c r="I569" s="317" t="s">
        <v>275</v>
      </c>
      <c r="J569" s="310"/>
      <c r="K569" s="289" t="s">
        <v>93</v>
      </c>
      <c r="L56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69" s="290" t="s">
        <v>387</v>
      </c>
      <c r="N569" s="290">
        <v>200</v>
      </c>
      <c r="O569" s="292">
        <v>0.42</v>
      </c>
      <c r="P569" s="291">
        <f>IFERROR(_xlfn.LET(_xlpm.boxType, K569, _xlpm.tallos, N569, _xlpm.cost, O569, _xlpm.precio, Q569,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69" s="297">
        <v>1.59</v>
      </c>
      <c r="R569" s="292" t="s">
        <v>285</v>
      </c>
      <c r="S56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69" s="292">
        <v>0.42</v>
      </c>
      <c r="U56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69" s="294">
        <v>0.89</v>
      </c>
    </row>
    <row r="570" spans="1:22" x14ac:dyDescent="0.25">
      <c r="A570" s="281" t="s">
        <v>85</v>
      </c>
      <c r="B570" s="282">
        <f>_xlfn.XLOOKUP(Catalogo[[#This Row],[Finca]], Fincas[Nombre], Fincas[ID])</f>
        <v>38</v>
      </c>
      <c r="C570" s="281" t="s">
        <v>646</v>
      </c>
      <c r="D570" s="281" t="s">
        <v>839</v>
      </c>
      <c r="E570" s="281"/>
      <c r="F570" s="281" t="s">
        <v>583</v>
      </c>
      <c r="G570" s="281" t="s">
        <v>534</v>
      </c>
      <c r="H570" s="281"/>
      <c r="I570" s="316" t="s">
        <v>273</v>
      </c>
      <c r="J570" s="308"/>
      <c r="K570" s="282" t="s">
        <v>31</v>
      </c>
      <c r="L57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0" s="283" t="s">
        <v>383</v>
      </c>
      <c r="N570" s="283">
        <v>50</v>
      </c>
      <c r="O570" s="285">
        <v>0.26</v>
      </c>
      <c r="P570" s="284">
        <f>IFERROR(_xlfn.LET(_xlpm.boxType, K570, _xlpm.tallos, N570, _xlpm.cost, O570, _xlpm.precio, Q570,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70" s="295">
        <v>1.29</v>
      </c>
      <c r="R570" s="285" t="s">
        <v>283</v>
      </c>
      <c r="S57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0" s="285">
        <v>0.26</v>
      </c>
      <c r="U57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70" s="287">
        <v>0.75</v>
      </c>
    </row>
    <row r="571" spans="1:22" x14ac:dyDescent="0.25">
      <c r="A571" s="277" t="s">
        <v>85</v>
      </c>
      <c r="B571" s="278">
        <f>_xlfn.XLOOKUP(Catalogo[[#This Row],[Finca]], Fincas[Nombre], Fincas[ID])</f>
        <v>38</v>
      </c>
      <c r="C571" s="277" t="s">
        <v>646</v>
      </c>
      <c r="D571" s="277" t="s">
        <v>839</v>
      </c>
      <c r="E571" s="277"/>
      <c r="F571" s="277" t="s">
        <v>583</v>
      </c>
      <c r="G571" s="277" t="s">
        <v>534</v>
      </c>
      <c r="H571" s="277"/>
      <c r="I571" s="311" t="s">
        <v>273</v>
      </c>
      <c r="J571" s="309"/>
      <c r="K571" s="278" t="s">
        <v>35</v>
      </c>
      <c r="L57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1" s="279" t="s">
        <v>385</v>
      </c>
      <c r="N571" s="279">
        <v>150</v>
      </c>
      <c r="O571" s="276">
        <v>0.26</v>
      </c>
      <c r="P571" s="280">
        <f>IFERROR(_xlfn.LET(_xlpm.boxType, K571, _xlpm.tallos, N571, _xlpm.cost, O571, _xlpm.precio, Q571,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71" s="296">
        <v>1.19</v>
      </c>
      <c r="R571" s="276" t="s">
        <v>284</v>
      </c>
      <c r="S57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1" s="276">
        <v>0.26</v>
      </c>
      <c r="U57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71" s="274">
        <v>0.69</v>
      </c>
    </row>
    <row r="572" spans="1:22" ht="15.75" thickBot="1" x14ac:dyDescent="0.3">
      <c r="A572" s="288" t="s">
        <v>85</v>
      </c>
      <c r="B572" s="289">
        <f>_xlfn.XLOOKUP(Catalogo[[#This Row],[Finca]], Fincas[Nombre], Fincas[ID])</f>
        <v>38</v>
      </c>
      <c r="C572" s="288" t="s">
        <v>646</v>
      </c>
      <c r="D572" s="288" t="s">
        <v>839</v>
      </c>
      <c r="E572" s="288"/>
      <c r="F572" s="288" t="s">
        <v>583</v>
      </c>
      <c r="G572" s="288" t="s">
        <v>534</v>
      </c>
      <c r="H572" s="288"/>
      <c r="I572" s="317" t="s">
        <v>273</v>
      </c>
      <c r="J572" s="310"/>
      <c r="K572" s="289" t="s">
        <v>93</v>
      </c>
      <c r="L57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2" s="290" t="s">
        <v>387</v>
      </c>
      <c r="N572" s="290">
        <v>300</v>
      </c>
      <c r="O572" s="292">
        <v>0.26</v>
      </c>
      <c r="P572" s="291">
        <f>IFERROR(_xlfn.LET(_xlpm.boxType, K572, _xlpm.tallos, N572, _xlpm.cost, O572, _xlpm.precio, Q572,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72" s="297">
        <v>1.19</v>
      </c>
      <c r="R572" s="292" t="s">
        <v>285</v>
      </c>
      <c r="S57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2" s="292">
        <v>0.26</v>
      </c>
      <c r="U57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72" s="294">
        <v>0.69</v>
      </c>
    </row>
    <row r="573" spans="1:22" x14ac:dyDescent="0.25">
      <c r="A573" s="277" t="s">
        <v>85</v>
      </c>
      <c r="B573" s="278">
        <f>_xlfn.XLOOKUP(Catalogo[[#This Row],[Finca]], Fincas[Nombre], Fincas[ID])</f>
        <v>38</v>
      </c>
      <c r="C573" s="277" t="s">
        <v>646</v>
      </c>
      <c r="D573" s="277" t="s">
        <v>839</v>
      </c>
      <c r="E573" s="277"/>
      <c r="F573" s="277" t="s">
        <v>583</v>
      </c>
      <c r="G573" s="277" t="s">
        <v>534</v>
      </c>
      <c r="H573" s="277"/>
      <c r="I573" s="311" t="s">
        <v>274</v>
      </c>
      <c r="J573" s="309"/>
      <c r="K573" s="278" t="s">
        <v>31</v>
      </c>
      <c r="L57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3" s="279" t="s">
        <v>383</v>
      </c>
      <c r="N573" s="279">
        <v>50</v>
      </c>
      <c r="O573" s="276">
        <v>0.36</v>
      </c>
      <c r="P573" s="280">
        <f>IFERROR(_xlfn.LET(_xlpm.boxType, K573, _xlpm.tallos, N573, _xlpm.cost, O573, _xlpm.precio, Q573,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73" s="296">
        <v>1.49</v>
      </c>
      <c r="R573" s="276" t="s">
        <v>283</v>
      </c>
      <c r="S57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3" s="276">
        <v>0.36</v>
      </c>
      <c r="U57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73" s="274">
        <v>0.85</v>
      </c>
    </row>
    <row r="574" spans="1:22" x14ac:dyDescent="0.25">
      <c r="A574" s="277" t="s">
        <v>85</v>
      </c>
      <c r="B574" s="278">
        <f>_xlfn.XLOOKUP(Catalogo[[#This Row],[Finca]], Fincas[Nombre], Fincas[ID])</f>
        <v>38</v>
      </c>
      <c r="C574" s="277" t="s">
        <v>646</v>
      </c>
      <c r="D574" s="277" t="s">
        <v>839</v>
      </c>
      <c r="E574" s="277"/>
      <c r="F574" s="277" t="s">
        <v>583</v>
      </c>
      <c r="G574" s="277" t="s">
        <v>534</v>
      </c>
      <c r="H574" s="277"/>
      <c r="I574" s="311" t="s">
        <v>274</v>
      </c>
      <c r="J574" s="309"/>
      <c r="K574" s="278" t="s">
        <v>35</v>
      </c>
      <c r="L57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4" s="279" t="s">
        <v>385</v>
      </c>
      <c r="N574" s="279">
        <v>125</v>
      </c>
      <c r="O574" s="276">
        <v>0.36</v>
      </c>
      <c r="P574" s="280">
        <f>IFERROR(_xlfn.LET(_xlpm.boxType, K574, _xlpm.tallos, N574, _xlpm.cost, O574, _xlpm.precio, Q574,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74" s="296">
        <v>1.39</v>
      </c>
      <c r="R574" s="276" t="s">
        <v>284</v>
      </c>
      <c r="S57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4" s="276">
        <v>0.36</v>
      </c>
      <c r="U57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74" s="274">
        <v>0.79</v>
      </c>
    </row>
    <row r="575" spans="1:22" ht="15.75" thickBot="1" x14ac:dyDescent="0.3">
      <c r="A575" s="277" t="s">
        <v>85</v>
      </c>
      <c r="B575" s="278">
        <f>_xlfn.XLOOKUP(Catalogo[[#This Row],[Finca]], Fincas[Nombre], Fincas[ID])</f>
        <v>38</v>
      </c>
      <c r="C575" s="277" t="s">
        <v>646</v>
      </c>
      <c r="D575" s="277" t="s">
        <v>839</v>
      </c>
      <c r="E575" s="277"/>
      <c r="F575" s="277" t="s">
        <v>583</v>
      </c>
      <c r="G575" s="277" t="s">
        <v>534</v>
      </c>
      <c r="H575" s="277"/>
      <c r="I575" s="311" t="s">
        <v>274</v>
      </c>
      <c r="J575" s="309"/>
      <c r="K575" s="278" t="s">
        <v>93</v>
      </c>
      <c r="L5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5" s="279" t="s">
        <v>387</v>
      </c>
      <c r="N575" s="279">
        <v>250</v>
      </c>
      <c r="O575" s="276">
        <v>0.36</v>
      </c>
      <c r="P575" s="280">
        <f>IFERROR(_xlfn.LET(_xlpm.boxType, K575, _xlpm.tallos, N575, _xlpm.cost, O575, _xlpm.precio, Q575,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75" s="296">
        <v>1.39</v>
      </c>
      <c r="R575" s="276" t="s">
        <v>285</v>
      </c>
      <c r="S5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5" s="276">
        <v>0.36</v>
      </c>
      <c r="U57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75" s="274">
        <v>0.79</v>
      </c>
    </row>
    <row r="576" spans="1:22" x14ac:dyDescent="0.25">
      <c r="A576" s="281" t="s">
        <v>85</v>
      </c>
      <c r="B576" s="282">
        <f>_xlfn.XLOOKUP(Catalogo[[#This Row],[Finca]], Fincas[Nombre], Fincas[ID])</f>
        <v>38</v>
      </c>
      <c r="C576" s="281" t="s">
        <v>646</v>
      </c>
      <c r="D576" s="281" t="s">
        <v>839</v>
      </c>
      <c r="E576" s="281"/>
      <c r="F576" s="281" t="s">
        <v>583</v>
      </c>
      <c r="G576" s="281" t="s">
        <v>534</v>
      </c>
      <c r="H576" s="281"/>
      <c r="I576" s="316" t="s">
        <v>275</v>
      </c>
      <c r="J576" s="308"/>
      <c r="K576" s="282" t="s">
        <v>31</v>
      </c>
      <c r="L57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6" s="283" t="s">
        <v>383</v>
      </c>
      <c r="N576" s="283">
        <v>50</v>
      </c>
      <c r="O576" s="285">
        <v>0.42</v>
      </c>
      <c r="P576" s="284">
        <f>IFERROR(_xlfn.LET(_xlpm.boxType, K576, _xlpm.tallos, N576, _xlpm.cost, O576, _xlpm.precio, Q576,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76" s="295">
        <v>1.59</v>
      </c>
      <c r="R576" s="285" t="s">
        <v>283</v>
      </c>
      <c r="S57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6" s="285">
        <v>0.42</v>
      </c>
      <c r="U57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76" s="287">
        <v>0.99</v>
      </c>
    </row>
    <row r="577" spans="1:22" x14ac:dyDescent="0.25">
      <c r="A577" s="277" t="s">
        <v>85</v>
      </c>
      <c r="B577" s="278">
        <f>_xlfn.XLOOKUP(Catalogo[[#This Row],[Finca]], Fincas[Nombre], Fincas[ID])</f>
        <v>38</v>
      </c>
      <c r="C577" s="277" t="s">
        <v>646</v>
      </c>
      <c r="D577" s="277" t="s">
        <v>839</v>
      </c>
      <c r="E577" s="277"/>
      <c r="F577" s="277" t="s">
        <v>583</v>
      </c>
      <c r="G577" s="277" t="s">
        <v>534</v>
      </c>
      <c r="H577" s="277"/>
      <c r="I577" s="311" t="s">
        <v>275</v>
      </c>
      <c r="J577" s="309"/>
      <c r="K577" s="278" t="s">
        <v>35</v>
      </c>
      <c r="L57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7" s="279" t="s">
        <v>385</v>
      </c>
      <c r="N577" s="279">
        <v>100</v>
      </c>
      <c r="O577" s="276">
        <v>0.42</v>
      </c>
      <c r="P577" s="280">
        <f>IFERROR(_xlfn.LET(_xlpm.boxType, K577, _xlpm.tallos, N577, _xlpm.cost, O577, _xlpm.precio, Q577,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77" s="296">
        <v>1.59</v>
      </c>
      <c r="R577" s="276" t="s">
        <v>284</v>
      </c>
      <c r="S57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7" s="276">
        <v>0.42</v>
      </c>
      <c r="U57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77" s="274">
        <v>0.89</v>
      </c>
    </row>
    <row r="578" spans="1:22" ht="15.75" thickBot="1" x14ac:dyDescent="0.3">
      <c r="A578" s="288" t="s">
        <v>85</v>
      </c>
      <c r="B578" s="289">
        <f>_xlfn.XLOOKUP(Catalogo[[#This Row],[Finca]], Fincas[Nombre], Fincas[ID])</f>
        <v>38</v>
      </c>
      <c r="C578" s="288" t="s">
        <v>646</v>
      </c>
      <c r="D578" s="288" t="s">
        <v>839</v>
      </c>
      <c r="E578" s="288"/>
      <c r="F578" s="288" t="s">
        <v>583</v>
      </c>
      <c r="G578" s="288" t="s">
        <v>534</v>
      </c>
      <c r="H578" s="288"/>
      <c r="I578" s="317" t="s">
        <v>275</v>
      </c>
      <c r="J578" s="310"/>
      <c r="K578" s="289" t="s">
        <v>93</v>
      </c>
      <c r="L57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8" s="290" t="s">
        <v>387</v>
      </c>
      <c r="N578" s="290">
        <v>200</v>
      </c>
      <c r="O578" s="292">
        <v>0.42</v>
      </c>
      <c r="P578" s="291">
        <f>IFERROR(_xlfn.LET(_xlpm.boxType, K578, _xlpm.tallos, N578, _xlpm.cost, O578, _xlpm.precio, Q578,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78" s="297">
        <v>1.59</v>
      </c>
      <c r="R578" s="292" t="s">
        <v>285</v>
      </c>
      <c r="S57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8" s="292">
        <v>0.42</v>
      </c>
      <c r="U57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78" s="294">
        <v>0.89</v>
      </c>
    </row>
    <row r="579" spans="1:22" x14ac:dyDescent="0.25">
      <c r="A579" s="281" t="s">
        <v>85</v>
      </c>
      <c r="B579" s="282">
        <f>_xlfn.XLOOKUP(Catalogo[[#This Row],[Finca]], Fincas[Nombre], Fincas[ID])</f>
        <v>38</v>
      </c>
      <c r="C579" s="281" t="s">
        <v>646</v>
      </c>
      <c r="D579" s="281" t="s">
        <v>840</v>
      </c>
      <c r="E579" s="281"/>
      <c r="F579" s="281" t="s">
        <v>608</v>
      </c>
      <c r="G579" s="281" t="s">
        <v>526</v>
      </c>
      <c r="H579" s="281"/>
      <c r="I579" s="316" t="s">
        <v>273</v>
      </c>
      <c r="J579" s="308"/>
      <c r="K579" s="282" t="s">
        <v>31</v>
      </c>
      <c r="L57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79" s="283" t="s">
        <v>383</v>
      </c>
      <c r="N579" s="283">
        <v>50</v>
      </c>
      <c r="O579" s="285">
        <v>0.26</v>
      </c>
      <c r="P579" s="284">
        <f>IFERROR(_xlfn.LET(_xlpm.boxType, K579, _xlpm.tallos, N579, _xlpm.cost, O579, _xlpm.precio, Q579,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79" s="295">
        <v>1.29</v>
      </c>
      <c r="R579" s="285" t="s">
        <v>283</v>
      </c>
      <c r="S57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79" s="285">
        <v>0.26</v>
      </c>
      <c r="U57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79" s="287">
        <v>0.75</v>
      </c>
    </row>
    <row r="580" spans="1:22" x14ac:dyDescent="0.25">
      <c r="A580" s="277" t="s">
        <v>85</v>
      </c>
      <c r="B580" s="278">
        <f>_xlfn.XLOOKUP(Catalogo[[#This Row],[Finca]], Fincas[Nombre], Fincas[ID])</f>
        <v>38</v>
      </c>
      <c r="C580" s="277" t="s">
        <v>646</v>
      </c>
      <c r="D580" s="277" t="s">
        <v>840</v>
      </c>
      <c r="E580" s="277"/>
      <c r="F580" s="277" t="s">
        <v>608</v>
      </c>
      <c r="G580" s="277" t="s">
        <v>526</v>
      </c>
      <c r="H580" s="277"/>
      <c r="I580" s="311" t="s">
        <v>273</v>
      </c>
      <c r="J580" s="309"/>
      <c r="K580" s="278" t="s">
        <v>35</v>
      </c>
      <c r="L58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0" s="279" t="s">
        <v>385</v>
      </c>
      <c r="N580" s="279">
        <v>150</v>
      </c>
      <c r="O580" s="276">
        <v>0.26</v>
      </c>
      <c r="P580" s="280">
        <f>IFERROR(_xlfn.LET(_xlpm.boxType, K580, _xlpm.tallos, N580, _xlpm.cost, O580, _xlpm.precio, Q580,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80" s="296">
        <v>1.19</v>
      </c>
      <c r="R580" s="276" t="s">
        <v>284</v>
      </c>
      <c r="S58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0" s="276">
        <v>0.26</v>
      </c>
      <c r="U58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80" s="274">
        <v>0.69</v>
      </c>
    </row>
    <row r="581" spans="1:22" ht="15.75" thickBot="1" x14ac:dyDescent="0.3">
      <c r="A581" s="288" t="s">
        <v>85</v>
      </c>
      <c r="B581" s="289">
        <f>_xlfn.XLOOKUP(Catalogo[[#This Row],[Finca]], Fincas[Nombre], Fincas[ID])</f>
        <v>38</v>
      </c>
      <c r="C581" s="288" t="s">
        <v>646</v>
      </c>
      <c r="D581" s="288" t="s">
        <v>840</v>
      </c>
      <c r="E581" s="288"/>
      <c r="F581" s="288" t="s">
        <v>608</v>
      </c>
      <c r="G581" s="288" t="s">
        <v>526</v>
      </c>
      <c r="H581" s="288"/>
      <c r="I581" s="317" t="s">
        <v>273</v>
      </c>
      <c r="J581" s="310"/>
      <c r="K581" s="289" t="s">
        <v>93</v>
      </c>
      <c r="L58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1" s="290" t="s">
        <v>387</v>
      </c>
      <c r="N581" s="290">
        <v>300</v>
      </c>
      <c r="O581" s="292">
        <v>0.26</v>
      </c>
      <c r="P581" s="291">
        <f>IFERROR(_xlfn.LET(_xlpm.boxType, K581, _xlpm.tallos, N581, _xlpm.cost, O581, _xlpm.precio, Q581,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81" s="297">
        <v>1.19</v>
      </c>
      <c r="R581" s="292" t="s">
        <v>285</v>
      </c>
      <c r="S58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1" s="292">
        <v>0.26</v>
      </c>
      <c r="U58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81" s="294">
        <v>0.69</v>
      </c>
    </row>
    <row r="582" spans="1:22" x14ac:dyDescent="0.25">
      <c r="A582" s="277" t="s">
        <v>85</v>
      </c>
      <c r="B582" s="278">
        <f>_xlfn.XLOOKUP(Catalogo[[#This Row],[Finca]], Fincas[Nombre], Fincas[ID])</f>
        <v>38</v>
      </c>
      <c r="C582" s="277" t="s">
        <v>646</v>
      </c>
      <c r="D582" s="277" t="s">
        <v>840</v>
      </c>
      <c r="E582" s="277"/>
      <c r="F582" s="277" t="s">
        <v>608</v>
      </c>
      <c r="G582" s="277" t="s">
        <v>526</v>
      </c>
      <c r="H582" s="277"/>
      <c r="I582" s="311" t="s">
        <v>274</v>
      </c>
      <c r="J582" s="309"/>
      <c r="K582" s="278" t="s">
        <v>31</v>
      </c>
      <c r="L58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2" s="279" t="s">
        <v>383</v>
      </c>
      <c r="N582" s="279">
        <v>50</v>
      </c>
      <c r="O582" s="276">
        <v>0.36</v>
      </c>
      <c r="P582" s="280">
        <f>IFERROR(_xlfn.LET(_xlpm.boxType, K582, _xlpm.tallos, N582, _xlpm.cost, O582, _xlpm.precio, Q582,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82" s="296">
        <v>1.49</v>
      </c>
      <c r="R582" s="276" t="s">
        <v>283</v>
      </c>
      <c r="S58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2" s="276">
        <v>0.36</v>
      </c>
      <c r="U58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82" s="274">
        <v>0.85</v>
      </c>
    </row>
    <row r="583" spans="1:22" x14ac:dyDescent="0.25">
      <c r="A583" s="277" t="s">
        <v>85</v>
      </c>
      <c r="B583" s="278">
        <f>_xlfn.XLOOKUP(Catalogo[[#This Row],[Finca]], Fincas[Nombre], Fincas[ID])</f>
        <v>38</v>
      </c>
      <c r="C583" s="277" t="s">
        <v>646</v>
      </c>
      <c r="D583" s="277" t="s">
        <v>840</v>
      </c>
      <c r="E583" s="277"/>
      <c r="F583" s="277" t="s">
        <v>608</v>
      </c>
      <c r="G583" s="277" t="s">
        <v>526</v>
      </c>
      <c r="H583" s="277"/>
      <c r="I583" s="311" t="s">
        <v>274</v>
      </c>
      <c r="J583" s="309"/>
      <c r="K583" s="278" t="s">
        <v>35</v>
      </c>
      <c r="L58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3" s="279" t="s">
        <v>385</v>
      </c>
      <c r="N583" s="279">
        <v>125</v>
      </c>
      <c r="O583" s="276">
        <v>0.36</v>
      </c>
      <c r="P583" s="280">
        <f>IFERROR(_xlfn.LET(_xlpm.boxType, K583, _xlpm.tallos, N583, _xlpm.cost, O583, _xlpm.precio, Q583,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83" s="296">
        <v>1.39</v>
      </c>
      <c r="R583" s="276" t="s">
        <v>284</v>
      </c>
      <c r="S58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3" s="276">
        <v>0.36</v>
      </c>
      <c r="U58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83" s="274">
        <v>0.79</v>
      </c>
    </row>
    <row r="584" spans="1:22" ht="15.75" thickBot="1" x14ac:dyDescent="0.3">
      <c r="A584" s="277" t="s">
        <v>85</v>
      </c>
      <c r="B584" s="278">
        <f>_xlfn.XLOOKUP(Catalogo[[#This Row],[Finca]], Fincas[Nombre], Fincas[ID])</f>
        <v>38</v>
      </c>
      <c r="C584" s="277" t="s">
        <v>646</v>
      </c>
      <c r="D584" s="277" t="s">
        <v>840</v>
      </c>
      <c r="E584" s="277"/>
      <c r="F584" s="277" t="s">
        <v>608</v>
      </c>
      <c r="G584" s="277" t="s">
        <v>526</v>
      </c>
      <c r="H584" s="277"/>
      <c r="I584" s="311" t="s">
        <v>274</v>
      </c>
      <c r="J584" s="309"/>
      <c r="K584" s="278" t="s">
        <v>93</v>
      </c>
      <c r="L58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4" s="279" t="s">
        <v>387</v>
      </c>
      <c r="N584" s="279">
        <v>250</v>
      </c>
      <c r="O584" s="276">
        <v>0.36</v>
      </c>
      <c r="P584" s="280">
        <f>IFERROR(_xlfn.LET(_xlpm.boxType, K584, _xlpm.tallos, N584, _xlpm.cost, O584, _xlpm.precio, Q584,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84" s="296">
        <v>1.39</v>
      </c>
      <c r="R584" s="276" t="s">
        <v>285</v>
      </c>
      <c r="S58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4" s="276">
        <v>0.36</v>
      </c>
      <c r="U58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84" s="274">
        <v>0.79</v>
      </c>
    </row>
    <row r="585" spans="1:22" x14ac:dyDescent="0.25">
      <c r="A585" s="281" t="s">
        <v>85</v>
      </c>
      <c r="B585" s="282">
        <f>_xlfn.XLOOKUP(Catalogo[[#This Row],[Finca]], Fincas[Nombre], Fincas[ID])</f>
        <v>38</v>
      </c>
      <c r="C585" s="281" t="s">
        <v>646</v>
      </c>
      <c r="D585" s="281" t="s">
        <v>840</v>
      </c>
      <c r="E585" s="281"/>
      <c r="F585" s="281" t="s">
        <v>608</v>
      </c>
      <c r="G585" s="281" t="s">
        <v>526</v>
      </c>
      <c r="H585" s="281"/>
      <c r="I585" s="316" t="s">
        <v>275</v>
      </c>
      <c r="J585" s="308"/>
      <c r="K585" s="282" t="s">
        <v>31</v>
      </c>
      <c r="L58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5" s="283" t="s">
        <v>383</v>
      </c>
      <c r="N585" s="283">
        <v>50</v>
      </c>
      <c r="O585" s="285">
        <v>0.42</v>
      </c>
      <c r="P585" s="284">
        <f>IFERROR(_xlfn.LET(_xlpm.boxType, K585, _xlpm.tallos, N585, _xlpm.cost, O585, _xlpm.precio, Q585,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85" s="295">
        <v>1.59</v>
      </c>
      <c r="R585" s="285" t="s">
        <v>283</v>
      </c>
      <c r="S58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5" s="285">
        <v>0.42</v>
      </c>
      <c r="U58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85" s="287">
        <v>0.99</v>
      </c>
    </row>
    <row r="586" spans="1:22" x14ac:dyDescent="0.25">
      <c r="A586" s="277" t="s">
        <v>85</v>
      </c>
      <c r="B586" s="278">
        <f>_xlfn.XLOOKUP(Catalogo[[#This Row],[Finca]], Fincas[Nombre], Fincas[ID])</f>
        <v>38</v>
      </c>
      <c r="C586" s="277" t="s">
        <v>646</v>
      </c>
      <c r="D586" s="277" t="s">
        <v>840</v>
      </c>
      <c r="E586" s="277"/>
      <c r="F586" s="277" t="s">
        <v>608</v>
      </c>
      <c r="G586" s="277" t="s">
        <v>526</v>
      </c>
      <c r="H586" s="277"/>
      <c r="I586" s="311" t="s">
        <v>275</v>
      </c>
      <c r="J586" s="309"/>
      <c r="K586" s="278" t="s">
        <v>35</v>
      </c>
      <c r="L58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6" s="279" t="s">
        <v>385</v>
      </c>
      <c r="N586" s="279">
        <v>100</v>
      </c>
      <c r="O586" s="276">
        <v>0.42</v>
      </c>
      <c r="P586" s="280">
        <f>IFERROR(_xlfn.LET(_xlpm.boxType, K586, _xlpm.tallos, N586, _xlpm.cost, O586, _xlpm.precio, Q586,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86" s="296">
        <v>1.59</v>
      </c>
      <c r="R586" s="276" t="s">
        <v>284</v>
      </c>
      <c r="S58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6" s="276">
        <v>0.42</v>
      </c>
      <c r="U58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86" s="274">
        <v>0.89</v>
      </c>
    </row>
    <row r="587" spans="1:22" ht="15.75" thickBot="1" x14ac:dyDescent="0.3">
      <c r="A587" s="288" t="s">
        <v>85</v>
      </c>
      <c r="B587" s="289">
        <f>_xlfn.XLOOKUP(Catalogo[[#This Row],[Finca]], Fincas[Nombre], Fincas[ID])</f>
        <v>38</v>
      </c>
      <c r="C587" s="288" t="s">
        <v>646</v>
      </c>
      <c r="D587" s="288" t="s">
        <v>840</v>
      </c>
      <c r="E587" s="288"/>
      <c r="F587" s="288" t="s">
        <v>608</v>
      </c>
      <c r="G587" s="288" t="s">
        <v>526</v>
      </c>
      <c r="H587" s="288"/>
      <c r="I587" s="317" t="s">
        <v>275</v>
      </c>
      <c r="J587" s="310"/>
      <c r="K587" s="289" t="s">
        <v>93</v>
      </c>
      <c r="L58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7" s="290" t="s">
        <v>387</v>
      </c>
      <c r="N587" s="290">
        <v>200</v>
      </c>
      <c r="O587" s="292">
        <v>0.42</v>
      </c>
      <c r="P587" s="291">
        <f>IFERROR(_xlfn.LET(_xlpm.boxType, K587, _xlpm.tallos, N587, _xlpm.cost, O587, _xlpm.precio, Q587,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87" s="297">
        <v>1.59</v>
      </c>
      <c r="R587" s="292" t="s">
        <v>285</v>
      </c>
      <c r="S58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7" s="292">
        <v>0.42</v>
      </c>
      <c r="U58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87" s="294">
        <v>0.89</v>
      </c>
    </row>
    <row r="588" spans="1:22" x14ac:dyDescent="0.25">
      <c r="A588" s="281" t="s">
        <v>85</v>
      </c>
      <c r="B588" s="282">
        <f>_xlfn.XLOOKUP(Catalogo[[#This Row],[Finca]], Fincas[Nombre], Fincas[ID])</f>
        <v>38</v>
      </c>
      <c r="C588" s="281" t="s">
        <v>646</v>
      </c>
      <c r="D588" s="281" t="s">
        <v>841</v>
      </c>
      <c r="E588" s="281"/>
      <c r="F588" s="281" t="s">
        <v>541</v>
      </c>
      <c r="G588" s="281"/>
      <c r="H588" s="281"/>
      <c r="I588" s="316" t="s">
        <v>273</v>
      </c>
      <c r="J588" s="308"/>
      <c r="K588" s="282" t="s">
        <v>31</v>
      </c>
      <c r="L58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8" s="283" t="s">
        <v>383</v>
      </c>
      <c r="N588" s="283">
        <v>50</v>
      </c>
      <c r="O588" s="285">
        <v>0.26</v>
      </c>
      <c r="P588" s="284">
        <f>IFERROR(_xlfn.LET(_xlpm.boxType, K588, _xlpm.tallos, N588, _xlpm.cost, O588, _xlpm.precio, Q588,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88" s="295">
        <v>1.29</v>
      </c>
      <c r="R588" s="285" t="s">
        <v>283</v>
      </c>
      <c r="S58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8" s="285">
        <v>0.26</v>
      </c>
      <c r="U58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88" s="287">
        <v>0.75</v>
      </c>
    </row>
    <row r="589" spans="1:22" x14ac:dyDescent="0.25">
      <c r="A589" s="277" t="s">
        <v>85</v>
      </c>
      <c r="B589" s="278">
        <f>_xlfn.XLOOKUP(Catalogo[[#This Row],[Finca]], Fincas[Nombre], Fincas[ID])</f>
        <v>38</v>
      </c>
      <c r="C589" s="277" t="s">
        <v>646</v>
      </c>
      <c r="D589" s="277" t="s">
        <v>841</v>
      </c>
      <c r="E589" s="277"/>
      <c r="F589" s="277" t="s">
        <v>541</v>
      </c>
      <c r="G589" s="277"/>
      <c r="H589" s="277"/>
      <c r="I589" s="311" t="s">
        <v>273</v>
      </c>
      <c r="J589" s="309"/>
      <c r="K589" s="278" t="s">
        <v>35</v>
      </c>
      <c r="L58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89" s="279" t="s">
        <v>385</v>
      </c>
      <c r="N589" s="279">
        <v>150</v>
      </c>
      <c r="O589" s="276">
        <v>0.26</v>
      </c>
      <c r="P589" s="280">
        <f>IFERROR(_xlfn.LET(_xlpm.boxType, K589, _xlpm.tallos, N589, _xlpm.cost, O589, _xlpm.precio, Q589,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89" s="296">
        <v>1.19</v>
      </c>
      <c r="R589" s="276" t="s">
        <v>284</v>
      </c>
      <c r="S58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89" s="276">
        <v>0.26</v>
      </c>
      <c r="U58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89" s="274">
        <v>0.69</v>
      </c>
    </row>
    <row r="590" spans="1:22" ht="15.75" thickBot="1" x14ac:dyDescent="0.3">
      <c r="A590" s="288" t="s">
        <v>85</v>
      </c>
      <c r="B590" s="289">
        <f>_xlfn.XLOOKUP(Catalogo[[#This Row],[Finca]], Fincas[Nombre], Fincas[ID])</f>
        <v>38</v>
      </c>
      <c r="C590" s="288" t="s">
        <v>646</v>
      </c>
      <c r="D590" s="288" t="s">
        <v>841</v>
      </c>
      <c r="E590" s="288"/>
      <c r="F590" s="288" t="s">
        <v>541</v>
      </c>
      <c r="G590" s="288"/>
      <c r="H590" s="288"/>
      <c r="I590" s="317" t="s">
        <v>273</v>
      </c>
      <c r="J590" s="310"/>
      <c r="K590" s="289" t="s">
        <v>93</v>
      </c>
      <c r="L59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0" s="290" t="s">
        <v>387</v>
      </c>
      <c r="N590" s="290">
        <v>300</v>
      </c>
      <c r="O590" s="292">
        <v>0.26</v>
      </c>
      <c r="P590" s="291">
        <f>IFERROR(_xlfn.LET(_xlpm.boxType, K590, _xlpm.tallos, N590, _xlpm.cost, O590, _xlpm.precio, Q590,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90" s="297">
        <v>1.19</v>
      </c>
      <c r="R590" s="292" t="s">
        <v>285</v>
      </c>
      <c r="S59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0" s="292">
        <v>0.26</v>
      </c>
      <c r="U59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90" s="294">
        <v>0.69</v>
      </c>
    </row>
    <row r="591" spans="1:22" x14ac:dyDescent="0.25">
      <c r="A591" s="277" t="s">
        <v>85</v>
      </c>
      <c r="B591" s="278">
        <f>_xlfn.XLOOKUP(Catalogo[[#This Row],[Finca]], Fincas[Nombre], Fincas[ID])</f>
        <v>38</v>
      </c>
      <c r="C591" s="277" t="s">
        <v>646</v>
      </c>
      <c r="D591" s="277" t="s">
        <v>841</v>
      </c>
      <c r="E591" s="277"/>
      <c r="F591" s="277" t="s">
        <v>541</v>
      </c>
      <c r="G591" s="277"/>
      <c r="H591" s="277"/>
      <c r="I591" s="311" t="s">
        <v>274</v>
      </c>
      <c r="J591" s="309"/>
      <c r="K591" s="278" t="s">
        <v>31</v>
      </c>
      <c r="L59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1" s="279" t="s">
        <v>383</v>
      </c>
      <c r="N591" s="279">
        <v>50</v>
      </c>
      <c r="O591" s="276">
        <v>0.36</v>
      </c>
      <c r="P591" s="280">
        <f>IFERROR(_xlfn.LET(_xlpm.boxType, K591, _xlpm.tallos, N591, _xlpm.cost, O591, _xlpm.precio, Q591,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591" s="296">
        <v>1.49</v>
      </c>
      <c r="R591" s="276" t="s">
        <v>283</v>
      </c>
      <c r="S59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1" s="276">
        <v>0.36</v>
      </c>
      <c r="U59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591" s="274">
        <v>0.85</v>
      </c>
    </row>
    <row r="592" spans="1:22" x14ac:dyDescent="0.25">
      <c r="A592" s="277" t="s">
        <v>85</v>
      </c>
      <c r="B592" s="278">
        <f>_xlfn.XLOOKUP(Catalogo[[#This Row],[Finca]], Fincas[Nombre], Fincas[ID])</f>
        <v>38</v>
      </c>
      <c r="C592" s="277" t="s">
        <v>646</v>
      </c>
      <c r="D592" s="277" t="s">
        <v>841</v>
      </c>
      <c r="E592" s="277"/>
      <c r="F592" s="277" t="s">
        <v>541</v>
      </c>
      <c r="G592" s="277"/>
      <c r="H592" s="277"/>
      <c r="I592" s="311" t="s">
        <v>274</v>
      </c>
      <c r="J592" s="309"/>
      <c r="K592" s="278" t="s">
        <v>35</v>
      </c>
      <c r="L59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2" s="279" t="s">
        <v>385</v>
      </c>
      <c r="N592" s="279">
        <v>125</v>
      </c>
      <c r="O592" s="276">
        <v>0.36</v>
      </c>
      <c r="P592" s="280">
        <f>IFERROR(_xlfn.LET(_xlpm.boxType, K592, _xlpm.tallos, N592, _xlpm.cost, O592, _xlpm.precio, Q592,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592" s="296">
        <v>1.39</v>
      </c>
      <c r="R592" s="276" t="s">
        <v>284</v>
      </c>
      <c r="S59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2" s="276">
        <v>0.36</v>
      </c>
      <c r="U59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92" s="274">
        <v>0.79</v>
      </c>
    </row>
    <row r="593" spans="1:22" ht="15.75" thickBot="1" x14ac:dyDescent="0.3">
      <c r="A593" s="277" t="s">
        <v>85</v>
      </c>
      <c r="B593" s="278">
        <f>_xlfn.XLOOKUP(Catalogo[[#This Row],[Finca]], Fincas[Nombre], Fincas[ID])</f>
        <v>38</v>
      </c>
      <c r="C593" s="277" t="s">
        <v>646</v>
      </c>
      <c r="D593" s="277" t="s">
        <v>841</v>
      </c>
      <c r="E593" s="277"/>
      <c r="F593" s="277" t="s">
        <v>541</v>
      </c>
      <c r="G593" s="277"/>
      <c r="H593" s="277"/>
      <c r="I593" s="311" t="s">
        <v>274</v>
      </c>
      <c r="J593" s="309"/>
      <c r="K593" s="278" t="s">
        <v>93</v>
      </c>
      <c r="L59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3" s="279" t="s">
        <v>387</v>
      </c>
      <c r="N593" s="279">
        <v>250</v>
      </c>
      <c r="O593" s="276">
        <v>0.36</v>
      </c>
      <c r="P593" s="280">
        <f>IFERROR(_xlfn.LET(_xlpm.boxType, K593, _xlpm.tallos, N593, _xlpm.cost, O593, _xlpm.precio, Q593,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593" s="296">
        <v>1.39</v>
      </c>
      <c r="R593" s="276" t="s">
        <v>285</v>
      </c>
      <c r="S59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3" s="276">
        <v>0.36</v>
      </c>
      <c r="U59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593" s="274">
        <v>0.79</v>
      </c>
    </row>
    <row r="594" spans="1:22" x14ac:dyDescent="0.25">
      <c r="A594" s="281" t="s">
        <v>85</v>
      </c>
      <c r="B594" s="282">
        <f>_xlfn.XLOOKUP(Catalogo[[#This Row],[Finca]], Fincas[Nombre], Fincas[ID])</f>
        <v>38</v>
      </c>
      <c r="C594" s="281" t="s">
        <v>646</v>
      </c>
      <c r="D594" s="281" t="s">
        <v>841</v>
      </c>
      <c r="E594" s="281"/>
      <c r="F594" s="281" t="s">
        <v>541</v>
      </c>
      <c r="G594" s="281"/>
      <c r="H594" s="281"/>
      <c r="I594" s="316" t="s">
        <v>275</v>
      </c>
      <c r="J594" s="308"/>
      <c r="K594" s="282" t="s">
        <v>31</v>
      </c>
      <c r="L59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4" s="283" t="s">
        <v>383</v>
      </c>
      <c r="N594" s="283">
        <v>50</v>
      </c>
      <c r="O594" s="285">
        <v>0.42</v>
      </c>
      <c r="P594" s="284">
        <f>IFERROR(_xlfn.LET(_xlpm.boxType, K594, _xlpm.tallos, N594, _xlpm.cost, O594, _xlpm.precio, Q594,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94" s="295">
        <v>1.59</v>
      </c>
      <c r="R594" s="285" t="s">
        <v>283</v>
      </c>
      <c r="S59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4" s="285">
        <v>0.42</v>
      </c>
      <c r="U59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594" s="287">
        <v>0.99</v>
      </c>
    </row>
    <row r="595" spans="1:22" x14ac:dyDescent="0.25">
      <c r="A595" s="277" t="s">
        <v>85</v>
      </c>
      <c r="B595" s="278">
        <f>_xlfn.XLOOKUP(Catalogo[[#This Row],[Finca]], Fincas[Nombre], Fincas[ID])</f>
        <v>38</v>
      </c>
      <c r="C595" s="277" t="s">
        <v>646</v>
      </c>
      <c r="D595" s="277" t="s">
        <v>841</v>
      </c>
      <c r="E595" s="277"/>
      <c r="F595" s="277" t="s">
        <v>541</v>
      </c>
      <c r="G595" s="277"/>
      <c r="H595" s="277"/>
      <c r="I595" s="311" t="s">
        <v>275</v>
      </c>
      <c r="J595" s="309"/>
      <c r="K595" s="278" t="s">
        <v>35</v>
      </c>
      <c r="L59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5" s="279" t="s">
        <v>385</v>
      </c>
      <c r="N595" s="279">
        <v>100</v>
      </c>
      <c r="O595" s="276">
        <v>0.42</v>
      </c>
      <c r="P595" s="280">
        <f>IFERROR(_xlfn.LET(_xlpm.boxType, K595, _xlpm.tallos, N595, _xlpm.cost, O595, _xlpm.precio, Q595,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595" s="296">
        <v>1.59</v>
      </c>
      <c r="R595" s="276" t="s">
        <v>284</v>
      </c>
      <c r="S59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5" s="276">
        <v>0.42</v>
      </c>
      <c r="U59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95" s="274">
        <v>0.89</v>
      </c>
    </row>
    <row r="596" spans="1:22" ht="15.75" thickBot="1" x14ac:dyDescent="0.3">
      <c r="A596" s="288" t="s">
        <v>85</v>
      </c>
      <c r="B596" s="289">
        <f>_xlfn.XLOOKUP(Catalogo[[#This Row],[Finca]], Fincas[Nombre], Fincas[ID])</f>
        <v>38</v>
      </c>
      <c r="C596" s="288" t="s">
        <v>646</v>
      </c>
      <c r="D596" s="288" t="s">
        <v>841</v>
      </c>
      <c r="E596" s="288"/>
      <c r="F596" s="288" t="s">
        <v>541</v>
      </c>
      <c r="G596" s="288"/>
      <c r="H596" s="288"/>
      <c r="I596" s="317" t="s">
        <v>275</v>
      </c>
      <c r="J596" s="310"/>
      <c r="K596" s="289" t="s">
        <v>93</v>
      </c>
      <c r="L59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6" s="290" t="s">
        <v>387</v>
      </c>
      <c r="N596" s="290">
        <v>200</v>
      </c>
      <c r="O596" s="292">
        <v>0.42</v>
      </c>
      <c r="P596" s="291">
        <f>IFERROR(_xlfn.LET(_xlpm.boxType, K596, _xlpm.tallos, N596, _xlpm.cost, O596, _xlpm.precio, Q596,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596" s="297">
        <v>1.59</v>
      </c>
      <c r="R596" s="292" t="s">
        <v>285</v>
      </c>
      <c r="S59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6" s="292">
        <v>0.42</v>
      </c>
      <c r="U59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596" s="294">
        <v>0.89</v>
      </c>
    </row>
    <row r="597" spans="1:22" x14ac:dyDescent="0.25">
      <c r="A597" s="281" t="s">
        <v>85</v>
      </c>
      <c r="B597" s="282">
        <f>_xlfn.XLOOKUP(Catalogo[[#This Row],[Finca]], Fincas[Nombre], Fincas[ID])</f>
        <v>38</v>
      </c>
      <c r="C597" s="281" t="s">
        <v>646</v>
      </c>
      <c r="D597" s="281" t="s">
        <v>842</v>
      </c>
      <c r="E597" s="281"/>
      <c r="F597" s="281" t="s">
        <v>564</v>
      </c>
      <c r="G597" s="281" t="s">
        <v>541</v>
      </c>
      <c r="H597" s="281"/>
      <c r="I597" s="316" t="s">
        <v>273</v>
      </c>
      <c r="J597" s="308"/>
      <c r="K597" s="282" t="s">
        <v>31</v>
      </c>
      <c r="L59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7" s="283" t="s">
        <v>383</v>
      </c>
      <c r="N597" s="283">
        <v>50</v>
      </c>
      <c r="O597" s="285">
        <v>0.26</v>
      </c>
      <c r="P597" s="284">
        <f>IFERROR(_xlfn.LET(_xlpm.boxType, K597, _xlpm.tallos, N597, _xlpm.cost, O597, _xlpm.precio, Q597,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597" s="295">
        <v>1.29</v>
      </c>
      <c r="R597" s="285" t="s">
        <v>283</v>
      </c>
      <c r="S59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7" s="285">
        <v>0.26</v>
      </c>
      <c r="U59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597" s="287">
        <v>0.75</v>
      </c>
    </row>
    <row r="598" spans="1:22" x14ac:dyDescent="0.25">
      <c r="A598" s="277" t="s">
        <v>85</v>
      </c>
      <c r="B598" s="278">
        <f>_xlfn.XLOOKUP(Catalogo[[#This Row],[Finca]], Fincas[Nombre], Fincas[ID])</f>
        <v>38</v>
      </c>
      <c r="C598" s="277" t="s">
        <v>646</v>
      </c>
      <c r="D598" s="277" t="s">
        <v>842</v>
      </c>
      <c r="E598" s="277"/>
      <c r="F598" s="277" t="s">
        <v>564</v>
      </c>
      <c r="G598" s="277" t="s">
        <v>541</v>
      </c>
      <c r="H598" s="277"/>
      <c r="I598" s="311" t="s">
        <v>273</v>
      </c>
      <c r="J598" s="309"/>
      <c r="K598" s="278" t="s">
        <v>35</v>
      </c>
      <c r="L59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8" s="279" t="s">
        <v>385</v>
      </c>
      <c r="N598" s="279">
        <v>150</v>
      </c>
      <c r="O598" s="276">
        <v>0.26</v>
      </c>
      <c r="P598" s="280">
        <f>IFERROR(_xlfn.LET(_xlpm.boxType, K598, _xlpm.tallos, N598, _xlpm.cost, O598, _xlpm.precio, Q598,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598" s="296">
        <v>1.19</v>
      </c>
      <c r="R598" s="276" t="s">
        <v>284</v>
      </c>
      <c r="S59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8" s="276">
        <v>0.26</v>
      </c>
      <c r="U59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98" s="274">
        <v>0.69</v>
      </c>
    </row>
    <row r="599" spans="1:22" ht="15.75" thickBot="1" x14ac:dyDescent="0.3">
      <c r="A599" s="288" t="s">
        <v>85</v>
      </c>
      <c r="B599" s="289">
        <f>_xlfn.XLOOKUP(Catalogo[[#This Row],[Finca]], Fincas[Nombre], Fincas[ID])</f>
        <v>38</v>
      </c>
      <c r="C599" s="288" t="s">
        <v>646</v>
      </c>
      <c r="D599" s="288" t="s">
        <v>842</v>
      </c>
      <c r="E599" s="288"/>
      <c r="F599" s="288" t="s">
        <v>564</v>
      </c>
      <c r="G599" s="288" t="s">
        <v>541</v>
      </c>
      <c r="H599" s="288"/>
      <c r="I599" s="317" t="s">
        <v>273</v>
      </c>
      <c r="J599" s="310"/>
      <c r="K599" s="289" t="s">
        <v>93</v>
      </c>
      <c r="L59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599" s="290" t="s">
        <v>387</v>
      </c>
      <c r="N599" s="290">
        <v>300</v>
      </c>
      <c r="O599" s="292">
        <v>0.26</v>
      </c>
      <c r="P599" s="291">
        <f>IFERROR(_xlfn.LET(_xlpm.boxType, K599, _xlpm.tallos, N599, _xlpm.cost, O599, _xlpm.precio, Q599,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599" s="297">
        <v>1.19</v>
      </c>
      <c r="R599" s="292" t="s">
        <v>285</v>
      </c>
      <c r="S59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599" s="292">
        <v>0.26</v>
      </c>
      <c r="U59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599" s="294">
        <v>0.69</v>
      </c>
    </row>
    <row r="600" spans="1:22" x14ac:dyDescent="0.25">
      <c r="A600" s="277" t="s">
        <v>85</v>
      </c>
      <c r="B600" s="278">
        <f>_xlfn.XLOOKUP(Catalogo[[#This Row],[Finca]], Fincas[Nombre], Fincas[ID])</f>
        <v>38</v>
      </c>
      <c r="C600" s="277" t="s">
        <v>646</v>
      </c>
      <c r="D600" s="277" t="s">
        <v>842</v>
      </c>
      <c r="E600" s="277"/>
      <c r="F600" s="277" t="s">
        <v>564</v>
      </c>
      <c r="G600" s="277" t="s">
        <v>541</v>
      </c>
      <c r="H600" s="277"/>
      <c r="I600" s="311" t="s">
        <v>274</v>
      </c>
      <c r="J600" s="309"/>
      <c r="K600" s="278" t="s">
        <v>31</v>
      </c>
      <c r="L60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0" s="279" t="s">
        <v>383</v>
      </c>
      <c r="N600" s="279">
        <v>50</v>
      </c>
      <c r="O600" s="276">
        <v>0.36</v>
      </c>
      <c r="P600" s="280">
        <f>IFERROR(_xlfn.LET(_xlpm.boxType, K600, _xlpm.tallos, N600, _xlpm.cost, O600, _xlpm.precio, Q600,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00" s="296">
        <v>1.49</v>
      </c>
      <c r="R600" s="276" t="s">
        <v>283</v>
      </c>
      <c r="S60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0" s="276">
        <v>0.36</v>
      </c>
      <c r="U60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00" s="274">
        <v>0.85</v>
      </c>
    </row>
    <row r="601" spans="1:22" x14ac:dyDescent="0.25">
      <c r="A601" s="277" t="s">
        <v>85</v>
      </c>
      <c r="B601" s="278">
        <f>_xlfn.XLOOKUP(Catalogo[[#This Row],[Finca]], Fincas[Nombre], Fincas[ID])</f>
        <v>38</v>
      </c>
      <c r="C601" s="277" t="s">
        <v>646</v>
      </c>
      <c r="D601" s="277" t="s">
        <v>842</v>
      </c>
      <c r="E601" s="277"/>
      <c r="F601" s="277" t="s">
        <v>564</v>
      </c>
      <c r="G601" s="277" t="s">
        <v>541</v>
      </c>
      <c r="H601" s="277"/>
      <c r="I601" s="311" t="s">
        <v>274</v>
      </c>
      <c r="J601" s="309"/>
      <c r="K601" s="278" t="s">
        <v>35</v>
      </c>
      <c r="L60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1" s="279" t="s">
        <v>385</v>
      </c>
      <c r="N601" s="279">
        <v>125</v>
      </c>
      <c r="O601" s="276">
        <v>0.36</v>
      </c>
      <c r="P601" s="280">
        <f>IFERROR(_xlfn.LET(_xlpm.boxType, K601, _xlpm.tallos, N601, _xlpm.cost, O601, _xlpm.precio, Q601,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01" s="296">
        <v>1.39</v>
      </c>
      <c r="R601" s="276" t="s">
        <v>284</v>
      </c>
      <c r="S60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1" s="276">
        <v>0.36</v>
      </c>
      <c r="U60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01" s="274">
        <v>0.79</v>
      </c>
    </row>
    <row r="602" spans="1:22" ht="15.75" thickBot="1" x14ac:dyDescent="0.3">
      <c r="A602" s="277" t="s">
        <v>85</v>
      </c>
      <c r="B602" s="278">
        <f>_xlfn.XLOOKUP(Catalogo[[#This Row],[Finca]], Fincas[Nombre], Fincas[ID])</f>
        <v>38</v>
      </c>
      <c r="C602" s="277" t="s">
        <v>646</v>
      </c>
      <c r="D602" s="277" t="s">
        <v>842</v>
      </c>
      <c r="E602" s="277"/>
      <c r="F602" s="277" t="s">
        <v>564</v>
      </c>
      <c r="G602" s="277" t="s">
        <v>541</v>
      </c>
      <c r="H602" s="277"/>
      <c r="I602" s="311" t="s">
        <v>274</v>
      </c>
      <c r="J602" s="309"/>
      <c r="K602" s="278" t="s">
        <v>93</v>
      </c>
      <c r="L60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2" s="279" t="s">
        <v>387</v>
      </c>
      <c r="N602" s="279">
        <v>250</v>
      </c>
      <c r="O602" s="276">
        <v>0.36</v>
      </c>
      <c r="P602" s="280">
        <f>IFERROR(_xlfn.LET(_xlpm.boxType, K602, _xlpm.tallos, N602, _xlpm.cost, O602, _xlpm.precio, Q602,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02" s="296">
        <v>1.39</v>
      </c>
      <c r="R602" s="276" t="s">
        <v>285</v>
      </c>
      <c r="S60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2" s="276">
        <v>0.36</v>
      </c>
      <c r="U60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02" s="274">
        <v>0.79</v>
      </c>
    </row>
    <row r="603" spans="1:22" x14ac:dyDescent="0.25">
      <c r="A603" s="281" t="s">
        <v>85</v>
      </c>
      <c r="B603" s="282">
        <f>_xlfn.XLOOKUP(Catalogo[[#This Row],[Finca]], Fincas[Nombre], Fincas[ID])</f>
        <v>38</v>
      </c>
      <c r="C603" s="281" t="s">
        <v>646</v>
      </c>
      <c r="D603" s="281" t="s">
        <v>842</v>
      </c>
      <c r="E603" s="281"/>
      <c r="F603" s="281" t="s">
        <v>564</v>
      </c>
      <c r="G603" s="281" t="s">
        <v>541</v>
      </c>
      <c r="H603" s="281"/>
      <c r="I603" s="316" t="s">
        <v>275</v>
      </c>
      <c r="J603" s="308"/>
      <c r="K603" s="282" t="s">
        <v>31</v>
      </c>
      <c r="L60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3" s="283" t="s">
        <v>383</v>
      </c>
      <c r="N603" s="283">
        <v>50</v>
      </c>
      <c r="O603" s="285">
        <v>0.42</v>
      </c>
      <c r="P603" s="284">
        <f>IFERROR(_xlfn.LET(_xlpm.boxType, K603, _xlpm.tallos, N603, _xlpm.cost, O603, _xlpm.precio, Q603,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03" s="295">
        <v>1.59</v>
      </c>
      <c r="R603" s="285" t="s">
        <v>283</v>
      </c>
      <c r="S60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3" s="285">
        <v>0.42</v>
      </c>
      <c r="U60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03" s="287">
        <v>0.99</v>
      </c>
    </row>
    <row r="604" spans="1:22" x14ac:dyDescent="0.25">
      <c r="A604" s="277" t="s">
        <v>85</v>
      </c>
      <c r="B604" s="278">
        <f>_xlfn.XLOOKUP(Catalogo[[#This Row],[Finca]], Fincas[Nombre], Fincas[ID])</f>
        <v>38</v>
      </c>
      <c r="C604" s="277" t="s">
        <v>646</v>
      </c>
      <c r="D604" s="277" t="s">
        <v>842</v>
      </c>
      <c r="E604" s="277"/>
      <c r="F604" s="277" t="s">
        <v>564</v>
      </c>
      <c r="G604" s="277" t="s">
        <v>541</v>
      </c>
      <c r="H604" s="277"/>
      <c r="I604" s="311" t="s">
        <v>275</v>
      </c>
      <c r="J604" s="309"/>
      <c r="K604" s="278" t="s">
        <v>35</v>
      </c>
      <c r="L60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4" s="279" t="s">
        <v>385</v>
      </c>
      <c r="N604" s="279">
        <v>100</v>
      </c>
      <c r="O604" s="276">
        <v>0.42</v>
      </c>
      <c r="P604" s="280">
        <f>IFERROR(_xlfn.LET(_xlpm.boxType, K604, _xlpm.tallos, N604, _xlpm.cost, O604, _xlpm.precio, Q604,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04" s="296">
        <v>1.59</v>
      </c>
      <c r="R604" s="276" t="s">
        <v>284</v>
      </c>
      <c r="S60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4" s="276">
        <v>0.42</v>
      </c>
      <c r="U60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04" s="274">
        <v>0.89</v>
      </c>
    </row>
    <row r="605" spans="1:22" ht="15.75" thickBot="1" x14ac:dyDescent="0.3">
      <c r="A605" s="288" t="s">
        <v>85</v>
      </c>
      <c r="B605" s="289">
        <f>_xlfn.XLOOKUP(Catalogo[[#This Row],[Finca]], Fincas[Nombre], Fincas[ID])</f>
        <v>38</v>
      </c>
      <c r="C605" s="288" t="s">
        <v>646</v>
      </c>
      <c r="D605" s="288" t="s">
        <v>842</v>
      </c>
      <c r="E605" s="288"/>
      <c r="F605" s="288" t="s">
        <v>564</v>
      </c>
      <c r="G605" s="288" t="s">
        <v>541</v>
      </c>
      <c r="H605" s="288"/>
      <c r="I605" s="317" t="s">
        <v>275</v>
      </c>
      <c r="J605" s="310"/>
      <c r="K605" s="289" t="s">
        <v>93</v>
      </c>
      <c r="L60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5" s="290" t="s">
        <v>387</v>
      </c>
      <c r="N605" s="290">
        <v>200</v>
      </c>
      <c r="O605" s="292">
        <v>0.42</v>
      </c>
      <c r="P605" s="291">
        <f>IFERROR(_xlfn.LET(_xlpm.boxType, K605, _xlpm.tallos, N605, _xlpm.cost, O605, _xlpm.precio, Q605,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05" s="297">
        <v>1.59</v>
      </c>
      <c r="R605" s="292" t="s">
        <v>285</v>
      </c>
      <c r="S60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5" s="292">
        <v>0.42</v>
      </c>
      <c r="U60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05" s="294">
        <v>0.89</v>
      </c>
    </row>
    <row r="606" spans="1:22" x14ac:dyDescent="0.25">
      <c r="A606" s="281" t="s">
        <v>85</v>
      </c>
      <c r="B606" s="282">
        <f>_xlfn.XLOOKUP(Catalogo[[#This Row],[Finca]], Fincas[Nombre], Fincas[ID])</f>
        <v>38</v>
      </c>
      <c r="C606" s="281" t="s">
        <v>646</v>
      </c>
      <c r="D606" s="281" t="s">
        <v>843</v>
      </c>
      <c r="E606" s="281"/>
      <c r="F606" s="281" t="s">
        <v>583</v>
      </c>
      <c r="G606" s="281"/>
      <c r="H606" s="281"/>
      <c r="I606" s="316" t="s">
        <v>273</v>
      </c>
      <c r="J606" s="308"/>
      <c r="K606" s="282" t="s">
        <v>31</v>
      </c>
      <c r="L60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6" s="283" t="s">
        <v>383</v>
      </c>
      <c r="N606" s="283">
        <v>50</v>
      </c>
      <c r="O606" s="285">
        <v>0.26</v>
      </c>
      <c r="P606" s="284">
        <f>IFERROR(_xlfn.LET(_xlpm.boxType, K606, _xlpm.tallos, N606, _xlpm.cost, O606, _xlpm.precio, Q606,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06" s="295">
        <v>1.29</v>
      </c>
      <c r="R606" s="285" t="s">
        <v>283</v>
      </c>
      <c r="S60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6" s="285">
        <v>0.26</v>
      </c>
      <c r="U60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06" s="287">
        <v>0.75</v>
      </c>
    </row>
    <row r="607" spans="1:22" x14ac:dyDescent="0.25">
      <c r="A607" s="277" t="s">
        <v>85</v>
      </c>
      <c r="B607" s="278">
        <f>_xlfn.XLOOKUP(Catalogo[[#This Row],[Finca]], Fincas[Nombre], Fincas[ID])</f>
        <v>38</v>
      </c>
      <c r="C607" s="277" t="s">
        <v>646</v>
      </c>
      <c r="D607" s="277" t="s">
        <v>843</v>
      </c>
      <c r="E607" s="277"/>
      <c r="F607" s="277" t="s">
        <v>583</v>
      </c>
      <c r="G607" s="277"/>
      <c r="H607" s="277"/>
      <c r="I607" s="311" t="s">
        <v>273</v>
      </c>
      <c r="J607" s="309"/>
      <c r="K607" s="278" t="s">
        <v>35</v>
      </c>
      <c r="L60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7" s="279" t="s">
        <v>385</v>
      </c>
      <c r="N607" s="279">
        <v>150</v>
      </c>
      <c r="O607" s="276">
        <v>0.26</v>
      </c>
      <c r="P607" s="280">
        <f>IFERROR(_xlfn.LET(_xlpm.boxType, K607, _xlpm.tallos, N607, _xlpm.cost, O607, _xlpm.precio, Q607,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07" s="296">
        <v>1.19</v>
      </c>
      <c r="R607" s="276" t="s">
        <v>284</v>
      </c>
      <c r="S60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7" s="276">
        <v>0.26</v>
      </c>
      <c r="U60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07" s="274">
        <v>0.69</v>
      </c>
    </row>
    <row r="608" spans="1:22" ht="15.75" thickBot="1" x14ac:dyDescent="0.3">
      <c r="A608" s="288" t="s">
        <v>85</v>
      </c>
      <c r="B608" s="289">
        <f>_xlfn.XLOOKUP(Catalogo[[#This Row],[Finca]], Fincas[Nombre], Fincas[ID])</f>
        <v>38</v>
      </c>
      <c r="C608" s="288" t="s">
        <v>646</v>
      </c>
      <c r="D608" s="288" t="s">
        <v>843</v>
      </c>
      <c r="E608" s="288"/>
      <c r="F608" s="288" t="s">
        <v>583</v>
      </c>
      <c r="G608" s="288"/>
      <c r="H608" s="288"/>
      <c r="I608" s="317" t="s">
        <v>273</v>
      </c>
      <c r="J608" s="310"/>
      <c r="K608" s="289" t="s">
        <v>93</v>
      </c>
      <c r="L60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8" s="290" t="s">
        <v>387</v>
      </c>
      <c r="N608" s="290">
        <v>300</v>
      </c>
      <c r="O608" s="292">
        <v>0.26</v>
      </c>
      <c r="P608" s="291">
        <f>IFERROR(_xlfn.LET(_xlpm.boxType, K608, _xlpm.tallos, N608, _xlpm.cost, O608, _xlpm.precio, Q608,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08" s="297">
        <v>1.19</v>
      </c>
      <c r="R608" s="292" t="s">
        <v>285</v>
      </c>
      <c r="S60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8" s="292">
        <v>0.26</v>
      </c>
      <c r="U60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08" s="294">
        <v>0.69</v>
      </c>
    </row>
    <row r="609" spans="1:22" x14ac:dyDescent="0.25">
      <c r="A609" s="277" t="s">
        <v>85</v>
      </c>
      <c r="B609" s="278">
        <f>_xlfn.XLOOKUP(Catalogo[[#This Row],[Finca]], Fincas[Nombre], Fincas[ID])</f>
        <v>38</v>
      </c>
      <c r="C609" s="277" t="s">
        <v>646</v>
      </c>
      <c r="D609" s="277" t="s">
        <v>843</v>
      </c>
      <c r="E609" s="277"/>
      <c r="F609" s="277" t="s">
        <v>583</v>
      </c>
      <c r="G609" s="277"/>
      <c r="H609" s="277"/>
      <c r="I609" s="311" t="s">
        <v>274</v>
      </c>
      <c r="J609" s="309"/>
      <c r="K609" s="278" t="s">
        <v>31</v>
      </c>
      <c r="L60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09" s="279" t="s">
        <v>383</v>
      </c>
      <c r="N609" s="279">
        <v>50</v>
      </c>
      <c r="O609" s="276">
        <v>0.36</v>
      </c>
      <c r="P609" s="280">
        <f>IFERROR(_xlfn.LET(_xlpm.boxType, K609, _xlpm.tallos, N609, _xlpm.cost, O609, _xlpm.precio, Q609,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09" s="296">
        <v>1.49</v>
      </c>
      <c r="R609" s="276" t="s">
        <v>283</v>
      </c>
      <c r="S60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09" s="276">
        <v>0.36</v>
      </c>
      <c r="U60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09" s="274">
        <v>0.85</v>
      </c>
    </row>
    <row r="610" spans="1:22" x14ac:dyDescent="0.25">
      <c r="A610" s="277" t="s">
        <v>85</v>
      </c>
      <c r="B610" s="278">
        <f>_xlfn.XLOOKUP(Catalogo[[#This Row],[Finca]], Fincas[Nombre], Fincas[ID])</f>
        <v>38</v>
      </c>
      <c r="C610" s="277" t="s">
        <v>646</v>
      </c>
      <c r="D610" s="277" t="s">
        <v>843</v>
      </c>
      <c r="E610" s="277"/>
      <c r="F610" s="277" t="s">
        <v>583</v>
      </c>
      <c r="G610" s="277"/>
      <c r="H610" s="277"/>
      <c r="I610" s="311" t="s">
        <v>274</v>
      </c>
      <c r="J610" s="309"/>
      <c r="K610" s="278" t="s">
        <v>35</v>
      </c>
      <c r="L6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0" s="279" t="s">
        <v>385</v>
      </c>
      <c r="N610" s="279">
        <v>125</v>
      </c>
      <c r="O610" s="276">
        <v>0.36</v>
      </c>
      <c r="P610" s="280">
        <f>IFERROR(_xlfn.LET(_xlpm.boxType, K610, _xlpm.tallos, N610, _xlpm.cost, O610, _xlpm.precio, Q610,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10" s="296">
        <v>1.39</v>
      </c>
      <c r="R610" s="276" t="s">
        <v>284</v>
      </c>
      <c r="S6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0" s="276">
        <v>0.36</v>
      </c>
      <c r="U61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10" s="274">
        <v>0.79</v>
      </c>
    </row>
    <row r="611" spans="1:22" ht="15.75" thickBot="1" x14ac:dyDescent="0.3">
      <c r="A611" s="277" t="s">
        <v>85</v>
      </c>
      <c r="B611" s="278">
        <f>_xlfn.XLOOKUP(Catalogo[[#This Row],[Finca]], Fincas[Nombre], Fincas[ID])</f>
        <v>38</v>
      </c>
      <c r="C611" s="277" t="s">
        <v>646</v>
      </c>
      <c r="D611" s="277" t="s">
        <v>843</v>
      </c>
      <c r="E611" s="277"/>
      <c r="F611" s="277" t="s">
        <v>583</v>
      </c>
      <c r="G611" s="277"/>
      <c r="H611" s="277"/>
      <c r="I611" s="311" t="s">
        <v>274</v>
      </c>
      <c r="J611" s="309"/>
      <c r="K611" s="278" t="s">
        <v>93</v>
      </c>
      <c r="L6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1" s="279" t="s">
        <v>387</v>
      </c>
      <c r="N611" s="279">
        <v>250</v>
      </c>
      <c r="O611" s="276">
        <v>0.36</v>
      </c>
      <c r="P611" s="280">
        <f>IFERROR(_xlfn.LET(_xlpm.boxType, K611, _xlpm.tallos, N611, _xlpm.cost, O611, _xlpm.precio, Q611,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11" s="296">
        <v>1.39</v>
      </c>
      <c r="R611" s="276" t="s">
        <v>285</v>
      </c>
      <c r="S6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1" s="276">
        <v>0.36</v>
      </c>
      <c r="U61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11" s="274">
        <v>0.79</v>
      </c>
    </row>
    <row r="612" spans="1:22" x14ac:dyDescent="0.25">
      <c r="A612" s="281" t="s">
        <v>85</v>
      </c>
      <c r="B612" s="282">
        <f>_xlfn.XLOOKUP(Catalogo[[#This Row],[Finca]], Fincas[Nombre], Fincas[ID])</f>
        <v>38</v>
      </c>
      <c r="C612" s="281" t="s">
        <v>646</v>
      </c>
      <c r="D612" s="281" t="s">
        <v>843</v>
      </c>
      <c r="E612" s="281"/>
      <c r="F612" s="281" t="s">
        <v>583</v>
      </c>
      <c r="G612" s="281"/>
      <c r="H612" s="281"/>
      <c r="I612" s="316" t="s">
        <v>275</v>
      </c>
      <c r="J612" s="308"/>
      <c r="K612" s="282" t="s">
        <v>31</v>
      </c>
      <c r="L61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2" s="283" t="s">
        <v>383</v>
      </c>
      <c r="N612" s="283">
        <v>50</v>
      </c>
      <c r="O612" s="285">
        <v>0.42</v>
      </c>
      <c r="P612" s="284">
        <f>IFERROR(_xlfn.LET(_xlpm.boxType, K612, _xlpm.tallos, N612, _xlpm.cost, O612, _xlpm.precio, Q612,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12" s="295">
        <v>1.59</v>
      </c>
      <c r="R612" s="285" t="s">
        <v>283</v>
      </c>
      <c r="S61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2" s="285">
        <v>0.42</v>
      </c>
      <c r="U61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12" s="287">
        <v>0.99</v>
      </c>
    </row>
    <row r="613" spans="1:22" x14ac:dyDescent="0.25">
      <c r="A613" s="277" t="s">
        <v>85</v>
      </c>
      <c r="B613" s="278">
        <f>_xlfn.XLOOKUP(Catalogo[[#This Row],[Finca]], Fincas[Nombre], Fincas[ID])</f>
        <v>38</v>
      </c>
      <c r="C613" s="277" t="s">
        <v>646</v>
      </c>
      <c r="D613" s="277" t="s">
        <v>843</v>
      </c>
      <c r="E613" s="277"/>
      <c r="F613" s="277" t="s">
        <v>583</v>
      </c>
      <c r="G613" s="277"/>
      <c r="H613" s="277"/>
      <c r="I613" s="311" t="s">
        <v>275</v>
      </c>
      <c r="J613" s="309"/>
      <c r="K613" s="278" t="s">
        <v>35</v>
      </c>
      <c r="L61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3" s="279" t="s">
        <v>385</v>
      </c>
      <c r="N613" s="279">
        <v>100</v>
      </c>
      <c r="O613" s="276">
        <v>0.42</v>
      </c>
      <c r="P613" s="280">
        <f>IFERROR(_xlfn.LET(_xlpm.boxType, K613, _xlpm.tallos, N613, _xlpm.cost, O613, _xlpm.precio, Q613,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13" s="296">
        <v>1.59</v>
      </c>
      <c r="R613" s="276" t="s">
        <v>284</v>
      </c>
      <c r="S61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3" s="276">
        <v>0.42</v>
      </c>
      <c r="U61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13" s="274">
        <v>0.89</v>
      </c>
    </row>
    <row r="614" spans="1:22" ht="15.75" thickBot="1" x14ac:dyDescent="0.3">
      <c r="A614" s="288" t="s">
        <v>85</v>
      </c>
      <c r="B614" s="289">
        <f>_xlfn.XLOOKUP(Catalogo[[#This Row],[Finca]], Fincas[Nombre], Fincas[ID])</f>
        <v>38</v>
      </c>
      <c r="C614" s="288" t="s">
        <v>646</v>
      </c>
      <c r="D614" s="288" t="s">
        <v>843</v>
      </c>
      <c r="E614" s="288"/>
      <c r="F614" s="288" t="s">
        <v>583</v>
      </c>
      <c r="G614" s="288"/>
      <c r="H614" s="288"/>
      <c r="I614" s="317" t="s">
        <v>275</v>
      </c>
      <c r="J614" s="310"/>
      <c r="K614" s="289" t="s">
        <v>93</v>
      </c>
      <c r="L61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4" s="290" t="s">
        <v>387</v>
      </c>
      <c r="N614" s="290">
        <v>200</v>
      </c>
      <c r="O614" s="292">
        <v>0.42</v>
      </c>
      <c r="P614" s="291">
        <f>IFERROR(_xlfn.LET(_xlpm.boxType, K614, _xlpm.tallos, N614, _xlpm.cost, O614, _xlpm.precio, Q614,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14" s="297">
        <v>1.59</v>
      </c>
      <c r="R614" s="292" t="s">
        <v>285</v>
      </c>
      <c r="S61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4" s="292">
        <v>0.42</v>
      </c>
      <c r="U61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14" s="294">
        <v>0.89</v>
      </c>
    </row>
    <row r="615" spans="1:22" x14ac:dyDescent="0.25">
      <c r="A615" s="281" t="s">
        <v>85</v>
      </c>
      <c r="B615" s="282">
        <f>_xlfn.XLOOKUP(Catalogo[[#This Row],[Finca]], Fincas[Nombre], Fincas[ID])</f>
        <v>38</v>
      </c>
      <c r="C615" s="281" t="s">
        <v>646</v>
      </c>
      <c r="D615" s="281" t="s">
        <v>844</v>
      </c>
      <c r="E615" s="281"/>
      <c r="F615" s="281" t="s">
        <v>534</v>
      </c>
      <c r="G615" s="281"/>
      <c r="H615" s="281"/>
      <c r="I615" s="316" t="s">
        <v>273</v>
      </c>
      <c r="J615" s="308"/>
      <c r="K615" s="282" t="s">
        <v>31</v>
      </c>
      <c r="L61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5" s="283" t="s">
        <v>383</v>
      </c>
      <c r="N615" s="283">
        <v>50</v>
      </c>
      <c r="O615" s="285">
        <v>0.26</v>
      </c>
      <c r="P615" s="284">
        <f>IFERROR(_xlfn.LET(_xlpm.boxType, K615, _xlpm.tallos, N615, _xlpm.cost, O615, _xlpm.precio, Q615,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15" s="295">
        <v>1.29</v>
      </c>
      <c r="R615" s="285" t="s">
        <v>283</v>
      </c>
      <c r="S61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5" s="285">
        <v>0.26</v>
      </c>
      <c r="U61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15" s="287">
        <v>0.75</v>
      </c>
    </row>
    <row r="616" spans="1:22" x14ac:dyDescent="0.25">
      <c r="A616" s="277" t="s">
        <v>85</v>
      </c>
      <c r="B616" s="278">
        <f>_xlfn.XLOOKUP(Catalogo[[#This Row],[Finca]], Fincas[Nombre], Fincas[ID])</f>
        <v>38</v>
      </c>
      <c r="C616" s="277" t="s">
        <v>646</v>
      </c>
      <c r="D616" s="277" t="s">
        <v>844</v>
      </c>
      <c r="E616" s="277"/>
      <c r="F616" s="277" t="s">
        <v>534</v>
      </c>
      <c r="G616" s="277"/>
      <c r="H616" s="277"/>
      <c r="I616" s="311" t="s">
        <v>273</v>
      </c>
      <c r="J616" s="309"/>
      <c r="K616" s="278" t="s">
        <v>35</v>
      </c>
      <c r="L61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6" s="279" t="s">
        <v>385</v>
      </c>
      <c r="N616" s="279">
        <v>150</v>
      </c>
      <c r="O616" s="276">
        <v>0.26</v>
      </c>
      <c r="P616" s="280">
        <f>IFERROR(_xlfn.LET(_xlpm.boxType, K616, _xlpm.tallos, N616, _xlpm.cost, O616, _xlpm.precio, Q616,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16" s="296">
        <v>1.19</v>
      </c>
      <c r="R616" s="276" t="s">
        <v>284</v>
      </c>
      <c r="S61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6" s="276">
        <v>0.26</v>
      </c>
      <c r="U61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16" s="274">
        <v>0.69</v>
      </c>
    </row>
    <row r="617" spans="1:22" ht="15.75" thickBot="1" x14ac:dyDescent="0.3">
      <c r="A617" s="288" t="s">
        <v>85</v>
      </c>
      <c r="B617" s="289">
        <f>_xlfn.XLOOKUP(Catalogo[[#This Row],[Finca]], Fincas[Nombre], Fincas[ID])</f>
        <v>38</v>
      </c>
      <c r="C617" s="288" t="s">
        <v>646</v>
      </c>
      <c r="D617" s="288" t="s">
        <v>844</v>
      </c>
      <c r="E617" s="288"/>
      <c r="F617" s="288" t="s">
        <v>534</v>
      </c>
      <c r="G617" s="288"/>
      <c r="H617" s="288"/>
      <c r="I617" s="317" t="s">
        <v>273</v>
      </c>
      <c r="J617" s="310"/>
      <c r="K617" s="289" t="s">
        <v>93</v>
      </c>
      <c r="L61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7" s="290" t="s">
        <v>387</v>
      </c>
      <c r="N617" s="290">
        <v>300</v>
      </c>
      <c r="O617" s="292">
        <v>0.26</v>
      </c>
      <c r="P617" s="291">
        <f>IFERROR(_xlfn.LET(_xlpm.boxType, K617, _xlpm.tallos, N617, _xlpm.cost, O617, _xlpm.precio, Q617,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17" s="297">
        <v>1.19</v>
      </c>
      <c r="R617" s="292" t="s">
        <v>285</v>
      </c>
      <c r="S61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7" s="292">
        <v>0.26</v>
      </c>
      <c r="U61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17" s="294">
        <v>0.69</v>
      </c>
    </row>
    <row r="618" spans="1:22" x14ac:dyDescent="0.25">
      <c r="A618" s="277" t="s">
        <v>85</v>
      </c>
      <c r="B618" s="278">
        <f>_xlfn.XLOOKUP(Catalogo[[#This Row],[Finca]], Fincas[Nombre], Fincas[ID])</f>
        <v>38</v>
      </c>
      <c r="C618" s="277" t="s">
        <v>646</v>
      </c>
      <c r="D618" s="277" t="s">
        <v>844</v>
      </c>
      <c r="E618" s="277"/>
      <c r="F618" s="277" t="s">
        <v>534</v>
      </c>
      <c r="G618" s="277"/>
      <c r="H618" s="277"/>
      <c r="I618" s="311" t="s">
        <v>274</v>
      </c>
      <c r="J618" s="309"/>
      <c r="K618" s="278" t="s">
        <v>31</v>
      </c>
      <c r="L61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8" s="279" t="s">
        <v>383</v>
      </c>
      <c r="N618" s="279">
        <v>50</v>
      </c>
      <c r="O618" s="276">
        <v>0.36</v>
      </c>
      <c r="P618" s="280">
        <f>IFERROR(_xlfn.LET(_xlpm.boxType, K618, _xlpm.tallos, N618, _xlpm.cost, O618, _xlpm.precio, Q618,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18" s="296">
        <v>1.49</v>
      </c>
      <c r="R618" s="276" t="s">
        <v>283</v>
      </c>
      <c r="S61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8" s="276">
        <v>0.36</v>
      </c>
      <c r="U61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18" s="274">
        <v>0.85</v>
      </c>
    </row>
    <row r="619" spans="1:22" x14ac:dyDescent="0.25">
      <c r="A619" s="277" t="s">
        <v>85</v>
      </c>
      <c r="B619" s="278">
        <f>_xlfn.XLOOKUP(Catalogo[[#This Row],[Finca]], Fincas[Nombre], Fincas[ID])</f>
        <v>38</v>
      </c>
      <c r="C619" s="277" t="s">
        <v>646</v>
      </c>
      <c r="D619" s="277" t="s">
        <v>844</v>
      </c>
      <c r="E619" s="277"/>
      <c r="F619" s="277" t="s">
        <v>534</v>
      </c>
      <c r="G619" s="277"/>
      <c r="H619" s="277"/>
      <c r="I619" s="311" t="s">
        <v>274</v>
      </c>
      <c r="J619" s="309"/>
      <c r="K619" s="278" t="s">
        <v>35</v>
      </c>
      <c r="L6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19" s="279" t="s">
        <v>385</v>
      </c>
      <c r="N619" s="279">
        <v>125</v>
      </c>
      <c r="O619" s="276">
        <v>0.36</v>
      </c>
      <c r="P619" s="280">
        <f>IFERROR(_xlfn.LET(_xlpm.boxType, K619, _xlpm.tallos, N619, _xlpm.cost, O619, _xlpm.precio, Q619,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19" s="296">
        <v>1.39</v>
      </c>
      <c r="R619" s="276" t="s">
        <v>284</v>
      </c>
      <c r="S6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19" s="276">
        <v>0.36</v>
      </c>
      <c r="U61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19" s="274">
        <v>0.79</v>
      </c>
    </row>
    <row r="620" spans="1:22" ht="15.75" thickBot="1" x14ac:dyDescent="0.3">
      <c r="A620" s="277" t="s">
        <v>85</v>
      </c>
      <c r="B620" s="278">
        <f>_xlfn.XLOOKUP(Catalogo[[#This Row],[Finca]], Fincas[Nombre], Fincas[ID])</f>
        <v>38</v>
      </c>
      <c r="C620" s="277" t="s">
        <v>646</v>
      </c>
      <c r="D620" s="277" t="s">
        <v>844</v>
      </c>
      <c r="E620" s="277"/>
      <c r="F620" s="277" t="s">
        <v>534</v>
      </c>
      <c r="G620" s="277"/>
      <c r="H620" s="277"/>
      <c r="I620" s="311" t="s">
        <v>274</v>
      </c>
      <c r="J620" s="309"/>
      <c r="K620" s="278" t="s">
        <v>93</v>
      </c>
      <c r="L6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0" s="279" t="s">
        <v>387</v>
      </c>
      <c r="N620" s="279">
        <v>250</v>
      </c>
      <c r="O620" s="276">
        <v>0.36</v>
      </c>
      <c r="P620" s="280">
        <f>IFERROR(_xlfn.LET(_xlpm.boxType, K620, _xlpm.tallos, N620, _xlpm.cost, O620, _xlpm.precio, Q620,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20" s="296">
        <v>1.39</v>
      </c>
      <c r="R620" s="276" t="s">
        <v>285</v>
      </c>
      <c r="S6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0" s="276">
        <v>0.36</v>
      </c>
      <c r="U62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20" s="274">
        <v>0.79</v>
      </c>
    </row>
    <row r="621" spans="1:22" x14ac:dyDescent="0.25">
      <c r="A621" s="281" t="s">
        <v>85</v>
      </c>
      <c r="B621" s="282">
        <f>_xlfn.XLOOKUP(Catalogo[[#This Row],[Finca]], Fincas[Nombre], Fincas[ID])</f>
        <v>38</v>
      </c>
      <c r="C621" s="281" t="s">
        <v>646</v>
      </c>
      <c r="D621" s="281" t="s">
        <v>844</v>
      </c>
      <c r="E621" s="281"/>
      <c r="F621" s="281" t="s">
        <v>534</v>
      </c>
      <c r="G621" s="281"/>
      <c r="H621" s="281"/>
      <c r="I621" s="316" t="s">
        <v>275</v>
      </c>
      <c r="J621" s="308"/>
      <c r="K621" s="282" t="s">
        <v>31</v>
      </c>
      <c r="L62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1" s="283" t="s">
        <v>383</v>
      </c>
      <c r="N621" s="283">
        <v>50</v>
      </c>
      <c r="O621" s="285">
        <v>0.42</v>
      </c>
      <c r="P621" s="284">
        <f>IFERROR(_xlfn.LET(_xlpm.boxType, K621, _xlpm.tallos, N621, _xlpm.cost, O621, _xlpm.precio, Q621,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21" s="295">
        <v>1.59</v>
      </c>
      <c r="R621" s="285" t="s">
        <v>283</v>
      </c>
      <c r="S62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1" s="285">
        <v>0.42</v>
      </c>
      <c r="U62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21" s="287">
        <v>0.99</v>
      </c>
    </row>
    <row r="622" spans="1:22" x14ac:dyDescent="0.25">
      <c r="A622" s="277" t="s">
        <v>85</v>
      </c>
      <c r="B622" s="278">
        <f>_xlfn.XLOOKUP(Catalogo[[#This Row],[Finca]], Fincas[Nombre], Fincas[ID])</f>
        <v>38</v>
      </c>
      <c r="C622" s="277" t="s">
        <v>646</v>
      </c>
      <c r="D622" s="277" t="s">
        <v>844</v>
      </c>
      <c r="E622" s="277"/>
      <c r="F622" s="277" t="s">
        <v>534</v>
      </c>
      <c r="G622" s="277"/>
      <c r="H622" s="277"/>
      <c r="I622" s="311" t="s">
        <v>275</v>
      </c>
      <c r="J622" s="309"/>
      <c r="K622" s="278" t="s">
        <v>35</v>
      </c>
      <c r="L62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2" s="279" t="s">
        <v>385</v>
      </c>
      <c r="N622" s="279">
        <v>100</v>
      </c>
      <c r="O622" s="276">
        <v>0.42</v>
      </c>
      <c r="P622" s="280">
        <f>IFERROR(_xlfn.LET(_xlpm.boxType, K622, _xlpm.tallos, N622, _xlpm.cost, O622, _xlpm.precio, Q622,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22" s="296">
        <v>1.59</v>
      </c>
      <c r="R622" s="276" t="s">
        <v>284</v>
      </c>
      <c r="S62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2" s="276">
        <v>0.42</v>
      </c>
      <c r="U62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22" s="274">
        <v>0.89</v>
      </c>
    </row>
    <row r="623" spans="1:22" ht="15.75" thickBot="1" x14ac:dyDescent="0.3">
      <c r="A623" s="288" t="s">
        <v>85</v>
      </c>
      <c r="B623" s="289">
        <f>_xlfn.XLOOKUP(Catalogo[[#This Row],[Finca]], Fincas[Nombre], Fincas[ID])</f>
        <v>38</v>
      </c>
      <c r="C623" s="288" t="s">
        <v>646</v>
      </c>
      <c r="D623" s="288" t="s">
        <v>844</v>
      </c>
      <c r="E623" s="288"/>
      <c r="F623" s="288" t="s">
        <v>534</v>
      </c>
      <c r="G623" s="288"/>
      <c r="H623" s="288"/>
      <c r="I623" s="317" t="s">
        <v>275</v>
      </c>
      <c r="J623" s="310"/>
      <c r="K623" s="289" t="s">
        <v>93</v>
      </c>
      <c r="L62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3" s="290" t="s">
        <v>387</v>
      </c>
      <c r="N623" s="290">
        <v>200</v>
      </c>
      <c r="O623" s="292">
        <v>0.42</v>
      </c>
      <c r="P623" s="291">
        <f>IFERROR(_xlfn.LET(_xlpm.boxType, K623, _xlpm.tallos, N623, _xlpm.cost, O623, _xlpm.precio, Q623,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23" s="297">
        <v>1.59</v>
      </c>
      <c r="R623" s="292" t="s">
        <v>285</v>
      </c>
      <c r="S62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3" s="292">
        <v>0.42</v>
      </c>
      <c r="U62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23" s="294">
        <v>0.89</v>
      </c>
    </row>
    <row r="624" spans="1:22" x14ac:dyDescent="0.25">
      <c r="A624" s="281" t="s">
        <v>85</v>
      </c>
      <c r="B624" s="282">
        <f>_xlfn.XLOOKUP(Catalogo[[#This Row],[Finca]], Fincas[Nombre], Fincas[ID])</f>
        <v>38</v>
      </c>
      <c r="C624" s="281" t="s">
        <v>646</v>
      </c>
      <c r="D624" s="281" t="s">
        <v>845</v>
      </c>
      <c r="E624" s="281"/>
      <c r="F624" s="281" t="s">
        <v>600</v>
      </c>
      <c r="G624" s="281"/>
      <c r="H624" s="281"/>
      <c r="I624" s="316" t="s">
        <v>273</v>
      </c>
      <c r="J624" s="308"/>
      <c r="K624" s="282" t="s">
        <v>31</v>
      </c>
      <c r="L62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4" s="283" t="s">
        <v>383</v>
      </c>
      <c r="N624" s="283">
        <v>50</v>
      </c>
      <c r="O624" s="285">
        <v>0.26</v>
      </c>
      <c r="P624" s="284">
        <f>IFERROR(_xlfn.LET(_xlpm.boxType, K624, _xlpm.tallos, N624, _xlpm.cost, O624, _xlpm.precio, Q624,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24" s="295">
        <v>1.29</v>
      </c>
      <c r="R624" s="285" t="s">
        <v>283</v>
      </c>
      <c r="S62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4" s="285">
        <v>0.26</v>
      </c>
      <c r="U62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24" s="287">
        <v>0.75</v>
      </c>
    </row>
    <row r="625" spans="1:22" x14ac:dyDescent="0.25">
      <c r="A625" s="277" t="s">
        <v>85</v>
      </c>
      <c r="B625" s="278">
        <f>_xlfn.XLOOKUP(Catalogo[[#This Row],[Finca]], Fincas[Nombre], Fincas[ID])</f>
        <v>38</v>
      </c>
      <c r="C625" s="277" t="s">
        <v>646</v>
      </c>
      <c r="D625" s="277" t="s">
        <v>845</v>
      </c>
      <c r="E625" s="277"/>
      <c r="F625" s="277" t="s">
        <v>600</v>
      </c>
      <c r="G625" s="277"/>
      <c r="H625" s="277"/>
      <c r="I625" s="311" t="s">
        <v>273</v>
      </c>
      <c r="J625" s="309"/>
      <c r="K625" s="278" t="s">
        <v>35</v>
      </c>
      <c r="L62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5" s="279" t="s">
        <v>385</v>
      </c>
      <c r="N625" s="279">
        <v>150</v>
      </c>
      <c r="O625" s="276">
        <v>0.26</v>
      </c>
      <c r="P625" s="280">
        <f>IFERROR(_xlfn.LET(_xlpm.boxType, K625, _xlpm.tallos, N625, _xlpm.cost, O625, _xlpm.precio, Q625,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25" s="296">
        <v>1.19</v>
      </c>
      <c r="R625" s="276" t="s">
        <v>284</v>
      </c>
      <c r="S62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5" s="276">
        <v>0.26</v>
      </c>
      <c r="U62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25" s="274">
        <v>0.69</v>
      </c>
    </row>
    <row r="626" spans="1:22" ht="15.75" thickBot="1" x14ac:dyDescent="0.3">
      <c r="A626" s="288" t="s">
        <v>85</v>
      </c>
      <c r="B626" s="289">
        <f>_xlfn.XLOOKUP(Catalogo[[#This Row],[Finca]], Fincas[Nombre], Fincas[ID])</f>
        <v>38</v>
      </c>
      <c r="C626" s="288" t="s">
        <v>646</v>
      </c>
      <c r="D626" s="288" t="s">
        <v>845</v>
      </c>
      <c r="E626" s="288"/>
      <c r="F626" s="288" t="s">
        <v>600</v>
      </c>
      <c r="G626" s="288"/>
      <c r="H626" s="288"/>
      <c r="I626" s="317" t="s">
        <v>273</v>
      </c>
      <c r="J626" s="310"/>
      <c r="K626" s="289" t="s">
        <v>93</v>
      </c>
      <c r="L62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6" s="290" t="s">
        <v>387</v>
      </c>
      <c r="N626" s="290">
        <v>300</v>
      </c>
      <c r="O626" s="292">
        <v>0.26</v>
      </c>
      <c r="P626" s="291">
        <f>IFERROR(_xlfn.LET(_xlpm.boxType, K626, _xlpm.tallos, N626, _xlpm.cost, O626, _xlpm.precio, Q626,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26" s="297">
        <v>1.19</v>
      </c>
      <c r="R626" s="292" t="s">
        <v>285</v>
      </c>
      <c r="S62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6" s="292">
        <v>0.26</v>
      </c>
      <c r="U62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26" s="294">
        <v>0.69</v>
      </c>
    </row>
    <row r="627" spans="1:22" x14ac:dyDescent="0.25">
      <c r="A627" s="277" t="s">
        <v>85</v>
      </c>
      <c r="B627" s="278">
        <f>_xlfn.XLOOKUP(Catalogo[[#This Row],[Finca]], Fincas[Nombre], Fincas[ID])</f>
        <v>38</v>
      </c>
      <c r="C627" s="277" t="s">
        <v>646</v>
      </c>
      <c r="D627" s="277" t="s">
        <v>845</v>
      </c>
      <c r="E627" s="277"/>
      <c r="F627" s="277" t="s">
        <v>600</v>
      </c>
      <c r="G627" s="277"/>
      <c r="H627" s="277"/>
      <c r="I627" s="311" t="s">
        <v>274</v>
      </c>
      <c r="J627" s="309"/>
      <c r="K627" s="278" t="s">
        <v>31</v>
      </c>
      <c r="L62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7" s="279" t="s">
        <v>383</v>
      </c>
      <c r="N627" s="279">
        <v>50</v>
      </c>
      <c r="O627" s="276">
        <v>0.36</v>
      </c>
      <c r="P627" s="280">
        <f>IFERROR(_xlfn.LET(_xlpm.boxType, K627, _xlpm.tallos, N627, _xlpm.cost, O627, _xlpm.precio, Q627,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27" s="296">
        <v>1.49</v>
      </c>
      <c r="R627" s="276" t="s">
        <v>283</v>
      </c>
      <c r="S62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7" s="276">
        <v>0.36</v>
      </c>
      <c r="U62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27" s="274">
        <v>0.85</v>
      </c>
    </row>
    <row r="628" spans="1:22" x14ac:dyDescent="0.25">
      <c r="A628" s="277" t="s">
        <v>85</v>
      </c>
      <c r="B628" s="278">
        <f>_xlfn.XLOOKUP(Catalogo[[#This Row],[Finca]], Fincas[Nombre], Fincas[ID])</f>
        <v>38</v>
      </c>
      <c r="C628" s="277" t="s">
        <v>646</v>
      </c>
      <c r="D628" s="277" t="s">
        <v>845</v>
      </c>
      <c r="E628" s="277"/>
      <c r="F628" s="277" t="s">
        <v>600</v>
      </c>
      <c r="G628" s="277"/>
      <c r="H628" s="277"/>
      <c r="I628" s="311" t="s">
        <v>274</v>
      </c>
      <c r="J628" s="309"/>
      <c r="K628" s="278" t="s">
        <v>35</v>
      </c>
      <c r="L62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8" s="279" t="s">
        <v>385</v>
      </c>
      <c r="N628" s="279">
        <v>125</v>
      </c>
      <c r="O628" s="276">
        <v>0.36</v>
      </c>
      <c r="P628" s="280">
        <f>IFERROR(_xlfn.LET(_xlpm.boxType, K628, _xlpm.tallos, N628, _xlpm.cost, O628, _xlpm.precio, Q628,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28" s="296">
        <v>1.39</v>
      </c>
      <c r="R628" s="276" t="s">
        <v>284</v>
      </c>
      <c r="S62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8" s="276">
        <v>0.36</v>
      </c>
      <c r="U62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28" s="274">
        <v>0.79</v>
      </c>
    </row>
    <row r="629" spans="1:22" ht="15.75" thickBot="1" x14ac:dyDescent="0.3">
      <c r="A629" s="277" t="s">
        <v>85</v>
      </c>
      <c r="B629" s="278">
        <f>_xlfn.XLOOKUP(Catalogo[[#This Row],[Finca]], Fincas[Nombre], Fincas[ID])</f>
        <v>38</v>
      </c>
      <c r="C629" s="277" t="s">
        <v>646</v>
      </c>
      <c r="D629" s="277" t="s">
        <v>845</v>
      </c>
      <c r="E629" s="277"/>
      <c r="F629" s="277" t="s">
        <v>600</v>
      </c>
      <c r="G629" s="277"/>
      <c r="H629" s="277"/>
      <c r="I629" s="311" t="s">
        <v>274</v>
      </c>
      <c r="J629" s="309"/>
      <c r="K629" s="278" t="s">
        <v>93</v>
      </c>
      <c r="L6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29" s="279" t="s">
        <v>387</v>
      </c>
      <c r="N629" s="279">
        <v>250</v>
      </c>
      <c r="O629" s="276">
        <v>0.36</v>
      </c>
      <c r="P629" s="280">
        <f>IFERROR(_xlfn.LET(_xlpm.boxType, K629, _xlpm.tallos, N629, _xlpm.cost, O629, _xlpm.precio, Q629,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29" s="296">
        <v>1.39</v>
      </c>
      <c r="R629" s="276" t="s">
        <v>285</v>
      </c>
      <c r="S6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29" s="276">
        <v>0.36</v>
      </c>
      <c r="U62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29" s="274">
        <v>0.79</v>
      </c>
    </row>
    <row r="630" spans="1:22" x14ac:dyDescent="0.25">
      <c r="A630" s="281" t="s">
        <v>85</v>
      </c>
      <c r="B630" s="282">
        <f>_xlfn.XLOOKUP(Catalogo[[#This Row],[Finca]], Fincas[Nombre], Fincas[ID])</f>
        <v>38</v>
      </c>
      <c r="C630" s="281" t="s">
        <v>646</v>
      </c>
      <c r="D630" s="281" t="s">
        <v>845</v>
      </c>
      <c r="E630" s="281"/>
      <c r="F630" s="281" t="s">
        <v>600</v>
      </c>
      <c r="G630" s="281"/>
      <c r="H630" s="281"/>
      <c r="I630" s="316" t="s">
        <v>275</v>
      </c>
      <c r="J630" s="308"/>
      <c r="K630" s="282" t="s">
        <v>31</v>
      </c>
      <c r="L63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0" s="283" t="s">
        <v>383</v>
      </c>
      <c r="N630" s="283">
        <v>50</v>
      </c>
      <c r="O630" s="285">
        <v>0.42</v>
      </c>
      <c r="P630" s="284">
        <f>IFERROR(_xlfn.LET(_xlpm.boxType, K630, _xlpm.tallos, N630, _xlpm.cost, O630, _xlpm.precio, Q630,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30" s="295">
        <v>1.59</v>
      </c>
      <c r="R630" s="285" t="s">
        <v>283</v>
      </c>
      <c r="S63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0" s="285">
        <v>0.42</v>
      </c>
      <c r="U63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30" s="287">
        <v>0.99</v>
      </c>
    </row>
    <row r="631" spans="1:22" x14ac:dyDescent="0.25">
      <c r="A631" s="277" t="s">
        <v>85</v>
      </c>
      <c r="B631" s="278">
        <f>_xlfn.XLOOKUP(Catalogo[[#This Row],[Finca]], Fincas[Nombre], Fincas[ID])</f>
        <v>38</v>
      </c>
      <c r="C631" s="277" t="s">
        <v>646</v>
      </c>
      <c r="D631" s="277" t="s">
        <v>845</v>
      </c>
      <c r="E631" s="277"/>
      <c r="F631" s="277" t="s">
        <v>600</v>
      </c>
      <c r="G631" s="277"/>
      <c r="H631" s="277"/>
      <c r="I631" s="311" t="s">
        <v>275</v>
      </c>
      <c r="J631" s="309"/>
      <c r="K631" s="278" t="s">
        <v>35</v>
      </c>
      <c r="L63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1" s="279" t="s">
        <v>385</v>
      </c>
      <c r="N631" s="279">
        <v>100</v>
      </c>
      <c r="O631" s="276">
        <v>0.42</v>
      </c>
      <c r="P631" s="280">
        <f>IFERROR(_xlfn.LET(_xlpm.boxType, K631, _xlpm.tallos, N631, _xlpm.cost, O631, _xlpm.precio, Q631,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31" s="296">
        <v>1.59</v>
      </c>
      <c r="R631" s="276" t="s">
        <v>284</v>
      </c>
      <c r="S63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1" s="276">
        <v>0.42</v>
      </c>
      <c r="U63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31" s="274">
        <v>0.89</v>
      </c>
    </row>
    <row r="632" spans="1:22" ht="15.75" thickBot="1" x14ac:dyDescent="0.3">
      <c r="A632" s="288" t="s">
        <v>85</v>
      </c>
      <c r="B632" s="289">
        <f>_xlfn.XLOOKUP(Catalogo[[#This Row],[Finca]], Fincas[Nombre], Fincas[ID])</f>
        <v>38</v>
      </c>
      <c r="C632" s="288" t="s">
        <v>646</v>
      </c>
      <c r="D632" s="288" t="s">
        <v>845</v>
      </c>
      <c r="E632" s="288"/>
      <c r="F632" s="288" t="s">
        <v>600</v>
      </c>
      <c r="G632" s="288"/>
      <c r="H632" s="288"/>
      <c r="I632" s="317" t="s">
        <v>275</v>
      </c>
      <c r="J632" s="310"/>
      <c r="K632" s="289" t="s">
        <v>93</v>
      </c>
      <c r="L63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2" s="290" t="s">
        <v>387</v>
      </c>
      <c r="N632" s="290">
        <v>200</v>
      </c>
      <c r="O632" s="292">
        <v>0.42</v>
      </c>
      <c r="P632" s="291">
        <f>IFERROR(_xlfn.LET(_xlpm.boxType, K632, _xlpm.tallos, N632, _xlpm.cost, O632, _xlpm.precio, Q632,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32" s="297">
        <v>1.59</v>
      </c>
      <c r="R632" s="292" t="s">
        <v>285</v>
      </c>
      <c r="S63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2" s="292">
        <v>0.42</v>
      </c>
      <c r="U63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32" s="294">
        <v>0.89</v>
      </c>
    </row>
    <row r="633" spans="1:22" x14ac:dyDescent="0.25">
      <c r="A633" s="281" t="s">
        <v>85</v>
      </c>
      <c r="B633" s="282">
        <f>_xlfn.XLOOKUP(Catalogo[[#This Row],[Finca]], Fincas[Nombre], Fincas[ID])</f>
        <v>38</v>
      </c>
      <c r="C633" s="281" t="s">
        <v>646</v>
      </c>
      <c r="D633" s="281" t="s">
        <v>846</v>
      </c>
      <c r="E633" s="281"/>
      <c r="F633" s="281" t="s">
        <v>612</v>
      </c>
      <c r="G633" s="281"/>
      <c r="H633" s="281"/>
      <c r="I633" s="316" t="s">
        <v>273</v>
      </c>
      <c r="J633" s="308"/>
      <c r="K633" s="282" t="s">
        <v>31</v>
      </c>
      <c r="L63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3" s="283" t="s">
        <v>383</v>
      </c>
      <c r="N633" s="283">
        <v>50</v>
      </c>
      <c r="O633" s="285">
        <v>0.26</v>
      </c>
      <c r="P633" s="284">
        <f>IFERROR(_xlfn.LET(_xlpm.boxType, K633, _xlpm.tallos, N633, _xlpm.cost, O633, _xlpm.precio, Q633,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0.16020671834625322</v>
      </c>
      <c r="Q633" s="295">
        <v>1.29</v>
      </c>
      <c r="R633" s="285" t="s">
        <v>283</v>
      </c>
      <c r="S63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3" s="285">
        <v>0.26</v>
      </c>
      <c r="U63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0.24398625429553267</v>
      </c>
      <c r="V633" s="287">
        <v>0.75</v>
      </c>
    </row>
    <row r="634" spans="1:22" x14ac:dyDescent="0.25">
      <c r="A634" s="277" t="s">
        <v>85</v>
      </c>
      <c r="B634" s="278">
        <f>_xlfn.XLOOKUP(Catalogo[[#This Row],[Finca]], Fincas[Nombre], Fincas[ID])</f>
        <v>38</v>
      </c>
      <c r="C634" s="277" t="s">
        <v>646</v>
      </c>
      <c r="D634" s="277" t="s">
        <v>846</v>
      </c>
      <c r="E634" s="277"/>
      <c r="F634" s="277" t="s">
        <v>612</v>
      </c>
      <c r="G634" s="277"/>
      <c r="H634" s="277"/>
      <c r="I634" s="311" t="s">
        <v>273</v>
      </c>
      <c r="J634" s="309"/>
      <c r="K634" s="278" t="s">
        <v>35</v>
      </c>
      <c r="L63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4" s="279" t="s">
        <v>385</v>
      </c>
      <c r="N634" s="279">
        <v>150</v>
      </c>
      <c r="O634" s="276">
        <v>0.26</v>
      </c>
      <c r="P634" s="280">
        <f>IFERROR(_xlfn.LET(_xlpm.boxType, K634, _xlpm.tallos, N634, _xlpm.cost, O634, _xlpm.precio, Q634,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0.34348739495798308</v>
      </c>
      <c r="Q634" s="296">
        <v>1.19</v>
      </c>
      <c r="R634" s="276" t="s">
        <v>284</v>
      </c>
      <c r="S63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4" s="276">
        <v>0.26</v>
      </c>
      <c r="U63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34" s="274">
        <v>0.69</v>
      </c>
    </row>
    <row r="635" spans="1:22" ht="15.75" thickBot="1" x14ac:dyDescent="0.3">
      <c r="A635" s="288" t="s">
        <v>85</v>
      </c>
      <c r="B635" s="289">
        <f>_xlfn.XLOOKUP(Catalogo[[#This Row],[Finca]], Fincas[Nombre], Fincas[ID])</f>
        <v>38</v>
      </c>
      <c r="C635" s="288" t="s">
        <v>646</v>
      </c>
      <c r="D635" s="288" t="s">
        <v>846</v>
      </c>
      <c r="E635" s="288"/>
      <c r="F635" s="288" t="s">
        <v>612</v>
      </c>
      <c r="G635" s="288"/>
      <c r="H635" s="288"/>
      <c r="I635" s="317" t="s">
        <v>273</v>
      </c>
      <c r="J635" s="310"/>
      <c r="K635" s="289" t="s">
        <v>93</v>
      </c>
      <c r="L63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5" s="290" t="s">
        <v>387</v>
      </c>
      <c r="N635" s="290">
        <v>300</v>
      </c>
      <c r="O635" s="292">
        <v>0.26</v>
      </c>
      <c r="P635" s="291">
        <f>IFERROR(_xlfn.LET(_xlpm.boxType, K635, _xlpm.tallos, N635, _xlpm.cost, O635, _xlpm.precio, Q635,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0.2997198879551819</v>
      </c>
      <c r="Q635" s="297">
        <v>1.19</v>
      </c>
      <c r="R635" s="292" t="s">
        <v>285</v>
      </c>
      <c r="S63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5" s="292">
        <v>0.26</v>
      </c>
      <c r="U63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0.32765575974899142</v>
      </c>
      <c r="V635" s="294">
        <v>0.69</v>
      </c>
    </row>
    <row r="636" spans="1:22" x14ac:dyDescent="0.25">
      <c r="A636" s="277" t="s">
        <v>85</v>
      </c>
      <c r="B636" s="278">
        <f>_xlfn.XLOOKUP(Catalogo[[#This Row],[Finca]], Fincas[Nombre], Fincas[ID])</f>
        <v>38</v>
      </c>
      <c r="C636" s="277" t="s">
        <v>646</v>
      </c>
      <c r="D636" s="277" t="s">
        <v>846</v>
      </c>
      <c r="E636" s="277"/>
      <c r="F636" s="277" t="s">
        <v>612</v>
      </c>
      <c r="G636" s="277"/>
      <c r="H636" s="277"/>
      <c r="I636" s="311" t="s">
        <v>274</v>
      </c>
      <c r="J636" s="309"/>
      <c r="K636" s="278" t="s">
        <v>31</v>
      </c>
      <c r="L63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6" s="279" t="s">
        <v>383</v>
      </c>
      <c r="N636" s="279">
        <v>50</v>
      </c>
      <c r="O636" s="276">
        <v>0.36</v>
      </c>
      <c r="P636" s="280">
        <f>IFERROR(_xlfn.LET(_xlpm.boxType, K636, _xlpm.tallos, N636, _xlpm.cost, O636, _xlpm.precio, Q636,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0.19602908277404918</v>
      </c>
      <c r="Q636" s="296">
        <v>1.49</v>
      </c>
      <c r="R636" s="276" t="s">
        <v>283</v>
      </c>
      <c r="S63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6" s="276">
        <v>0.36</v>
      </c>
      <c r="U63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0.23590054578532449</v>
      </c>
      <c r="V636" s="274">
        <v>0.85</v>
      </c>
    </row>
    <row r="637" spans="1:22" x14ac:dyDescent="0.25">
      <c r="A637" s="277" t="s">
        <v>85</v>
      </c>
      <c r="B637" s="278">
        <f>_xlfn.XLOOKUP(Catalogo[[#This Row],[Finca]], Fincas[Nombre], Fincas[ID])</f>
        <v>38</v>
      </c>
      <c r="C637" s="277" t="s">
        <v>646</v>
      </c>
      <c r="D637" s="277" t="s">
        <v>846</v>
      </c>
      <c r="E637" s="277"/>
      <c r="F637" s="277" t="s">
        <v>612</v>
      </c>
      <c r="G637" s="277"/>
      <c r="H637" s="277"/>
      <c r="I637" s="311" t="s">
        <v>274</v>
      </c>
      <c r="J637" s="309"/>
      <c r="K637" s="278" t="s">
        <v>35</v>
      </c>
      <c r="L63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7" s="279" t="s">
        <v>385</v>
      </c>
      <c r="N637" s="279">
        <v>125</v>
      </c>
      <c r="O637" s="276">
        <v>0.36</v>
      </c>
      <c r="P637" s="280">
        <f>IFERROR(_xlfn.LET(_xlpm.boxType, K637, _xlpm.tallos, N637, _xlpm.cost, O637, _xlpm.precio, Q637,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0.28806954436450838</v>
      </c>
      <c r="Q637" s="296">
        <v>1.39</v>
      </c>
      <c r="R637" s="276" t="s">
        <v>284</v>
      </c>
      <c r="S63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7" s="276">
        <v>0.36</v>
      </c>
      <c r="U63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37" s="274">
        <v>0.79</v>
      </c>
    </row>
    <row r="638" spans="1:22" ht="15.75" thickBot="1" x14ac:dyDescent="0.3">
      <c r="A638" s="277" t="s">
        <v>85</v>
      </c>
      <c r="B638" s="278">
        <f>_xlfn.XLOOKUP(Catalogo[[#This Row],[Finca]], Fincas[Nombre], Fincas[ID])</f>
        <v>38</v>
      </c>
      <c r="C638" s="277" t="s">
        <v>646</v>
      </c>
      <c r="D638" s="277" t="s">
        <v>846</v>
      </c>
      <c r="E638" s="277"/>
      <c r="F638" s="277" t="s">
        <v>612</v>
      </c>
      <c r="G638" s="277"/>
      <c r="H638" s="277"/>
      <c r="I638" s="311" t="s">
        <v>274</v>
      </c>
      <c r="J638" s="309"/>
      <c r="K638" s="278" t="s">
        <v>93</v>
      </c>
      <c r="L6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8" s="279" t="s">
        <v>387</v>
      </c>
      <c r="N638" s="279">
        <v>250</v>
      </c>
      <c r="O638" s="276">
        <v>0.36</v>
      </c>
      <c r="P638" s="280">
        <f>IFERROR(_xlfn.LET(_xlpm.boxType, K638, _xlpm.tallos, N638, _xlpm.cost, O638, _xlpm.precio, Q638,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0.25059952038369293</v>
      </c>
      <c r="Q638" s="296">
        <v>1.39</v>
      </c>
      <c r="R638" s="276" t="s">
        <v>285</v>
      </c>
      <c r="S6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8" s="276">
        <v>0.36</v>
      </c>
      <c r="U6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0.2431162730001305</v>
      </c>
      <c r="V638" s="274">
        <v>0.79</v>
      </c>
    </row>
    <row r="639" spans="1:22" x14ac:dyDescent="0.25">
      <c r="A639" s="281" t="s">
        <v>85</v>
      </c>
      <c r="B639" s="282">
        <f>_xlfn.XLOOKUP(Catalogo[[#This Row],[Finca]], Fincas[Nombre], Fincas[ID])</f>
        <v>38</v>
      </c>
      <c r="C639" s="281" t="s">
        <v>646</v>
      </c>
      <c r="D639" s="281" t="s">
        <v>846</v>
      </c>
      <c r="E639" s="281"/>
      <c r="F639" s="281" t="s">
        <v>612</v>
      </c>
      <c r="G639" s="281"/>
      <c r="H639" s="281"/>
      <c r="I639" s="316" t="s">
        <v>275</v>
      </c>
      <c r="J639" s="308"/>
      <c r="K639" s="282" t="s">
        <v>31</v>
      </c>
      <c r="L63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39" s="283" t="s">
        <v>383</v>
      </c>
      <c r="N639" s="283">
        <v>50</v>
      </c>
      <c r="O639" s="285">
        <v>0.42</v>
      </c>
      <c r="P639" s="284">
        <f>IFERROR(_xlfn.LET(_xlpm.boxType, K639, _xlpm.tallos, N639, _xlpm.cost, O639, _xlpm.precio, Q639,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39" s="295">
        <v>1.59</v>
      </c>
      <c r="R639" s="285" t="s">
        <v>283</v>
      </c>
      <c r="S63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39" s="285">
        <v>0.42</v>
      </c>
      <c r="U63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0.29188795168176607</v>
      </c>
      <c r="V639" s="287">
        <v>0.99</v>
      </c>
    </row>
    <row r="640" spans="1:22" x14ac:dyDescent="0.25">
      <c r="A640" s="277" t="s">
        <v>85</v>
      </c>
      <c r="B640" s="278">
        <f>_xlfn.XLOOKUP(Catalogo[[#This Row],[Finca]], Fincas[Nombre], Fincas[ID])</f>
        <v>38</v>
      </c>
      <c r="C640" s="277" t="s">
        <v>646</v>
      </c>
      <c r="D640" s="277" t="s">
        <v>846</v>
      </c>
      <c r="E640" s="277"/>
      <c r="F640" s="277" t="s">
        <v>612</v>
      </c>
      <c r="G640" s="277"/>
      <c r="H640" s="277"/>
      <c r="I640" s="311" t="s">
        <v>275</v>
      </c>
      <c r="J640" s="309"/>
      <c r="K640" s="278" t="s">
        <v>35</v>
      </c>
      <c r="L64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0" s="279" t="s">
        <v>385</v>
      </c>
      <c r="N640" s="279">
        <v>100</v>
      </c>
      <c r="O640" s="276">
        <v>0.42</v>
      </c>
      <c r="P640" s="280">
        <f>IFERROR(_xlfn.LET(_xlpm.boxType, K640, _xlpm.tallos, N640, _xlpm.cost, O640, _xlpm.precio, Q640,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40" s="296">
        <v>1.59</v>
      </c>
      <c r="R640" s="276" t="s">
        <v>284</v>
      </c>
      <c r="S64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0" s="276">
        <v>0.42</v>
      </c>
      <c r="U64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40" s="274">
        <v>0.89</v>
      </c>
    </row>
    <row r="641" spans="1:22" ht="15.75" thickBot="1" x14ac:dyDescent="0.3">
      <c r="A641" s="288" t="s">
        <v>85</v>
      </c>
      <c r="B641" s="289">
        <f>_xlfn.XLOOKUP(Catalogo[[#This Row],[Finca]], Fincas[Nombre], Fincas[ID])</f>
        <v>38</v>
      </c>
      <c r="C641" s="288" t="s">
        <v>646</v>
      </c>
      <c r="D641" s="288" t="s">
        <v>846</v>
      </c>
      <c r="E641" s="288"/>
      <c r="F641" s="288" t="s">
        <v>612</v>
      </c>
      <c r="G641" s="288"/>
      <c r="H641" s="288"/>
      <c r="I641" s="317" t="s">
        <v>275</v>
      </c>
      <c r="J641" s="310"/>
      <c r="K641" s="289" t="s">
        <v>93</v>
      </c>
      <c r="L64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1" s="290" t="s">
        <v>387</v>
      </c>
      <c r="N641" s="290">
        <v>200</v>
      </c>
      <c r="O641" s="292">
        <v>0.42</v>
      </c>
      <c r="P641" s="291">
        <f>IFERROR(_xlfn.LET(_xlpm.boxType, K641, _xlpm.tallos, N641, _xlpm.cost, O641, _xlpm.precio, Q641,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0.20073375262054505</v>
      </c>
      <c r="Q641" s="297">
        <v>1.59</v>
      </c>
      <c r="R641" s="292" t="s">
        <v>285</v>
      </c>
      <c r="S64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1" s="292">
        <v>0.42</v>
      </c>
      <c r="U64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0.18915788254372756</v>
      </c>
      <c r="V641" s="294">
        <v>0.89</v>
      </c>
    </row>
    <row r="642" spans="1:22" x14ac:dyDescent="0.25">
      <c r="A642" s="277"/>
      <c r="B642" s="278">
        <f>_xlfn.XLOOKUP(Catalogo[[#This Row],[Finca]], Fincas[Nombre], Fincas[ID])</f>
        <v>0</v>
      </c>
      <c r="C642" s="277"/>
      <c r="D642" s="277"/>
      <c r="E642" s="277"/>
      <c r="F642" s="277"/>
      <c r="G642" s="277"/>
      <c r="H642" s="277"/>
      <c r="I642" s="311"/>
      <c r="J642" s="309"/>
      <c r="K642" s="278"/>
      <c r="L64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642" s="279"/>
      <c r="N642" s="279"/>
      <c r="O642" s="276"/>
      <c r="P642" s="280" t="str">
        <f>IFERROR(_xlfn.LET(_xlpm.boxType, K642, _xlpm.tallos, N642, _xlpm.cost, O642, _xlpm.precio, Q642,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642" s="296"/>
      <c r="R642" s="276"/>
      <c r="S64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42" s="276"/>
      <c r="U642" s="69"/>
    </row>
    <row r="643" spans="1:22" ht="15.75" thickBot="1" x14ac:dyDescent="0.3">
      <c r="A643" s="277"/>
      <c r="B643" s="278">
        <f>_xlfn.XLOOKUP(Catalogo[[#This Row],[Finca]], Fincas[Nombre], Fincas[ID])</f>
        <v>0</v>
      </c>
      <c r="C643" s="277"/>
      <c r="D643" s="277"/>
      <c r="E643" s="277"/>
      <c r="F643" s="277"/>
      <c r="G643" s="277"/>
      <c r="H643" s="277"/>
      <c r="I643" s="311"/>
      <c r="J643" s="309"/>
      <c r="K643" s="278"/>
      <c r="L64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643" s="279"/>
      <c r="N643" s="279"/>
      <c r="O643" s="276"/>
      <c r="P643" s="280" t="str">
        <f>IFERROR(_xlfn.LET(_xlpm.boxType, K643, _xlpm.tallos, N643, _xlpm.cost, O643, _xlpm.precio, Q643,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643" s="296"/>
      <c r="R643" s="276"/>
      <c r="S64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643" s="276"/>
      <c r="U643" s="69"/>
    </row>
    <row r="644" spans="1:22" x14ac:dyDescent="0.25">
      <c r="A644" s="281" t="s">
        <v>85</v>
      </c>
      <c r="B644" s="282">
        <f>_xlfn.XLOOKUP(Catalogo[[#This Row],[Finca]], Fincas[Nombre], Fincas[ID])</f>
        <v>38</v>
      </c>
      <c r="C644" s="281" t="s">
        <v>646</v>
      </c>
      <c r="D644" s="281" t="s">
        <v>847</v>
      </c>
      <c r="E644" s="281"/>
      <c r="F644" s="281" t="s">
        <v>583</v>
      </c>
      <c r="G644" s="281"/>
      <c r="H644" s="281"/>
      <c r="I644" s="316" t="s">
        <v>273</v>
      </c>
      <c r="J644" s="308"/>
      <c r="K644" s="282" t="s">
        <v>31</v>
      </c>
      <c r="L64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4" s="283" t="s">
        <v>383</v>
      </c>
      <c r="N644" s="283">
        <v>50</v>
      </c>
      <c r="O644" s="285">
        <v>0.24</v>
      </c>
      <c r="P644" s="284">
        <f>IFERROR(_xlfn.LET(_xlpm.boxType, K644, _xlpm.tallos, N644, _xlpm.cost, O644, _xlpm.precio, Q644,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44" s="295">
        <v>1.29</v>
      </c>
      <c r="R644" s="285" t="s">
        <v>283</v>
      </c>
      <c r="S64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4" s="285">
        <v>0.24</v>
      </c>
      <c r="U64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44" s="287">
        <v>0.75</v>
      </c>
    </row>
    <row r="645" spans="1:22" x14ac:dyDescent="0.25">
      <c r="A645" s="277" t="s">
        <v>85</v>
      </c>
      <c r="B645" s="278">
        <f>_xlfn.XLOOKUP(Catalogo[[#This Row],[Finca]], Fincas[Nombre], Fincas[ID])</f>
        <v>38</v>
      </c>
      <c r="C645" s="277" t="s">
        <v>646</v>
      </c>
      <c r="D645" s="277" t="s">
        <v>847</v>
      </c>
      <c r="E645" s="277"/>
      <c r="F645" s="277" t="s">
        <v>583</v>
      </c>
      <c r="G645" s="277"/>
      <c r="H645" s="277"/>
      <c r="I645" s="311" t="s">
        <v>273</v>
      </c>
      <c r="J645" s="309"/>
      <c r="K645" s="278" t="s">
        <v>35</v>
      </c>
      <c r="L64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5" s="279" t="s">
        <v>385</v>
      </c>
      <c r="N645" s="279">
        <v>150</v>
      </c>
      <c r="O645" s="276">
        <v>0.24</v>
      </c>
      <c r="P645" s="280">
        <f>IFERROR(_xlfn.LET(_xlpm.boxType, K645, _xlpm.tallos, N645, _xlpm.cost, O645, _xlpm.precio, Q645,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45" s="296">
        <v>1.19</v>
      </c>
      <c r="R645" s="276" t="s">
        <v>284</v>
      </c>
      <c r="S64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5" s="276">
        <v>0.24</v>
      </c>
      <c r="U64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45" s="274">
        <v>0.69</v>
      </c>
    </row>
    <row r="646" spans="1:22" ht="15.75" thickBot="1" x14ac:dyDescent="0.3">
      <c r="A646" s="288" t="s">
        <v>85</v>
      </c>
      <c r="B646" s="289">
        <f>_xlfn.XLOOKUP(Catalogo[[#This Row],[Finca]], Fincas[Nombre], Fincas[ID])</f>
        <v>38</v>
      </c>
      <c r="C646" s="288" t="s">
        <v>646</v>
      </c>
      <c r="D646" s="288" t="s">
        <v>847</v>
      </c>
      <c r="E646" s="288"/>
      <c r="F646" s="288" t="s">
        <v>583</v>
      </c>
      <c r="G646" s="288"/>
      <c r="H646" s="288"/>
      <c r="I646" s="317" t="s">
        <v>273</v>
      </c>
      <c r="J646" s="310"/>
      <c r="K646" s="289" t="s">
        <v>93</v>
      </c>
      <c r="L64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6" s="290" t="s">
        <v>387</v>
      </c>
      <c r="N646" s="290">
        <v>300</v>
      </c>
      <c r="O646" s="292">
        <v>0.24</v>
      </c>
      <c r="P646" s="291">
        <f>IFERROR(_xlfn.LET(_xlpm.boxType, K646, _xlpm.tallos, N646, _xlpm.cost, O646, _xlpm.precio, Q646,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46" s="297">
        <v>1.19</v>
      </c>
      <c r="R646" s="292" t="s">
        <v>285</v>
      </c>
      <c r="S64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6" s="292">
        <v>0.24</v>
      </c>
      <c r="U64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46" s="294">
        <v>0.69</v>
      </c>
    </row>
    <row r="647" spans="1:22" x14ac:dyDescent="0.25">
      <c r="A647" s="277" t="s">
        <v>85</v>
      </c>
      <c r="B647" s="278">
        <f>_xlfn.XLOOKUP(Catalogo[[#This Row],[Finca]], Fincas[Nombre], Fincas[ID])</f>
        <v>38</v>
      </c>
      <c r="C647" s="277" t="s">
        <v>646</v>
      </c>
      <c r="D647" s="277" t="s">
        <v>847</v>
      </c>
      <c r="E647" s="277"/>
      <c r="F647" s="277" t="s">
        <v>583</v>
      </c>
      <c r="G647" s="277"/>
      <c r="H647" s="277"/>
      <c r="I647" s="311" t="s">
        <v>274</v>
      </c>
      <c r="J647" s="309"/>
      <c r="K647" s="278" t="s">
        <v>31</v>
      </c>
      <c r="L6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7" s="279" t="s">
        <v>383</v>
      </c>
      <c r="N647" s="279">
        <v>50</v>
      </c>
      <c r="O647" s="276">
        <v>0.32</v>
      </c>
      <c r="P647" s="280">
        <f>IFERROR(_xlfn.LET(_xlpm.boxType, K647, _xlpm.tallos, N647, _xlpm.cost, O647, _xlpm.precio, Q647,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47" s="296">
        <v>1.49</v>
      </c>
      <c r="R647" s="276" t="s">
        <v>283</v>
      </c>
      <c r="S6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7" s="276">
        <v>0.32</v>
      </c>
      <c r="U6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47" s="274">
        <v>0.85</v>
      </c>
    </row>
    <row r="648" spans="1:22" x14ac:dyDescent="0.25">
      <c r="A648" s="277" t="s">
        <v>85</v>
      </c>
      <c r="B648" s="278">
        <f>_xlfn.XLOOKUP(Catalogo[[#This Row],[Finca]], Fincas[Nombre], Fincas[ID])</f>
        <v>38</v>
      </c>
      <c r="C648" s="277" t="s">
        <v>646</v>
      </c>
      <c r="D648" s="277" t="s">
        <v>847</v>
      </c>
      <c r="E648" s="277"/>
      <c r="F648" s="277" t="s">
        <v>583</v>
      </c>
      <c r="G648" s="277"/>
      <c r="H648" s="277"/>
      <c r="I648" s="311" t="s">
        <v>274</v>
      </c>
      <c r="J648" s="309"/>
      <c r="K648" s="278" t="s">
        <v>35</v>
      </c>
      <c r="L64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8" s="279" t="s">
        <v>385</v>
      </c>
      <c r="N648" s="279">
        <v>125</v>
      </c>
      <c r="O648" s="276">
        <v>0.32</v>
      </c>
      <c r="P648" s="280">
        <f>IFERROR(_xlfn.LET(_xlpm.boxType, K648, _xlpm.tallos, N648, _xlpm.cost, O648, _xlpm.precio, Q648,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48" s="296">
        <v>1.39</v>
      </c>
      <c r="R648" s="276" t="s">
        <v>284</v>
      </c>
      <c r="S64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8" s="276">
        <v>0.32</v>
      </c>
      <c r="U64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48" s="274">
        <v>0.79</v>
      </c>
    </row>
    <row r="649" spans="1:22" ht="15.75" thickBot="1" x14ac:dyDescent="0.3">
      <c r="A649" s="277" t="s">
        <v>85</v>
      </c>
      <c r="B649" s="278">
        <f>_xlfn.XLOOKUP(Catalogo[[#This Row],[Finca]], Fincas[Nombre], Fincas[ID])</f>
        <v>38</v>
      </c>
      <c r="C649" s="277" t="s">
        <v>646</v>
      </c>
      <c r="D649" s="277" t="s">
        <v>847</v>
      </c>
      <c r="E649" s="277"/>
      <c r="F649" s="277" t="s">
        <v>583</v>
      </c>
      <c r="G649" s="277"/>
      <c r="H649" s="277"/>
      <c r="I649" s="311" t="s">
        <v>274</v>
      </c>
      <c r="J649" s="309"/>
      <c r="K649" s="278" t="s">
        <v>93</v>
      </c>
      <c r="L64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49" s="279" t="s">
        <v>387</v>
      </c>
      <c r="N649" s="279">
        <v>250</v>
      </c>
      <c r="O649" s="276">
        <v>0.32</v>
      </c>
      <c r="P649" s="280">
        <f>IFERROR(_xlfn.LET(_xlpm.boxType, K649, _xlpm.tallos, N649, _xlpm.cost, O649, _xlpm.precio, Q649,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49" s="296">
        <v>1.39</v>
      </c>
      <c r="R649" s="276" t="s">
        <v>285</v>
      </c>
      <c r="S64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49" s="276">
        <v>0.32</v>
      </c>
      <c r="U64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49" s="274">
        <v>0.79</v>
      </c>
    </row>
    <row r="650" spans="1:22" x14ac:dyDescent="0.25">
      <c r="A650" s="281" t="s">
        <v>85</v>
      </c>
      <c r="B650" s="282">
        <f>_xlfn.XLOOKUP(Catalogo[[#This Row],[Finca]], Fincas[Nombre], Fincas[ID])</f>
        <v>38</v>
      </c>
      <c r="C650" s="281" t="s">
        <v>646</v>
      </c>
      <c r="D650" s="281" t="s">
        <v>847</v>
      </c>
      <c r="E650" s="281"/>
      <c r="F650" s="281" t="s">
        <v>583</v>
      </c>
      <c r="G650" s="281"/>
      <c r="H650" s="281"/>
      <c r="I650" s="316" t="s">
        <v>275</v>
      </c>
      <c r="J650" s="308"/>
      <c r="K650" s="282" t="s">
        <v>31</v>
      </c>
      <c r="L65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0" s="283" t="s">
        <v>383</v>
      </c>
      <c r="N650" s="283">
        <v>50</v>
      </c>
      <c r="O650" s="285">
        <v>0.36</v>
      </c>
      <c r="P650" s="284">
        <f>IFERROR(_xlfn.LET(_xlpm.boxType, K650, _xlpm.tallos, N650, _xlpm.cost, O650, _xlpm.precio, Q650,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50" s="295">
        <v>1.59</v>
      </c>
      <c r="R650" s="285" t="s">
        <v>283</v>
      </c>
      <c r="S65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0" s="285">
        <v>0.36</v>
      </c>
      <c r="U65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50" s="287">
        <v>0.99</v>
      </c>
    </row>
    <row r="651" spans="1:22" x14ac:dyDescent="0.25">
      <c r="A651" s="277" t="s">
        <v>85</v>
      </c>
      <c r="B651" s="278">
        <f>_xlfn.XLOOKUP(Catalogo[[#This Row],[Finca]], Fincas[Nombre], Fincas[ID])</f>
        <v>38</v>
      </c>
      <c r="C651" s="277" t="s">
        <v>646</v>
      </c>
      <c r="D651" s="277" t="s">
        <v>847</v>
      </c>
      <c r="E651" s="277"/>
      <c r="F651" s="277" t="s">
        <v>583</v>
      </c>
      <c r="G651" s="277"/>
      <c r="H651" s="277"/>
      <c r="I651" s="311" t="s">
        <v>275</v>
      </c>
      <c r="J651" s="309"/>
      <c r="K651" s="278" t="s">
        <v>35</v>
      </c>
      <c r="L65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1" s="279" t="s">
        <v>385</v>
      </c>
      <c r="N651" s="279">
        <v>100</v>
      </c>
      <c r="O651" s="276">
        <v>0.36</v>
      </c>
      <c r="P651" s="280">
        <f>IFERROR(_xlfn.LET(_xlpm.boxType, K651, _xlpm.tallos, N651, _xlpm.cost, O651, _xlpm.precio, Q651,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51" s="296">
        <v>1.59</v>
      </c>
      <c r="R651" s="276" t="s">
        <v>284</v>
      </c>
      <c r="S65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1" s="276">
        <v>0.36</v>
      </c>
      <c r="U65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51" s="274">
        <v>0.89</v>
      </c>
    </row>
    <row r="652" spans="1:22" ht="15.75" thickBot="1" x14ac:dyDescent="0.3">
      <c r="A652" s="288" t="s">
        <v>85</v>
      </c>
      <c r="B652" s="289">
        <f>_xlfn.XLOOKUP(Catalogo[[#This Row],[Finca]], Fincas[Nombre], Fincas[ID])</f>
        <v>38</v>
      </c>
      <c r="C652" s="288" t="s">
        <v>646</v>
      </c>
      <c r="D652" s="288" t="s">
        <v>847</v>
      </c>
      <c r="E652" s="288"/>
      <c r="F652" s="288" t="s">
        <v>583</v>
      </c>
      <c r="G652" s="288"/>
      <c r="H652" s="288"/>
      <c r="I652" s="317" t="s">
        <v>275</v>
      </c>
      <c r="J652" s="310"/>
      <c r="K652" s="289" t="s">
        <v>93</v>
      </c>
      <c r="L65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2" s="290" t="s">
        <v>387</v>
      </c>
      <c r="N652" s="290">
        <v>200</v>
      </c>
      <c r="O652" s="292">
        <v>0.36</v>
      </c>
      <c r="P652" s="291">
        <f>IFERROR(_xlfn.LET(_xlpm.boxType, K652, _xlpm.tallos, N652, _xlpm.cost, O652, _xlpm.precio, Q652,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52" s="297">
        <v>1.59</v>
      </c>
      <c r="R652" s="292" t="s">
        <v>285</v>
      </c>
      <c r="S65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2" s="292">
        <v>0.36</v>
      </c>
      <c r="U65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52" s="294">
        <v>0.89</v>
      </c>
    </row>
    <row r="653" spans="1:22" x14ac:dyDescent="0.25">
      <c r="A653" s="281" t="s">
        <v>85</v>
      </c>
      <c r="B653" s="282">
        <f>_xlfn.XLOOKUP(Catalogo[[#This Row],[Finca]], Fincas[Nombre], Fincas[ID])</f>
        <v>38</v>
      </c>
      <c r="C653" s="281" t="s">
        <v>646</v>
      </c>
      <c r="D653" s="281" t="s">
        <v>848</v>
      </c>
      <c r="E653" s="281"/>
      <c r="F653" s="281" t="s">
        <v>600</v>
      </c>
      <c r="G653" s="281"/>
      <c r="H653" s="281"/>
      <c r="I653" s="316" t="s">
        <v>273</v>
      </c>
      <c r="J653" s="308"/>
      <c r="K653" s="282" t="s">
        <v>31</v>
      </c>
      <c r="L65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3" s="283" t="s">
        <v>383</v>
      </c>
      <c r="N653" s="283">
        <v>50</v>
      </c>
      <c r="O653" s="285">
        <v>0.24</v>
      </c>
      <c r="P653" s="284">
        <f>IFERROR(_xlfn.LET(_xlpm.boxType, K653, _xlpm.tallos, N653, _xlpm.cost, O653, _xlpm.precio, Q653,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53" s="295">
        <v>1.29</v>
      </c>
      <c r="R653" s="285" t="s">
        <v>283</v>
      </c>
      <c r="S65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3" s="285">
        <v>0.24</v>
      </c>
      <c r="U65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53" s="287">
        <v>0.75</v>
      </c>
    </row>
    <row r="654" spans="1:22" x14ac:dyDescent="0.25">
      <c r="A654" s="277" t="s">
        <v>85</v>
      </c>
      <c r="B654" s="278">
        <f>_xlfn.XLOOKUP(Catalogo[[#This Row],[Finca]], Fincas[Nombre], Fincas[ID])</f>
        <v>38</v>
      </c>
      <c r="C654" s="277" t="s">
        <v>646</v>
      </c>
      <c r="D654" s="277" t="s">
        <v>848</v>
      </c>
      <c r="E654" s="277"/>
      <c r="F654" s="277" t="s">
        <v>600</v>
      </c>
      <c r="G654" s="277"/>
      <c r="H654" s="277"/>
      <c r="I654" s="311" t="s">
        <v>273</v>
      </c>
      <c r="J654" s="309"/>
      <c r="K654" s="278" t="s">
        <v>35</v>
      </c>
      <c r="L65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4" s="279" t="s">
        <v>385</v>
      </c>
      <c r="N654" s="279">
        <v>150</v>
      </c>
      <c r="O654" s="276">
        <v>0.24</v>
      </c>
      <c r="P654" s="280">
        <f>IFERROR(_xlfn.LET(_xlpm.boxType, K654, _xlpm.tallos, N654, _xlpm.cost, O654, _xlpm.precio, Q654,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54" s="296">
        <v>1.19</v>
      </c>
      <c r="R654" s="276" t="s">
        <v>284</v>
      </c>
      <c r="S65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4" s="276">
        <v>0.24</v>
      </c>
      <c r="U65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54" s="274">
        <v>0.69</v>
      </c>
    </row>
    <row r="655" spans="1:22" ht="15.75" thickBot="1" x14ac:dyDescent="0.3">
      <c r="A655" s="288" t="s">
        <v>85</v>
      </c>
      <c r="B655" s="289">
        <f>_xlfn.XLOOKUP(Catalogo[[#This Row],[Finca]], Fincas[Nombre], Fincas[ID])</f>
        <v>38</v>
      </c>
      <c r="C655" s="288" t="s">
        <v>646</v>
      </c>
      <c r="D655" s="288" t="s">
        <v>848</v>
      </c>
      <c r="E655" s="288"/>
      <c r="F655" s="288" t="s">
        <v>600</v>
      </c>
      <c r="G655" s="288"/>
      <c r="H655" s="288"/>
      <c r="I655" s="317" t="s">
        <v>273</v>
      </c>
      <c r="J655" s="310"/>
      <c r="K655" s="289" t="s">
        <v>93</v>
      </c>
      <c r="L65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5" s="290" t="s">
        <v>387</v>
      </c>
      <c r="N655" s="290">
        <v>300</v>
      </c>
      <c r="O655" s="292">
        <v>0.24</v>
      </c>
      <c r="P655" s="291">
        <f>IFERROR(_xlfn.LET(_xlpm.boxType, K655, _xlpm.tallos, N655, _xlpm.cost, O655, _xlpm.precio, Q655,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55" s="297">
        <v>1.19</v>
      </c>
      <c r="R655" s="292" t="s">
        <v>285</v>
      </c>
      <c r="S65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5" s="292">
        <v>0.24</v>
      </c>
      <c r="U65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55" s="294">
        <v>0.69</v>
      </c>
    </row>
    <row r="656" spans="1:22" x14ac:dyDescent="0.25">
      <c r="A656" s="277" t="s">
        <v>85</v>
      </c>
      <c r="B656" s="278">
        <f>_xlfn.XLOOKUP(Catalogo[[#This Row],[Finca]], Fincas[Nombre], Fincas[ID])</f>
        <v>38</v>
      </c>
      <c r="C656" s="277" t="s">
        <v>646</v>
      </c>
      <c r="D656" s="277" t="s">
        <v>848</v>
      </c>
      <c r="E656" s="277"/>
      <c r="F656" s="277" t="s">
        <v>600</v>
      </c>
      <c r="G656" s="277"/>
      <c r="H656" s="277"/>
      <c r="I656" s="311" t="s">
        <v>274</v>
      </c>
      <c r="J656" s="309"/>
      <c r="K656" s="278" t="s">
        <v>31</v>
      </c>
      <c r="L6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6" s="279" t="s">
        <v>383</v>
      </c>
      <c r="N656" s="279">
        <v>50</v>
      </c>
      <c r="O656" s="276">
        <v>0.32</v>
      </c>
      <c r="P656" s="280">
        <f>IFERROR(_xlfn.LET(_xlpm.boxType, K656, _xlpm.tallos, N656, _xlpm.cost, O656, _xlpm.precio, Q656,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56" s="296">
        <v>1.49</v>
      </c>
      <c r="R656" s="276" t="s">
        <v>283</v>
      </c>
      <c r="S6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6" s="276">
        <v>0.32</v>
      </c>
      <c r="U65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56" s="274">
        <v>0.85</v>
      </c>
    </row>
    <row r="657" spans="1:22" x14ac:dyDescent="0.25">
      <c r="A657" s="277" t="s">
        <v>85</v>
      </c>
      <c r="B657" s="278">
        <f>_xlfn.XLOOKUP(Catalogo[[#This Row],[Finca]], Fincas[Nombre], Fincas[ID])</f>
        <v>38</v>
      </c>
      <c r="C657" s="277" t="s">
        <v>646</v>
      </c>
      <c r="D657" s="277" t="s">
        <v>848</v>
      </c>
      <c r="E657" s="277"/>
      <c r="F657" s="277" t="s">
        <v>600</v>
      </c>
      <c r="G657" s="277"/>
      <c r="H657" s="277"/>
      <c r="I657" s="311" t="s">
        <v>274</v>
      </c>
      <c r="J657" s="309"/>
      <c r="K657" s="278" t="s">
        <v>35</v>
      </c>
      <c r="L6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7" s="279" t="s">
        <v>385</v>
      </c>
      <c r="N657" s="279">
        <v>125</v>
      </c>
      <c r="O657" s="276">
        <v>0.32</v>
      </c>
      <c r="P657" s="280">
        <f>IFERROR(_xlfn.LET(_xlpm.boxType, K657, _xlpm.tallos, N657, _xlpm.cost, O657, _xlpm.precio, Q657,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57" s="296">
        <v>1.39</v>
      </c>
      <c r="R657" s="276" t="s">
        <v>284</v>
      </c>
      <c r="S6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7" s="276">
        <v>0.32</v>
      </c>
      <c r="U65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57" s="274">
        <v>0.79</v>
      </c>
    </row>
    <row r="658" spans="1:22" ht="15.75" thickBot="1" x14ac:dyDescent="0.3">
      <c r="A658" s="277" t="s">
        <v>85</v>
      </c>
      <c r="B658" s="278">
        <f>_xlfn.XLOOKUP(Catalogo[[#This Row],[Finca]], Fincas[Nombre], Fincas[ID])</f>
        <v>38</v>
      </c>
      <c r="C658" s="277" t="s">
        <v>646</v>
      </c>
      <c r="D658" s="277" t="s">
        <v>848</v>
      </c>
      <c r="E658" s="277"/>
      <c r="F658" s="277" t="s">
        <v>600</v>
      </c>
      <c r="G658" s="277"/>
      <c r="H658" s="277"/>
      <c r="I658" s="311" t="s">
        <v>274</v>
      </c>
      <c r="J658" s="309"/>
      <c r="K658" s="278" t="s">
        <v>93</v>
      </c>
      <c r="L65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8" s="279" t="s">
        <v>387</v>
      </c>
      <c r="N658" s="279">
        <v>250</v>
      </c>
      <c r="O658" s="276">
        <v>0.32</v>
      </c>
      <c r="P658" s="280">
        <f>IFERROR(_xlfn.LET(_xlpm.boxType, K658, _xlpm.tallos, N658, _xlpm.cost, O658, _xlpm.precio, Q658,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58" s="296">
        <v>1.39</v>
      </c>
      <c r="R658" s="276" t="s">
        <v>285</v>
      </c>
      <c r="S65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8" s="276">
        <v>0.32</v>
      </c>
      <c r="U65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58" s="274">
        <v>0.79</v>
      </c>
    </row>
    <row r="659" spans="1:22" x14ac:dyDescent="0.25">
      <c r="A659" s="281" t="s">
        <v>85</v>
      </c>
      <c r="B659" s="282">
        <f>_xlfn.XLOOKUP(Catalogo[[#This Row],[Finca]], Fincas[Nombre], Fincas[ID])</f>
        <v>38</v>
      </c>
      <c r="C659" s="281" t="s">
        <v>646</v>
      </c>
      <c r="D659" s="281" t="s">
        <v>848</v>
      </c>
      <c r="E659" s="281"/>
      <c r="F659" s="281" t="s">
        <v>600</v>
      </c>
      <c r="G659" s="281"/>
      <c r="H659" s="281"/>
      <c r="I659" s="316" t="s">
        <v>275</v>
      </c>
      <c r="J659" s="308"/>
      <c r="K659" s="282" t="s">
        <v>31</v>
      </c>
      <c r="L65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59" s="283" t="s">
        <v>383</v>
      </c>
      <c r="N659" s="283">
        <v>50</v>
      </c>
      <c r="O659" s="285">
        <v>0.36</v>
      </c>
      <c r="P659" s="284">
        <f>IFERROR(_xlfn.LET(_xlpm.boxType, K659, _xlpm.tallos, N659, _xlpm.cost, O659, _xlpm.precio, Q659,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59" s="295">
        <v>1.59</v>
      </c>
      <c r="R659" s="285" t="s">
        <v>283</v>
      </c>
      <c r="S65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59" s="285">
        <v>0.36</v>
      </c>
      <c r="U65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59" s="287">
        <v>0.99</v>
      </c>
    </row>
    <row r="660" spans="1:22" x14ac:dyDescent="0.25">
      <c r="A660" s="277" t="s">
        <v>85</v>
      </c>
      <c r="B660" s="278">
        <f>_xlfn.XLOOKUP(Catalogo[[#This Row],[Finca]], Fincas[Nombre], Fincas[ID])</f>
        <v>38</v>
      </c>
      <c r="C660" s="277" t="s">
        <v>646</v>
      </c>
      <c r="D660" s="277" t="s">
        <v>848</v>
      </c>
      <c r="E660" s="277"/>
      <c r="F660" s="277" t="s">
        <v>600</v>
      </c>
      <c r="G660" s="277"/>
      <c r="H660" s="277"/>
      <c r="I660" s="311" t="s">
        <v>275</v>
      </c>
      <c r="J660" s="309"/>
      <c r="K660" s="278" t="s">
        <v>35</v>
      </c>
      <c r="L66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0" s="279" t="s">
        <v>385</v>
      </c>
      <c r="N660" s="279">
        <v>100</v>
      </c>
      <c r="O660" s="276">
        <v>0.36</v>
      </c>
      <c r="P660" s="280">
        <f>IFERROR(_xlfn.LET(_xlpm.boxType, K660, _xlpm.tallos, N660, _xlpm.cost, O660, _xlpm.precio, Q660,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60" s="296">
        <v>1.59</v>
      </c>
      <c r="R660" s="276" t="s">
        <v>284</v>
      </c>
      <c r="S66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0" s="276">
        <v>0.36</v>
      </c>
      <c r="U66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60" s="274">
        <v>0.89</v>
      </c>
    </row>
    <row r="661" spans="1:22" ht="15.75" thickBot="1" x14ac:dyDescent="0.3">
      <c r="A661" s="288" t="s">
        <v>85</v>
      </c>
      <c r="B661" s="289">
        <f>_xlfn.XLOOKUP(Catalogo[[#This Row],[Finca]], Fincas[Nombre], Fincas[ID])</f>
        <v>38</v>
      </c>
      <c r="C661" s="288" t="s">
        <v>646</v>
      </c>
      <c r="D661" s="288" t="s">
        <v>848</v>
      </c>
      <c r="E661" s="288"/>
      <c r="F661" s="288" t="s">
        <v>600</v>
      </c>
      <c r="G661" s="288"/>
      <c r="H661" s="288"/>
      <c r="I661" s="317" t="s">
        <v>275</v>
      </c>
      <c r="J661" s="310"/>
      <c r="K661" s="289" t="s">
        <v>93</v>
      </c>
      <c r="L66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1" s="290" t="s">
        <v>387</v>
      </c>
      <c r="N661" s="290">
        <v>200</v>
      </c>
      <c r="O661" s="292">
        <v>0.36</v>
      </c>
      <c r="P661" s="291">
        <f>IFERROR(_xlfn.LET(_xlpm.boxType, K661, _xlpm.tallos, N661, _xlpm.cost, O661, _xlpm.precio, Q661,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61" s="297">
        <v>1.59</v>
      </c>
      <c r="R661" s="292" t="s">
        <v>285</v>
      </c>
      <c r="S66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1" s="292">
        <v>0.36</v>
      </c>
      <c r="U66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61" s="294">
        <v>0.89</v>
      </c>
    </row>
    <row r="662" spans="1:22" x14ac:dyDescent="0.25">
      <c r="A662" s="281" t="s">
        <v>85</v>
      </c>
      <c r="B662" s="282">
        <f>_xlfn.XLOOKUP(Catalogo[[#This Row],[Finca]], Fincas[Nombre], Fincas[ID])</f>
        <v>38</v>
      </c>
      <c r="C662" s="281" t="s">
        <v>646</v>
      </c>
      <c r="D662" s="281" t="s">
        <v>752</v>
      </c>
      <c r="E662" s="281"/>
      <c r="F662" s="281" t="s">
        <v>570</v>
      </c>
      <c r="G662" s="281" t="s">
        <v>503</v>
      </c>
      <c r="H662" s="281"/>
      <c r="I662" s="316" t="s">
        <v>273</v>
      </c>
      <c r="J662" s="308"/>
      <c r="K662" s="282" t="s">
        <v>31</v>
      </c>
      <c r="L66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2" s="283" t="s">
        <v>383</v>
      </c>
      <c r="N662" s="283">
        <v>50</v>
      </c>
      <c r="O662" s="285">
        <v>0.24</v>
      </c>
      <c r="P662" s="284">
        <f>IFERROR(_xlfn.LET(_xlpm.boxType, K662, _xlpm.tallos, N662, _xlpm.cost, O662, _xlpm.precio, Q662,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62" s="295">
        <v>1.29</v>
      </c>
      <c r="R662" s="285" t="s">
        <v>283</v>
      </c>
      <c r="S66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2" s="285">
        <v>0.24</v>
      </c>
      <c r="U66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62" s="287">
        <v>0.75</v>
      </c>
    </row>
    <row r="663" spans="1:22" x14ac:dyDescent="0.25">
      <c r="A663" s="277" t="s">
        <v>85</v>
      </c>
      <c r="B663" s="278">
        <f>_xlfn.XLOOKUP(Catalogo[[#This Row],[Finca]], Fincas[Nombre], Fincas[ID])</f>
        <v>38</v>
      </c>
      <c r="C663" s="277" t="s">
        <v>646</v>
      </c>
      <c r="D663" s="277" t="s">
        <v>752</v>
      </c>
      <c r="E663" s="277"/>
      <c r="F663" s="277" t="s">
        <v>570</v>
      </c>
      <c r="G663" s="277" t="s">
        <v>503</v>
      </c>
      <c r="H663" s="277"/>
      <c r="I663" s="311" t="s">
        <v>273</v>
      </c>
      <c r="J663" s="309"/>
      <c r="K663" s="278" t="s">
        <v>35</v>
      </c>
      <c r="L66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3" s="279" t="s">
        <v>385</v>
      </c>
      <c r="N663" s="279">
        <v>150</v>
      </c>
      <c r="O663" s="276">
        <v>0.24</v>
      </c>
      <c r="P663" s="280">
        <f>IFERROR(_xlfn.LET(_xlpm.boxType, K663, _xlpm.tallos, N663, _xlpm.cost, O663, _xlpm.precio, Q663,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63" s="296">
        <v>1.19</v>
      </c>
      <c r="R663" s="276" t="s">
        <v>284</v>
      </c>
      <c r="S66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3" s="276">
        <v>0.24</v>
      </c>
      <c r="U66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63" s="274">
        <v>0.69</v>
      </c>
    </row>
    <row r="664" spans="1:22" ht="15.75" thickBot="1" x14ac:dyDescent="0.3">
      <c r="A664" s="288" t="s">
        <v>85</v>
      </c>
      <c r="B664" s="289">
        <f>_xlfn.XLOOKUP(Catalogo[[#This Row],[Finca]], Fincas[Nombre], Fincas[ID])</f>
        <v>38</v>
      </c>
      <c r="C664" s="288" t="s">
        <v>646</v>
      </c>
      <c r="D664" s="288" t="s">
        <v>752</v>
      </c>
      <c r="E664" s="288"/>
      <c r="F664" s="288" t="s">
        <v>570</v>
      </c>
      <c r="G664" s="288" t="s">
        <v>503</v>
      </c>
      <c r="H664" s="288"/>
      <c r="I664" s="317" t="s">
        <v>273</v>
      </c>
      <c r="J664" s="310"/>
      <c r="K664" s="289" t="s">
        <v>93</v>
      </c>
      <c r="L66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4" s="290" t="s">
        <v>387</v>
      </c>
      <c r="N664" s="290">
        <v>300</v>
      </c>
      <c r="O664" s="292">
        <v>0.24</v>
      </c>
      <c r="P664" s="291">
        <f>IFERROR(_xlfn.LET(_xlpm.boxType, K664, _xlpm.tallos, N664, _xlpm.cost, O664, _xlpm.precio, Q664,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64" s="297">
        <v>1.19</v>
      </c>
      <c r="R664" s="292" t="s">
        <v>285</v>
      </c>
      <c r="S66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4" s="292">
        <v>0.24</v>
      </c>
      <c r="U66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64" s="294">
        <v>0.69</v>
      </c>
    </row>
    <row r="665" spans="1:22" x14ac:dyDescent="0.25">
      <c r="A665" s="277" t="s">
        <v>85</v>
      </c>
      <c r="B665" s="278">
        <f>_xlfn.XLOOKUP(Catalogo[[#This Row],[Finca]], Fincas[Nombre], Fincas[ID])</f>
        <v>38</v>
      </c>
      <c r="C665" s="277" t="s">
        <v>646</v>
      </c>
      <c r="D665" s="277" t="s">
        <v>752</v>
      </c>
      <c r="E665" s="277"/>
      <c r="F665" s="277" t="s">
        <v>570</v>
      </c>
      <c r="G665" s="277" t="s">
        <v>503</v>
      </c>
      <c r="H665" s="277"/>
      <c r="I665" s="311" t="s">
        <v>274</v>
      </c>
      <c r="J665" s="309"/>
      <c r="K665" s="278" t="s">
        <v>31</v>
      </c>
      <c r="L6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5" s="279" t="s">
        <v>383</v>
      </c>
      <c r="N665" s="279">
        <v>50</v>
      </c>
      <c r="O665" s="276">
        <v>0.32</v>
      </c>
      <c r="P665" s="280">
        <f>IFERROR(_xlfn.LET(_xlpm.boxType, K665, _xlpm.tallos, N665, _xlpm.cost, O665, _xlpm.precio, Q665,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65" s="296">
        <v>1.49</v>
      </c>
      <c r="R665" s="276" t="s">
        <v>283</v>
      </c>
      <c r="S6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5" s="276">
        <v>0.32</v>
      </c>
      <c r="U66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65" s="274">
        <v>0.85</v>
      </c>
    </row>
    <row r="666" spans="1:22" x14ac:dyDescent="0.25">
      <c r="A666" s="277" t="s">
        <v>85</v>
      </c>
      <c r="B666" s="278">
        <f>_xlfn.XLOOKUP(Catalogo[[#This Row],[Finca]], Fincas[Nombre], Fincas[ID])</f>
        <v>38</v>
      </c>
      <c r="C666" s="277" t="s">
        <v>646</v>
      </c>
      <c r="D666" s="277" t="s">
        <v>752</v>
      </c>
      <c r="E666" s="277"/>
      <c r="F666" s="277" t="s">
        <v>570</v>
      </c>
      <c r="G666" s="277" t="s">
        <v>503</v>
      </c>
      <c r="H666" s="277"/>
      <c r="I666" s="311" t="s">
        <v>274</v>
      </c>
      <c r="J666" s="309"/>
      <c r="K666" s="278" t="s">
        <v>35</v>
      </c>
      <c r="L66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6" s="279" t="s">
        <v>385</v>
      </c>
      <c r="N666" s="279">
        <v>125</v>
      </c>
      <c r="O666" s="276">
        <v>0.32</v>
      </c>
      <c r="P666" s="280">
        <f>IFERROR(_xlfn.LET(_xlpm.boxType, K666, _xlpm.tallos, N666, _xlpm.cost, O666, _xlpm.precio, Q666,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66" s="296">
        <v>1.39</v>
      </c>
      <c r="R666" s="276" t="s">
        <v>284</v>
      </c>
      <c r="S66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6" s="276">
        <v>0.32</v>
      </c>
      <c r="U66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66" s="274">
        <v>0.79</v>
      </c>
    </row>
    <row r="667" spans="1:22" ht="15.75" thickBot="1" x14ac:dyDescent="0.3">
      <c r="A667" s="277" t="s">
        <v>85</v>
      </c>
      <c r="B667" s="278">
        <f>_xlfn.XLOOKUP(Catalogo[[#This Row],[Finca]], Fincas[Nombre], Fincas[ID])</f>
        <v>38</v>
      </c>
      <c r="C667" s="277" t="s">
        <v>646</v>
      </c>
      <c r="D667" s="277" t="s">
        <v>752</v>
      </c>
      <c r="E667" s="277"/>
      <c r="F667" s="277" t="s">
        <v>570</v>
      </c>
      <c r="G667" s="277" t="s">
        <v>503</v>
      </c>
      <c r="H667" s="277"/>
      <c r="I667" s="311" t="s">
        <v>274</v>
      </c>
      <c r="J667" s="309"/>
      <c r="K667" s="278" t="s">
        <v>93</v>
      </c>
      <c r="L6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7" s="279" t="s">
        <v>387</v>
      </c>
      <c r="N667" s="279">
        <v>250</v>
      </c>
      <c r="O667" s="276">
        <v>0.32</v>
      </c>
      <c r="P667" s="280">
        <f>IFERROR(_xlfn.LET(_xlpm.boxType, K667, _xlpm.tallos, N667, _xlpm.cost, O667, _xlpm.precio, Q667,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67" s="296">
        <v>1.39</v>
      </c>
      <c r="R667" s="276" t="s">
        <v>285</v>
      </c>
      <c r="S6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7" s="276">
        <v>0.32</v>
      </c>
      <c r="U66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67" s="274">
        <v>0.79</v>
      </c>
    </row>
    <row r="668" spans="1:22" x14ac:dyDescent="0.25">
      <c r="A668" s="281" t="s">
        <v>85</v>
      </c>
      <c r="B668" s="282">
        <f>_xlfn.XLOOKUP(Catalogo[[#This Row],[Finca]], Fincas[Nombre], Fincas[ID])</f>
        <v>38</v>
      </c>
      <c r="C668" s="281" t="s">
        <v>646</v>
      </c>
      <c r="D668" s="281" t="s">
        <v>752</v>
      </c>
      <c r="E668" s="281"/>
      <c r="F668" s="281" t="s">
        <v>570</v>
      </c>
      <c r="G668" s="281" t="s">
        <v>503</v>
      </c>
      <c r="H668" s="281"/>
      <c r="I668" s="316" t="s">
        <v>275</v>
      </c>
      <c r="J668" s="308"/>
      <c r="K668" s="282" t="s">
        <v>31</v>
      </c>
      <c r="L66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8" s="283" t="s">
        <v>383</v>
      </c>
      <c r="N668" s="283">
        <v>50</v>
      </c>
      <c r="O668" s="285">
        <v>0.36</v>
      </c>
      <c r="P668" s="284">
        <f>IFERROR(_xlfn.LET(_xlpm.boxType, K668, _xlpm.tallos, N668, _xlpm.cost, O668, _xlpm.precio, Q668,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68" s="295">
        <v>1.59</v>
      </c>
      <c r="R668" s="285" t="s">
        <v>283</v>
      </c>
      <c r="S66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8" s="285">
        <v>0.36</v>
      </c>
      <c r="U66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68" s="287">
        <v>0.99</v>
      </c>
    </row>
    <row r="669" spans="1:22" x14ac:dyDescent="0.25">
      <c r="A669" s="277" t="s">
        <v>85</v>
      </c>
      <c r="B669" s="278">
        <f>_xlfn.XLOOKUP(Catalogo[[#This Row],[Finca]], Fincas[Nombre], Fincas[ID])</f>
        <v>38</v>
      </c>
      <c r="C669" s="277" t="s">
        <v>646</v>
      </c>
      <c r="D669" s="277" t="s">
        <v>752</v>
      </c>
      <c r="E669" s="277"/>
      <c r="F669" s="277" t="s">
        <v>570</v>
      </c>
      <c r="G669" s="277" t="s">
        <v>503</v>
      </c>
      <c r="H669" s="277"/>
      <c r="I669" s="311" t="s">
        <v>275</v>
      </c>
      <c r="J669" s="309"/>
      <c r="K669" s="278" t="s">
        <v>35</v>
      </c>
      <c r="L66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69" s="279" t="s">
        <v>385</v>
      </c>
      <c r="N669" s="279">
        <v>100</v>
      </c>
      <c r="O669" s="276">
        <v>0.36</v>
      </c>
      <c r="P669" s="280">
        <f>IFERROR(_xlfn.LET(_xlpm.boxType, K669, _xlpm.tallos, N669, _xlpm.cost, O669, _xlpm.precio, Q669,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69" s="296">
        <v>1.59</v>
      </c>
      <c r="R669" s="276" t="s">
        <v>284</v>
      </c>
      <c r="S66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69" s="276">
        <v>0.36</v>
      </c>
      <c r="U66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69" s="274">
        <v>0.89</v>
      </c>
    </row>
    <row r="670" spans="1:22" ht="15.75" thickBot="1" x14ac:dyDescent="0.3">
      <c r="A670" s="288" t="s">
        <v>85</v>
      </c>
      <c r="B670" s="289">
        <f>_xlfn.XLOOKUP(Catalogo[[#This Row],[Finca]], Fincas[Nombre], Fincas[ID])</f>
        <v>38</v>
      </c>
      <c r="C670" s="288" t="s">
        <v>646</v>
      </c>
      <c r="D670" s="288" t="s">
        <v>752</v>
      </c>
      <c r="E670" s="288"/>
      <c r="F670" s="288" t="s">
        <v>570</v>
      </c>
      <c r="G670" s="288" t="s">
        <v>503</v>
      </c>
      <c r="H670" s="288"/>
      <c r="I670" s="317" t="s">
        <v>275</v>
      </c>
      <c r="J670" s="310"/>
      <c r="K670" s="289" t="s">
        <v>93</v>
      </c>
      <c r="L67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0" s="290" t="s">
        <v>387</v>
      </c>
      <c r="N670" s="290">
        <v>200</v>
      </c>
      <c r="O670" s="292">
        <v>0.36</v>
      </c>
      <c r="P670" s="291">
        <f>IFERROR(_xlfn.LET(_xlpm.boxType, K670, _xlpm.tallos, N670, _xlpm.cost, O670, _xlpm.precio, Q670,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70" s="297">
        <v>1.59</v>
      </c>
      <c r="R670" s="292" t="s">
        <v>285</v>
      </c>
      <c r="S67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0" s="292">
        <v>0.36</v>
      </c>
      <c r="U67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70" s="294">
        <v>0.89</v>
      </c>
    </row>
    <row r="671" spans="1:22" x14ac:dyDescent="0.25">
      <c r="A671" s="281" t="s">
        <v>85</v>
      </c>
      <c r="B671" s="282">
        <f>_xlfn.XLOOKUP(Catalogo[[#This Row],[Finca]], Fincas[Nombre], Fincas[ID])</f>
        <v>38</v>
      </c>
      <c r="C671" s="281" t="s">
        <v>646</v>
      </c>
      <c r="D671" s="281" t="s">
        <v>849</v>
      </c>
      <c r="E671" s="281"/>
      <c r="F671" s="281" t="s">
        <v>612</v>
      </c>
      <c r="G671" s="281"/>
      <c r="H671" s="281"/>
      <c r="I671" s="316" t="s">
        <v>273</v>
      </c>
      <c r="J671" s="308"/>
      <c r="K671" s="282" t="s">
        <v>31</v>
      </c>
      <c r="L67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1" s="283" t="s">
        <v>383</v>
      </c>
      <c r="N671" s="283">
        <v>50</v>
      </c>
      <c r="O671" s="285">
        <v>0.24</v>
      </c>
      <c r="P671" s="284">
        <f>IFERROR(_xlfn.LET(_xlpm.boxType, K671, _xlpm.tallos, N671, _xlpm.cost, O671, _xlpm.precio, Q671,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71" s="295">
        <v>1.29</v>
      </c>
      <c r="R671" s="285" t="s">
        <v>283</v>
      </c>
      <c r="S67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1" s="285">
        <v>0.24</v>
      </c>
      <c r="U67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71" s="287">
        <v>0.75</v>
      </c>
    </row>
    <row r="672" spans="1:22" x14ac:dyDescent="0.25">
      <c r="A672" s="277" t="s">
        <v>85</v>
      </c>
      <c r="B672" s="278">
        <f>_xlfn.XLOOKUP(Catalogo[[#This Row],[Finca]], Fincas[Nombre], Fincas[ID])</f>
        <v>38</v>
      </c>
      <c r="C672" s="277" t="s">
        <v>646</v>
      </c>
      <c r="D672" s="277" t="s">
        <v>849</v>
      </c>
      <c r="E672" s="277"/>
      <c r="F672" s="277" t="s">
        <v>612</v>
      </c>
      <c r="G672" s="277"/>
      <c r="H672" s="277"/>
      <c r="I672" s="311" t="s">
        <v>273</v>
      </c>
      <c r="J672" s="309"/>
      <c r="K672" s="278" t="s">
        <v>35</v>
      </c>
      <c r="L67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2" s="279" t="s">
        <v>385</v>
      </c>
      <c r="N672" s="279">
        <v>150</v>
      </c>
      <c r="O672" s="276">
        <v>0.24</v>
      </c>
      <c r="P672" s="280">
        <f>IFERROR(_xlfn.LET(_xlpm.boxType, K672, _xlpm.tallos, N672, _xlpm.cost, O672, _xlpm.precio, Q672,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72" s="296">
        <v>1.19</v>
      </c>
      <c r="R672" s="276" t="s">
        <v>284</v>
      </c>
      <c r="S67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2" s="276">
        <v>0.24</v>
      </c>
      <c r="U67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72" s="274">
        <v>0.69</v>
      </c>
    </row>
    <row r="673" spans="1:22" ht="15.75" thickBot="1" x14ac:dyDescent="0.3">
      <c r="A673" s="288" t="s">
        <v>85</v>
      </c>
      <c r="B673" s="289">
        <f>_xlfn.XLOOKUP(Catalogo[[#This Row],[Finca]], Fincas[Nombre], Fincas[ID])</f>
        <v>38</v>
      </c>
      <c r="C673" s="288" t="s">
        <v>646</v>
      </c>
      <c r="D673" s="288" t="s">
        <v>849</v>
      </c>
      <c r="E673" s="288"/>
      <c r="F673" s="288" t="s">
        <v>612</v>
      </c>
      <c r="G673" s="288"/>
      <c r="H673" s="288"/>
      <c r="I673" s="317" t="s">
        <v>273</v>
      </c>
      <c r="J673" s="310"/>
      <c r="K673" s="289" t="s">
        <v>93</v>
      </c>
      <c r="L67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3" s="290" t="s">
        <v>387</v>
      </c>
      <c r="N673" s="290">
        <v>300</v>
      </c>
      <c r="O673" s="292">
        <v>0.24</v>
      </c>
      <c r="P673" s="291">
        <f>IFERROR(_xlfn.LET(_xlpm.boxType, K673, _xlpm.tallos, N673, _xlpm.cost, O673, _xlpm.precio, Q673,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73" s="297">
        <v>1.19</v>
      </c>
      <c r="R673" s="292" t="s">
        <v>285</v>
      </c>
      <c r="S67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3" s="292">
        <v>0.24</v>
      </c>
      <c r="U67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73" s="294">
        <v>0.69</v>
      </c>
    </row>
    <row r="674" spans="1:22" x14ac:dyDescent="0.25">
      <c r="A674" s="277" t="s">
        <v>85</v>
      </c>
      <c r="B674" s="278">
        <f>_xlfn.XLOOKUP(Catalogo[[#This Row],[Finca]], Fincas[Nombre], Fincas[ID])</f>
        <v>38</v>
      </c>
      <c r="C674" s="277" t="s">
        <v>646</v>
      </c>
      <c r="D674" s="277" t="s">
        <v>849</v>
      </c>
      <c r="E674" s="277"/>
      <c r="F674" s="277" t="s">
        <v>612</v>
      </c>
      <c r="G674" s="277"/>
      <c r="H674" s="277"/>
      <c r="I674" s="311" t="s">
        <v>274</v>
      </c>
      <c r="J674" s="309"/>
      <c r="K674" s="278" t="s">
        <v>31</v>
      </c>
      <c r="L67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4" s="279" t="s">
        <v>383</v>
      </c>
      <c r="N674" s="279">
        <v>50</v>
      </c>
      <c r="O674" s="276">
        <v>0.32</v>
      </c>
      <c r="P674" s="280">
        <f>IFERROR(_xlfn.LET(_xlpm.boxType, K674, _xlpm.tallos, N674, _xlpm.cost, O674, _xlpm.precio, Q674,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74" s="296">
        <v>1.49</v>
      </c>
      <c r="R674" s="276" t="s">
        <v>283</v>
      </c>
      <c r="S67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4" s="276">
        <v>0.32</v>
      </c>
      <c r="U67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74" s="274">
        <v>0.85</v>
      </c>
    </row>
    <row r="675" spans="1:22" x14ac:dyDescent="0.25">
      <c r="A675" s="277" t="s">
        <v>85</v>
      </c>
      <c r="B675" s="278">
        <f>_xlfn.XLOOKUP(Catalogo[[#This Row],[Finca]], Fincas[Nombre], Fincas[ID])</f>
        <v>38</v>
      </c>
      <c r="C675" s="277" t="s">
        <v>646</v>
      </c>
      <c r="D675" s="277" t="s">
        <v>849</v>
      </c>
      <c r="E675" s="277"/>
      <c r="F675" s="277" t="s">
        <v>612</v>
      </c>
      <c r="G675" s="277"/>
      <c r="H675" s="277"/>
      <c r="I675" s="311" t="s">
        <v>274</v>
      </c>
      <c r="J675" s="309"/>
      <c r="K675" s="278" t="s">
        <v>35</v>
      </c>
      <c r="L6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5" s="279" t="s">
        <v>385</v>
      </c>
      <c r="N675" s="279">
        <v>125</v>
      </c>
      <c r="O675" s="276">
        <v>0.32</v>
      </c>
      <c r="P675" s="280">
        <f>IFERROR(_xlfn.LET(_xlpm.boxType, K675, _xlpm.tallos, N675, _xlpm.cost, O675, _xlpm.precio, Q675,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75" s="296">
        <v>1.39</v>
      </c>
      <c r="R675" s="276" t="s">
        <v>284</v>
      </c>
      <c r="S6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5" s="276">
        <v>0.32</v>
      </c>
      <c r="U67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75" s="274">
        <v>0.79</v>
      </c>
    </row>
    <row r="676" spans="1:22" ht="15.75" thickBot="1" x14ac:dyDescent="0.3">
      <c r="A676" s="277" t="s">
        <v>85</v>
      </c>
      <c r="B676" s="278">
        <f>_xlfn.XLOOKUP(Catalogo[[#This Row],[Finca]], Fincas[Nombre], Fincas[ID])</f>
        <v>38</v>
      </c>
      <c r="C676" s="277" t="s">
        <v>646</v>
      </c>
      <c r="D676" s="277" t="s">
        <v>849</v>
      </c>
      <c r="E676" s="277"/>
      <c r="F676" s="277" t="s">
        <v>612</v>
      </c>
      <c r="G676" s="277"/>
      <c r="H676" s="277"/>
      <c r="I676" s="311" t="s">
        <v>274</v>
      </c>
      <c r="J676" s="309"/>
      <c r="K676" s="278" t="s">
        <v>93</v>
      </c>
      <c r="L67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6" s="279" t="s">
        <v>387</v>
      </c>
      <c r="N676" s="279">
        <v>250</v>
      </c>
      <c r="O676" s="276">
        <v>0.32</v>
      </c>
      <c r="P676" s="280">
        <f>IFERROR(_xlfn.LET(_xlpm.boxType, K676, _xlpm.tallos, N676, _xlpm.cost, O676, _xlpm.precio, Q676,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76" s="296">
        <v>1.39</v>
      </c>
      <c r="R676" s="276" t="s">
        <v>285</v>
      </c>
      <c r="S67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6" s="276">
        <v>0.32</v>
      </c>
      <c r="U67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76" s="274">
        <v>0.79</v>
      </c>
    </row>
    <row r="677" spans="1:22" x14ac:dyDescent="0.25">
      <c r="A677" s="281" t="s">
        <v>85</v>
      </c>
      <c r="B677" s="282">
        <f>_xlfn.XLOOKUP(Catalogo[[#This Row],[Finca]], Fincas[Nombre], Fincas[ID])</f>
        <v>38</v>
      </c>
      <c r="C677" s="281" t="s">
        <v>646</v>
      </c>
      <c r="D677" s="281" t="s">
        <v>849</v>
      </c>
      <c r="E677" s="281"/>
      <c r="F677" s="281" t="s">
        <v>612</v>
      </c>
      <c r="G677" s="281"/>
      <c r="H677" s="281"/>
      <c r="I677" s="316" t="s">
        <v>275</v>
      </c>
      <c r="J677" s="308"/>
      <c r="K677" s="282" t="s">
        <v>31</v>
      </c>
      <c r="L67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7" s="283" t="s">
        <v>383</v>
      </c>
      <c r="N677" s="283">
        <v>50</v>
      </c>
      <c r="O677" s="285">
        <v>0.36</v>
      </c>
      <c r="P677" s="284">
        <f>IFERROR(_xlfn.LET(_xlpm.boxType, K677, _xlpm.tallos, N677, _xlpm.cost, O677, _xlpm.precio, Q677,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77" s="295">
        <v>1.59</v>
      </c>
      <c r="R677" s="285" t="s">
        <v>283</v>
      </c>
      <c r="S67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7" s="285">
        <v>0.36</v>
      </c>
      <c r="U67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77" s="287">
        <v>0.99</v>
      </c>
    </row>
    <row r="678" spans="1:22" x14ac:dyDescent="0.25">
      <c r="A678" s="277" t="s">
        <v>85</v>
      </c>
      <c r="B678" s="278">
        <f>_xlfn.XLOOKUP(Catalogo[[#This Row],[Finca]], Fincas[Nombre], Fincas[ID])</f>
        <v>38</v>
      </c>
      <c r="C678" s="277" t="s">
        <v>646</v>
      </c>
      <c r="D678" s="277" t="s">
        <v>849</v>
      </c>
      <c r="E678" s="277"/>
      <c r="F678" s="277" t="s">
        <v>612</v>
      </c>
      <c r="G678" s="277"/>
      <c r="H678" s="277"/>
      <c r="I678" s="311" t="s">
        <v>275</v>
      </c>
      <c r="J678" s="309"/>
      <c r="K678" s="278" t="s">
        <v>35</v>
      </c>
      <c r="L67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8" s="279" t="s">
        <v>385</v>
      </c>
      <c r="N678" s="279">
        <v>100</v>
      </c>
      <c r="O678" s="276">
        <v>0.36</v>
      </c>
      <c r="P678" s="280">
        <f>IFERROR(_xlfn.LET(_xlpm.boxType, K678, _xlpm.tallos, N678, _xlpm.cost, O678, _xlpm.precio, Q678,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78" s="296">
        <v>1.59</v>
      </c>
      <c r="R678" s="276" t="s">
        <v>284</v>
      </c>
      <c r="S67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8" s="276">
        <v>0.36</v>
      </c>
      <c r="U67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78" s="274">
        <v>0.89</v>
      </c>
    </row>
    <row r="679" spans="1:22" ht="15.75" thickBot="1" x14ac:dyDescent="0.3">
      <c r="A679" s="288" t="s">
        <v>85</v>
      </c>
      <c r="B679" s="289">
        <f>_xlfn.XLOOKUP(Catalogo[[#This Row],[Finca]], Fincas[Nombre], Fincas[ID])</f>
        <v>38</v>
      </c>
      <c r="C679" s="288" t="s">
        <v>646</v>
      </c>
      <c r="D679" s="288" t="s">
        <v>849</v>
      </c>
      <c r="E679" s="288"/>
      <c r="F679" s="288" t="s">
        <v>612</v>
      </c>
      <c r="G679" s="288"/>
      <c r="H679" s="288"/>
      <c r="I679" s="317" t="s">
        <v>275</v>
      </c>
      <c r="J679" s="310"/>
      <c r="K679" s="289" t="s">
        <v>93</v>
      </c>
      <c r="L67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79" s="290" t="s">
        <v>387</v>
      </c>
      <c r="N679" s="290">
        <v>200</v>
      </c>
      <c r="O679" s="292">
        <v>0.36</v>
      </c>
      <c r="P679" s="291">
        <f>IFERROR(_xlfn.LET(_xlpm.boxType, K679, _xlpm.tallos, N679, _xlpm.cost, O679, _xlpm.precio, Q679,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79" s="297">
        <v>1.59</v>
      </c>
      <c r="R679" s="292" t="s">
        <v>285</v>
      </c>
      <c r="S67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79" s="292">
        <v>0.36</v>
      </c>
      <c r="U67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79" s="294">
        <v>0.89</v>
      </c>
    </row>
    <row r="680" spans="1:22" x14ac:dyDescent="0.25">
      <c r="A680" s="281" t="s">
        <v>85</v>
      </c>
      <c r="B680" s="282">
        <f>_xlfn.XLOOKUP(Catalogo[[#This Row],[Finca]], Fincas[Nombre], Fincas[ID])</f>
        <v>38</v>
      </c>
      <c r="C680" s="281" t="s">
        <v>646</v>
      </c>
      <c r="D680" s="281" t="s">
        <v>850</v>
      </c>
      <c r="E680" s="281"/>
      <c r="F680" s="281" t="s">
        <v>534</v>
      </c>
      <c r="G680" s="281"/>
      <c r="H680" s="281"/>
      <c r="I680" s="316" t="s">
        <v>273</v>
      </c>
      <c r="J680" s="308"/>
      <c r="K680" s="282" t="s">
        <v>31</v>
      </c>
      <c r="L68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0" s="283" t="s">
        <v>383</v>
      </c>
      <c r="N680" s="283">
        <v>50</v>
      </c>
      <c r="O680" s="285">
        <v>0.24</v>
      </c>
      <c r="P680" s="284">
        <f>IFERROR(_xlfn.LET(_xlpm.boxType, K680, _xlpm.tallos, N680, _xlpm.cost, O680, _xlpm.precio, Q680,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80" s="295">
        <v>1.29</v>
      </c>
      <c r="R680" s="285" t="s">
        <v>283</v>
      </c>
      <c r="S68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0" s="285">
        <v>0.24</v>
      </c>
      <c r="U68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80" s="287">
        <v>0.75</v>
      </c>
    </row>
    <row r="681" spans="1:22" x14ac:dyDescent="0.25">
      <c r="A681" s="277" t="s">
        <v>85</v>
      </c>
      <c r="B681" s="278">
        <f>_xlfn.XLOOKUP(Catalogo[[#This Row],[Finca]], Fincas[Nombre], Fincas[ID])</f>
        <v>38</v>
      </c>
      <c r="C681" s="277" t="s">
        <v>646</v>
      </c>
      <c r="D681" s="277" t="s">
        <v>850</v>
      </c>
      <c r="E681" s="277"/>
      <c r="F681" s="277" t="s">
        <v>534</v>
      </c>
      <c r="G681" s="277"/>
      <c r="H681" s="277"/>
      <c r="I681" s="311" t="s">
        <v>273</v>
      </c>
      <c r="J681" s="309"/>
      <c r="K681" s="278" t="s">
        <v>35</v>
      </c>
      <c r="L68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1" s="279" t="s">
        <v>385</v>
      </c>
      <c r="N681" s="279">
        <v>150</v>
      </c>
      <c r="O681" s="276">
        <v>0.24</v>
      </c>
      <c r="P681" s="280">
        <f>IFERROR(_xlfn.LET(_xlpm.boxType, K681, _xlpm.tallos, N681, _xlpm.cost, O681, _xlpm.precio, Q681,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81" s="296">
        <v>1.19</v>
      </c>
      <c r="R681" s="276" t="s">
        <v>284</v>
      </c>
      <c r="S68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1" s="276">
        <v>0.24</v>
      </c>
      <c r="U68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81" s="274">
        <v>0.69</v>
      </c>
    </row>
    <row r="682" spans="1:22" ht="15.75" thickBot="1" x14ac:dyDescent="0.3">
      <c r="A682" s="288" t="s">
        <v>85</v>
      </c>
      <c r="B682" s="289">
        <f>_xlfn.XLOOKUP(Catalogo[[#This Row],[Finca]], Fincas[Nombre], Fincas[ID])</f>
        <v>38</v>
      </c>
      <c r="C682" s="288" t="s">
        <v>646</v>
      </c>
      <c r="D682" s="288" t="s">
        <v>850</v>
      </c>
      <c r="E682" s="288"/>
      <c r="F682" s="288" t="s">
        <v>534</v>
      </c>
      <c r="G682" s="288"/>
      <c r="H682" s="288"/>
      <c r="I682" s="317" t="s">
        <v>273</v>
      </c>
      <c r="J682" s="310"/>
      <c r="K682" s="289" t="s">
        <v>93</v>
      </c>
      <c r="L68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2" s="290" t="s">
        <v>387</v>
      </c>
      <c r="N682" s="290">
        <v>300</v>
      </c>
      <c r="O682" s="292">
        <v>0.24</v>
      </c>
      <c r="P682" s="291">
        <f>IFERROR(_xlfn.LET(_xlpm.boxType, K682, _xlpm.tallos, N682, _xlpm.cost, O682, _xlpm.precio, Q682,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82" s="297">
        <v>1.19</v>
      </c>
      <c r="R682" s="292" t="s">
        <v>285</v>
      </c>
      <c r="S68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2" s="292">
        <v>0.24</v>
      </c>
      <c r="U68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82" s="294">
        <v>0.69</v>
      </c>
    </row>
    <row r="683" spans="1:22" x14ac:dyDescent="0.25">
      <c r="A683" s="277" t="s">
        <v>85</v>
      </c>
      <c r="B683" s="278">
        <f>_xlfn.XLOOKUP(Catalogo[[#This Row],[Finca]], Fincas[Nombre], Fincas[ID])</f>
        <v>38</v>
      </c>
      <c r="C683" s="277" t="s">
        <v>646</v>
      </c>
      <c r="D683" s="277" t="s">
        <v>850</v>
      </c>
      <c r="E683" s="277"/>
      <c r="F683" s="277" t="s">
        <v>534</v>
      </c>
      <c r="G683" s="277"/>
      <c r="H683" s="277"/>
      <c r="I683" s="311" t="s">
        <v>274</v>
      </c>
      <c r="J683" s="309"/>
      <c r="K683" s="278" t="s">
        <v>31</v>
      </c>
      <c r="L68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3" s="279" t="s">
        <v>383</v>
      </c>
      <c r="N683" s="279">
        <v>50</v>
      </c>
      <c r="O683" s="276">
        <v>0.32</v>
      </c>
      <c r="P683" s="280">
        <f>IFERROR(_xlfn.LET(_xlpm.boxType, K683, _xlpm.tallos, N683, _xlpm.cost, O683, _xlpm.precio, Q683,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83" s="296">
        <v>1.49</v>
      </c>
      <c r="R683" s="276" t="s">
        <v>283</v>
      </c>
      <c r="S68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3" s="276">
        <v>0.32</v>
      </c>
      <c r="U68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83" s="274">
        <v>0.85</v>
      </c>
    </row>
    <row r="684" spans="1:22" x14ac:dyDescent="0.25">
      <c r="A684" s="277" t="s">
        <v>85</v>
      </c>
      <c r="B684" s="278">
        <f>_xlfn.XLOOKUP(Catalogo[[#This Row],[Finca]], Fincas[Nombre], Fincas[ID])</f>
        <v>38</v>
      </c>
      <c r="C684" s="277" t="s">
        <v>646</v>
      </c>
      <c r="D684" s="277" t="s">
        <v>850</v>
      </c>
      <c r="E684" s="277"/>
      <c r="F684" s="277" t="s">
        <v>534</v>
      </c>
      <c r="G684" s="277"/>
      <c r="H684" s="277"/>
      <c r="I684" s="311" t="s">
        <v>274</v>
      </c>
      <c r="J684" s="309"/>
      <c r="K684" s="278" t="s">
        <v>35</v>
      </c>
      <c r="L68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4" s="279" t="s">
        <v>385</v>
      </c>
      <c r="N684" s="279">
        <v>125</v>
      </c>
      <c r="O684" s="276">
        <v>0.32</v>
      </c>
      <c r="P684" s="280">
        <f>IFERROR(_xlfn.LET(_xlpm.boxType, K684, _xlpm.tallos, N684, _xlpm.cost, O684, _xlpm.precio, Q684,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84" s="296">
        <v>1.39</v>
      </c>
      <c r="R684" s="276" t="s">
        <v>284</v>
      </c>
      <c r="S68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4" s="276">
        <v>0.32</v>
      </c>
      <c r="U68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84" s="274">
        <v>0.79</v>
      </c>
    </row>
    <row r="685" spans="1:22" ht="15.75" thickBot="1" x14ac:dyDescent="0.3">
      <c r="A685" s="277" t="s">
        <v>85</v>
      </c>
      <c r="B685" s="278">
        <f>_xlfn.XLOOKUP(Catalogo[[#This Row],[Finca]], Fincas[Nombre], Fincas[ID])</f>
        <v>38</v>
      </c>
      <c r="C685" s="277" t="s">
        <v>646</v>
      </c>
      <c r="D685" s="277" t="s">
        <v>850</v>
      </c>
      <c r="E685" s="277"/>
      <c r="F685" s="277" t="s">
        <v>534</v>
      </c>
      <c r="G685" s="277"/>
      <c r="H685" s="277"/>
      <c r="I685" s="311" t="s">
        <v>274</v>
      </c>
      <c r="J685" s="309"/>
      <c r="K685" s="278" t="s">
        <v>93</v>
      </c>
      <c r="L68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5" s="279" t="s">
        <v>387</v>
      </c>
      <c r="N685" s="279">
        <v>250</v>
      </c>
      <c r="O685" s="276">
        <v>0.32</v>
      </c>
      <c r="P685" s="280">
        <f>IFERROR(_xlfn.LET(_xlpm.boxType, K685, _xlpm.tallos, N685, _xlpm.cost, O685, _xlpm.precio, Q685,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85" s="296">
        <v>1.39</v>
      </c>
      <c r="R685" s="276" t="s">
        <v>285</v>
      </c>
      <c r="S68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5" s="276">
        <v>0.32</v>
      </c>
      <c r="U68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85" s="274">
        <v>0.79</v>
      </c>
    </row>
    <row r="686" spans="1:22" x14ac:dyDescent="0.25">
      <c r="A686" s="281" t="s">
        <v>85</v>
      </c>
      <c r="B686" s="282">
        <f>_xlfn.XLOOKUP(Catalogo[[#This Row],[Finca]], Fincas[Nombre], Fincas[ID])</f>
        <v>38</v>
      </c>
      <c r="C686" s="281" t="s">
        <v>646</v>
      </c>
      <c r="D686" s="281" t="s">
        <v>850</v>
      </c>
      <c r="E686" s="281"/>
      <c r="F686" s="281" t="s">
        <v>534</v>
      </c>
      <c r="G686" s="281"/>
      <c r="H686" s="281"/>
      <c r="I686" s="316" t="s">
        <v>275</v>
      </c>
      <c r="J686" s="308"/>
      <c r="K686" s="282" t="s">
        <v>31</v>
      </c>
      <c r="L68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6" s="283" t="s">
        <v>383</v>
      </c>
      <c r="N686" s="283">
        <v>50</v>
      </c>
      <c r="O686" s="285">
        <v>0.36</v>
      </c>
      <c r="P686" s="284">
        <f>IFERROR(_xlfn.LET(_xlpm.boxType, K686, _xlpm.tallos, N686, _xlpm.cost, O686, _xlpm.precio, Q686,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86" s="295">
        <v>1.59</v>
      </c>
      <c r="R686" s="285" t="s">
        <v>283</v>
      </c>
      <c r="S68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6" s="285">
        <v>0.36</v>
      </c>
      <c r="U68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86" s="287">
        <v>0.99</v>
      </c>
    </row>
    <row r="687" spans="1:22" x14ac:dyDescent="0.25">
      <c r="A687" s="277" t="s">
        <v>85</v>
      </c>
      <c r="B687" s="278">
        <f>_xlfn.XLOOKUP(Catalogo[[#This Row],[Finca]], Fincas[Nombre], Fincas[ID])</f>
        <v>38</v>
      </c>
      <c r="C687" s="277" t="s">
        <v>646</v>
      </c>
      <c r="D687" s="277" t="s">
        <v>850</v>
      </c>
      <c r="E687" s="277"/>
      <c r="F687" s="277" t="s">
        <v>534</v>
      </c>
      <c r="G687" s="277"/>
      <c r="H687" s="277"/>
      <c r="I687" s="311" t="s">
        <v>275</v>
      </c>
      <c r="J687" s="309"/>
      <c r="K687" s="278" t="s">
        <v>35</v>
      </c>
      <c r="L68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7" s="279" t="s">
        <v>385</v>
      </c>
      <c r="N687" s="279">
        <v>100</v>
      </c>
      <c r="O687" s="276">
        <v>0.36</v>
      </c>
      <c r="P687" s="280">
        <f>IFERROR(_xlfn.LET(_xlpm.boxType, K687, _xlpm.tallos, N687, _xlpm.cost, O687, _xlpm.precio, Q687,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87" s="296">
        <v>1.59</v>
      </c>
      <c r="R687" s="276" t="s">
        <v>284</v>
      </c>
      <c r="S68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7" s="276">
        <v>0.36</v>
      </c>
      <c r="U68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87" s="274">
        <v>0.89</v>
      </c>
    </row>
    <row r="688" spans="1:22" ht="15.75" thickBot="1" x14ac:dyDescent="0.3">
      <c r="A688" s="288" t="s">
        <v>85</v>
      </c>
      <c r="B688" s="289">
        <f>_xlfn.XLOOKUP(Catalogo[[#This Row],[Finca]], Fincas[Nombre], Fincas[ID])</f>
        <v>38</v>
      </c>
      <c r="C688" s="288" t="s">
        <v>646</v>
      </c>
      <c r="D688" s="288" t="s">
        <v>850</v>
      </c>
      <c r="E688" s="288"/>
      <c r="F688" s="288" t="s">
        <v>534</v>
      </c>
      <c r="G688" s="288"/>
      <c r="H688" s="288"/>
      <c r="I688" s="317" t="s">
        <v>275</v>
      </c>
      <c r="J688" s="310"/>
      <c r="K688" s="289" t="s">
        <v>93</v>
      </c>
      <c r="L68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8" s="290" t="s">
        <v>387</v>
      </c>
      <c r="N688" s="290">
        <v>200</v>
      </c>
      <c r="O688" s="292">
        <v>0.36</v>
      </c>
      <c r="P688" s="291">
        <f>IFERROR(_xlfn.LET(_xlpm.boxType, K688, _xlpm.tallos, N688, _xlpm.cost, O688, _xlpm.precio, Q688,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88" s="297">
        <v>1.59</v>
      </c>
      <c r="R688" s="292" t="s">
        <v>285</v>
      </c>
      <c r="S68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8" s="292">
        <v>0.36</v>
      </c>
      <c r="U68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88" s="294">
        <v>0.89</v>
      </c>
    </row>
    <row r="689" spans="1:22" x14ac:dyDescent="0.25">
      <c r="A689" s="281" t="s">
        <v>85</v>
      </c>
      <c r="B689" s="282">
        <f>_xlfn.XLOOKUP(Catalogo[[#This Row],[Finca]], Fincas[Nombre], Fincas[ID])</f>
        <v>38</v>
      </c>
      <c r="C689" s="281" t="s">
        <v>646</v>
      </c>
      <c r="D689" s="281" t="s">
        <v>851</v>
      </c>
      <c r="E689" s="281"/>
      <c r="F689" s="281" t="s">
        <v>503</v>
      </c>
      <c r="G689" s="281"/>
      <c r="H689" s="281"/>
      <c r="I689" s="316" t="s">
        <v>273</v>
      </c>
      <c r="J689" s="308"/>
      <c r="K689" s="282" t="s">
        <v>31</v>
      </c>
      <c r="L68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89" s="283" t="s">
        <v>383</v>
      </c>
      <c r="N689" s="283">
        <v>50</v>
      </c>
      <c r="O689" s="285">
        <v>0.24</v>
      </c>
      <c r="P689" s="284">
        <f>IFERROR(_xlfn.LET(_xlpm.boxType, K689, _xlpm.tallos, N689, _xlpm.cost, O689, _xlpm.precio, Q689,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89" s="295">
        <v>1.29</v>
      </c>
      <c r="R689" s="285" t="s">
        <v>283</v>
      </c>
      <c r="S68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89" s="285">
        <v>0.24</v>
      </c>
      <c r="U68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89" s="287">
        <v>0.75</v>
      </c>
    </row>
    <row r="690" spans="1:22" x14ac:dyDescent="0.25">
      <c r="A690" s="277" t="s">
        <v>85</v>
      </c>
      <c r="B690" s="278">
        <f>_xlfn.XLOOKUP(Catalogo[[#This Row],[Finca]], Fincas[Nombre], Fincas[ID])</f>
        <v>38</v>
      </c>
      <c r="C690" s="277" t="s">
        <v>646</v>
      </c>
      <c r="D690" s="277" t="s">
        <v>851</v>
      </c>
      <c r="E690" s="277"/>
      <c r="F690" s="277" t="s">
        <v>503</v>
      </c>
      <c r="G690" s="277"/>
      <c r="H690" s="277"/>
      <c r="I690" s="311" t="s">
        <v>273</v>
      </c>
      <c r="J690" s="309"/>
      <c r="K690" s="278" t="s">
        <v>35</v>
      </c>
      <c r="L69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0" s="279" t="s">
        <v>385</v>
      </c>
      <c r="N690" s="279">
        <v>150</v>
      </c>
      <c r="O690" s="276">
        <v>0.24</v>
      </c>
      <c r="P690" s="280">
        <f>IFERROR(_xlfn.LET(_xlpm.boxType, K690, _xlpm.tallos, N690, _xlpm.cost, O690, _xlpm.precio, Q690,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90" s="296">
        <v>1.19</v>
      </c>
      <c r="R690" s="276" t="s">
        <v>284</v>
      </c>
      <c r="S69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0" s="276">
        <v>0.24</v>
      </c>
      <c r="U69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90" s="274">
        <v>0.69</v>
      </c>
    </row>
    <row r="691" spans="1:22" ht="15.75" thickBot="1" x14ac:dyDescent="0.3">
      <c r="A691" s="288" t="s">
        <v>85</v>
      </c>
      <c r="B691" s="289">
        <f>_xlfn.XLOOKUP(Catalogo[[#This Row],[Finca]], Fincas[Nombre], Fincas[ID])</f>
        <v>38</v>
      </c>
      <c r="C691" s="288" t="s">
        <v>646</v>
      </c>
      <c r="D691" s="288" t="s">
        <v>851</v>
      </c>
      <c r="E691" s="288"/>
      <c r="F691" s="288" t="s">
        <v>503</v>
      </c>
      <c r="G691" s="288"/>
      <c r="H691" s="288"/>
      <c r="I691" s="317" t="s">
        <v>273</v>
      </c>
      <c r="J691" s="310"/>
      <c r="K691" s="289" t="s">
        <v>93</v>
      </c>
      <c r="L69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1" s="290" t="s">
        <v>387</v>
      </c>
      <c r="N691" s="290">
        <v>300</v>
      </c>
      <c r="O691" s="292">
        <v>0.24</v>
      </c>
      <c r="P691" s="291">
        <f>IFERROR(_xlfn.LET(_xlpm.boxType, K691, _xlpm.tallos, N691, _xlpm.cost, O691, _xlpm.precio, Q691,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691" s="297">
        <v>1.19</v>
      </c>
      <c r="R691" s="292" t="s">
        <v>285</v>
      </c>
      <c r="S69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1" s="292">
        <v>0.24</v>
      </c>
      <c r="U69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91" s="294">
        <v>0.69</v>
      </c>
    </row>
    <row r="692" spans="1:22" x14ac:dyDescent="0.25">
      <c r="A692" s="277" t="s">
        <v>85</v>
      </c>
      <c r="B692" s="278">
        <f>_xlfn.XLOOKUP(Catalogo[[#This Row],[Finca]], Fincas[Nombre], Fincas[ID])</f>
        <v>38</v>
      </c>
      <c r="C692" s="277" t="s">
        <v>646</v>
      </c>
      <c r="D692" s="277" t="s">
        <v>851</v>
      </c>
      <c r="E692" s="277"/>
      <c r="F692" s="277" t="s">
        <v>503</v>
      </c>
      <c r="G692" s="277"/>
      <c r="H692" s="277"/>
      <c r="I692" s="311" t="s">
        <v>274</v>
      </c>
      <c r="J692" s="309"/>
      <c r="K692" s="278" t="s">
        <v>31</v>
      </c>
      <c r="L69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2" s="279" t="s">
        <v>383</v>
      </c>
      <c r="N692" s="279">
        <v>50</v>
      </c>
      <c r="O692" s="276">
        <v>0.32</v>
      </c>
      <c r="P692" s="280">
        <f>IFERROR(_xlfn.LET(_xlpm.boxType, K692, _xlpm.tallos, N692, _xlpm.cost, O692, _xlpm.precio, Q692,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692" s="296">
        <v>1.49</v>
      </c>
      <c r="R692" s="276" t="s">
        <v>283</v>
      </c>
      <c r="S69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2" s="276">
        <v>0.32</v>
      </c>
      <c r="U69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692" s="274">
        <v>0.85</v>
      </c>
    </row>
    <row r="693" spans="1:22" x14ac:dyDescent="0.25">
      <c r="A693" s="277" t="s">
        <v>85</v>
      </c>
      <c r="B693" s="278">
        <f>_xlfn.XLOOKUP(Catalogo[[#This Row],[Finca]], Fincas[Nombre], Fincas[ID])</f>
        <v>38</v>
      </c>
      <c r="C693" s="277" t="s">
        <v>646</v>
      </c>
      <c r="D693" s="277" t="s">
        <v>851</v>
      </c>
      <c r="E693" s="277"/>
      <c r="F693" s="277" t="s">
        <v>503</v>
      </c>
      <c r="G693" s="277"/>
      <c r="H693" s="277"/>
      <c r="I693" s="311" t="s">
        <v>274</v>
      </c>
      <c r="J693" s="309"/>
      <c r="K693" s="278" t="s">
        <v>35</v>
      </c>
      <c r="L69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3" s="279" t="s">
        <v>385</v>
      </c>
      <c r="N693" s="279">
        <v>125</v>
      </c>
      <c r="O693" s="276">
        <v>0.32</v>
      </c>
      <c r="P693" s="280">
        <f>IFERROR(_xlfn.LET(_xlpm.boxType, K693, _xlpm.tallos, N693, _xlpm.cost, O693, _xlpm.precio, Q693,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693" s="296">
        <v>1.39</v>
      </c>
      <c r="R693" s="276" t="s">
        <v>284</v>
      </c>
      <c r="S69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3" s="276">
        <v>0.32</v>
      </c>
      <c r="U69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93" s="274">
        <v>0.79</v>
      </c>
    </row>
    <row r="694" spans="1:22" ht="15.75" thickBot="1" x14ac:dyDescent="0.3">
      <c r="A694" s="277" t="s">
        <v>85</v>
      </c>
      <c r="B694" s="278">
        <f>_xlfn.XLOOKUP(Catalogo[[#This Row],[Finca]], Fincas[Nombre], Fincas[ID])</f>
        <v>38</v>
      </c>
      <c r="C694" s="277" t="s">
        <v>646</v>
      </c>
      <c r="D694" s="277" t="s">
        <v>851</v>
      </c>
      <c r="E694" s="277"/>
      <c r="F694" s="277" t="s">
        <v>503</v>
      </c>
      <c r="G694" s="277"/>
      <c r="H694" s="277"/>
      <c r="I694" s="311" t="s">
        <v>274</v>
      </c>
      <c r="J694" s="309"/>
      <c r="K694" s="278" t="s">
        <v>93</v>
      </c>
      <c r="L69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4" s="279" t="s">
        <v>387</v>
      </c>
      <c r="N694" s="279">
        <v>250</v>
      </c>
      <c r="O694" s="276">
        <v>0.32</v>
      </c>
      <c r="P694" s="280">
        <f>IFERROR(_xlfn.LET(_xlpm.boxType, K694, _xlpm.tallos, N694, _xlpm.cost, O694, _xlpm.precio, Q694,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694" s="296">
        <v>1.39</v>
      </c>
      <c r="R694" s="276" t="s">
        <v>285</v>
      </c>
      <c r="S69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4" s="276">
        <v>0.32</v>
      </c>
      <c r="U69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694" s="274">
        <v>0.79</v>
      </c>
    </row>
    <row r="695" spans="1:22" x14ac:dyDescent="0.25">
      <c r="A695" s="281" t="s">
        <v>85</v>
      </c>
      <c r="B695" s="282">
        <f>_xlfn.XLOOKUP(Catalogo[[#This Row],[Finca]], Fincas[Nombre], Fincas[ID])</f>
        <v>38</v>
      </c>
      <c r="C695" s="281" t="s">
        <v>646</v>
      </c>
      <c r="D695" s="281" t="s">
        <v>851</v>
      </c>
      <c r="E695" s="281"/>
      <c r="F695" s="281" t="s">
        <v>503</v>
      </c>
      <c r="G695" s="281"/>
      <c r="H695" s="281"/>
      <c r="I695" s="316" t="s">
        <v>275</v>
      </c>
      <c r="J695" s="308"/>
      <c r="K695" s="282" t="s">
        <v>31</v>
      </c>
      <c r="L69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5" s="283" t="s">
        <v>383</v>
      </c>
      <c r="N695" s="283">
        <v>50</v>
      </c>
      <c r="O695" s="285">
        <v>0.36</v>
      </c>
      <c r="P695" s="284">
        <f>IFERROR(_xlfn.LET(_xlpm.boxType, K695, _xlpm.tallos, N695, _xlpm.cost, O695, _xlpm.precio, Q695,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95" s="295">
        <v>1.59</v>
      </c>
      <c r="R695" s="285" t="s">
        <v>283</v>
      </c>
      <c r="S69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5" s="285">
        <v>0.36</v>
      </c>
      <c r="U69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695" s="287">
        <v>0.99</v>
      </c>
    </row>
    <row r="696" spans="1:22" x14ac:dyDescent="0.25">
      <c r="A696" s="277" t="s">
        <v>85</v>
      </c>
      <c r="B696" s="278">
        <f>_xlfn.XLOOKUP(Catalogo[[#This Row],[Finca]], Fincas[Nombre], Fincas[ID])</f>
        <v>38</v>
      </c>
      <c r="C696" s="277" t="s">
        <v>646</v>
      </c>
      <c r="D696" s="277" t="s">
        <v>851</v>
      </c>
      <c r="E696" s="277"/>
      <c r="F696" s="277" t="s">
        <v>503</v>
      </c>
      <c r="G696" s="277"/>
      <c r="H696" s="277"/>
      <c r="I696" s="311" t="s">
        <v>275</v>
      </c>
      <c r="J696" s="309"/>
      <c r="K696" s="278" t="s">
        <v>35</v>
      </c>
      <c r="L69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6" s="279" t="s">
        <v>385</v>
      </c>
      <c r="N696" s="279">
        <v>100</v>
      </c>
      <c r="O696" s="276">
        <v>0.36</v>
      </c>
      <c r="P696" s="280">
        <f>IFERROR(_xlfn.LET(_xlpm.boxType, K696, _xlpm.tallos, N696, _xlpm.cost, O696, _xlpm.precio, Q696,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696" s="296">
        <v>1.59</v>
      </c>
      <c r="R696" s="276" t="s">
        <v>284</v>
      </c>
      <c r="S69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6" s="276">
        <v>0.36</v>
      </c>
      <c r="U69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96" s="274">
        <v>0.89</v>
      </c>
    </row>
    <row r="697" spans="1:22" ht="15.75" thickBot="1" x14ac:dyDescent="0.3">
      <c r="A697" s="288" t="s">
        <v>85</v>
      </c>
      <c r="B697" s="289">
        <f>_xlfn.XLOOKUP(Catalogo[[#This Row],[Finca]], Fincas[Nombre], Fincas[ID])</f>
        <v>38</v>
      </c>
      <c r="C697" s="288" t="s">
        <v>646</v>
      </c>
      <c r="D697" s="288" t="s">
        <v>851</v>
      </c>
      <c r="E697" s="288"/>
      <c r="F697" s="288" t="s">
        <v>503</v>
      </c>
      <c r="G697" s="288"/>
      <c r="H697" s="288"/>
      <c r="I697" s="317" t="s">
        <v>275</v>
      </c>
      <c r="J697" s="310"/>
      <c r="K697" s="289" t="s">
        <v>93</v>
      </c>
      <c r="L69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7" s="290" t="s">
        <v>387</v>
      </c>
      <c r="N697" s="290">
        <v>200</v>
      </c>
      <c r="O697" s="292">
        <v>0.36</v>
      </c>
      <c r="P697" s="291">
        <f>IFERROR(_xlfn.LET(_xlpm.boxType, K697, _xlpm.tallos, N697, _xlpm.cost, O697, _xlpm.precio, Q697,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697" s="297">
        <v>1.59</v>
      </c>
      <c r="R697" s="292" t="s">
        <v>285</v>
      </c>
      <c r="S69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7" s="292">
        <v>0.36</v>
      </c>
      <c r="U69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697" s="294">
        <v>0.89</v>
      </c>
    </row>
    <row r="698" spans="1:22" x14ac:dyDescent="0.25">
      <c r="A698" s="281" t="s">
        <v>85</v>
      </c>
      <c r="B698" s="282">
        <f>_xlfn.XLOOKUP(Catalogo[[#This Row],[Finca]], Fincas[Nombre], Fincas[ID])</f>
        <v>38</v>
      </c>
      <c r="C698" s="281" t="s">
        <v>646</v>
      </c>
      <c r="D698" s="281" t="s">
        <v>852</v>
      </c>
      <c r="E698" s="281"/>
      <c r="F698" s="281" t="s">
        <v>576</v>
      </c>
      <c r="G698" s="281" t="s">
        <v>503</v>
      </c>
      <c r="H698" s="281"/>
      <c r="I698" s="316" t="s">
        <v>273</v>
      </c>
      <c r="J698" s="308"/>
      <c r="K698" s="282" t="s">
        <v>31</v>
      </c>
      <c r="L69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8" s="283" t="s">
        <v>383</v>
      </c>
      <c r="N698" s="283">
        <v>50</v>
      </c>
      <c r="O698" s="285">
        <v>0.24</v>
      </c>
      <c r="P698" s="284">
        <f>IFERROR(_xlfn.LET(_xlpm.boxType, K698, _xlpm.tallos, N698, _xlpm.cost, O698, _xlpm.precio, Q698,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698" s="295">
        <v>1.29</v>
      </c>
      <c r="R698" s="285" t="s">
        <v>283</v>
      </c>
      <c r="S69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8" s="285">
        <v>0.24</v>
      </c>
      <c r="U69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698" s="287">
        <v>0.75</v>
      </c>
    </row>
    <row r="699" spans="1:22" x14ac:dyDescent="0.25">
      <c r="A699" s="277" t="s">
        <v>85</v>
      </c>
      <c r="B699" s="278">
        <f>_xlfn.XLOOKUP(Catalogo[[#This Row],[Finca]], Fincas[Nombre], Fincas[ID])</f>
        <v>38</v>
      </c>
      <c r="C699" s="277" t="s">
        <v>646</v>
      </c>
      <c r="D699" s="277" t="s">
        <v>852</v>
      </c>
      <c r="E699" s="277"/>
      <c r="F699" s="277" t="s">
        <v>576</v>
      </c>
      <c r="G699" s="277" t="s">
        <v>503</v>
      </c>
      <c r="H699" s="277"/>
      <c r="I699" s="311" t="s">
        <v>273</v>
      </c>
      <c r="J699" s="309"/>
      <c r="K699" s="278" t="s">
        <v>35</v>
      </c>
      <c r="L69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699" s="279" t="s">
        <v>385</v>
      </c>
      <c r="N699" s="279">
        <v>150</v>
      </c>
      <c r="O699" s="276">
        <v>0.24</v>
      </c>
      <c r="P699" s="280">
        <f>IFERROR(_xlfn.LET(_xlpm.boxType, K699, _xlpm.tallos, N699, _xlpm.cost, O699, _xlpm.precio, Q699,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699" s="296">
        <v>1.19</v>
      </c>
      <c r="R699" s="276" t="s">
        <v>284</v>
      </c>
      <c r="S69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699" s="276">
        <v>0.24</v>
      </c>
      <c r="U69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699" s="274">
        <v>0.69</v>
      </c>
    </row>
    <row r="700" spans="1:22" ht="15.75" thickBot="1" x14ac:dyDescent="0.3">
      <c r="A700" s="288" t="s">
        <v>85</v>
      </c>
      <c r="B700" s="289">
        <f>_xlfn.XLOOKUP(Catalogo[[#This Row],[Finca]], Fincas[Nombre], Fincas[ID])</f>
        <v>38</v>
      </c>
      <c r="C700" s="288" t="s">
        <v>646</v>
      </c>
      <c r="D700" s="288" t="s">
        <v>852</v>
      </c>
      <c r="E700" s="288"/>
      <c r="F700" s="288" t="s">
        <v>576</v>
      </c>
      <c r="G700" s="288" t="s">
        <v>503</v>
      </c>
      <c r="H700" s="288"/>
      <c r="I700" s="317" t="s">
        <v>273</v>
      </c>
      <c r="J700" s="310"/>
      <c r="K700" s="289" t="s">
        <v>93</v>
      </c>
      <c r="L70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0" s="290" t="s">
        <v>387</v>
      </c>
      <c r="N700" s="290">
        <v>300</v>
      </c>
      <c r="O700" s="292">
        <v>0.24</v>
      </c>
      <c r="P700" s="291">
        <f>IFERROR(_xlfn.LET(_xlpm.boxType, K700, _xlpm.tallos, N700, _xlpm.cost, O700, _xlpm.precio, Q700,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00" s="297">
        <v>1.19</v>
      </c>
      <c r="R700" s="292" t="s">
        <v>285</v>
      </c>
      <c r="S70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0" s="292">
        <v>0.24</v>
      </c>
      <c r="U70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00" s="294">
        <v>0.69</v>
      </c>
    </row>
    <row r="701" spans="1:22" x14ac:dyDescent="0.25">
      <c r="A701" s="277" t="s">
        <v>85</v>
      </c>
      <c r="B701" s="278">
        <f>_xlfn.XLOOKUP(Catalogo[[#This Row],[Finca]], Fincas[Nombre], Fincas[ID])</f>
        <v>38</v>
      </c>
      <c r="C701" s="277" t="s">
        <v>646</v>
      </c>
      <c r="D701" s="277" t="s">
        <v>852</v>
      </c>
      <c r="E701" s="277"/>
      <c r="F701" s="277" t="s">
        <v>576</v>
      </c>
      <c r="G701" s="277" t="s">
        <v>503</v>
      </c>
      <c r="H701" s="277"/>
      <c r="I701" s="311" t="s">
        <v>274</v>
      </c>
      <c r="J701" s="309"/>
      <c r="K701" s="278" t="s">
        <v>31</v>
      </c>
      <c r="L70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1" s="279" t="s">
        <v>383</v>
      </c>
      <c r="N701" s="279">
        <v>50</v>
      </c>
      <c r="O701" s="276">
        <v>0.32</v>
      </c>
      <c r="P701" s="280">
        <f>IFERROR(_xlfn.LET(_xlpm.boxType, K701, _xlpm.tallos, N701, _xlpm.cost, O701, _xlpm.precio, Q701,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01" s="296">
        <v>1.49</v>
      </c>
      <c r="R701" s="276" t="s">
        <v>283</v>
      </c>
      <c r="S70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1" s="276">
        <v>0.32</v>
      </c>
      <c r="U70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01" s="274">
        <v>0.85</v>
      </c>
    </row>
    <row r="702" spans="1:22" x14ac:dyDescent="0.25">
      <c r="A702" s="277" t="s">
        <v>85</v>
      </c>
      <c r="B702" s="278">
        <f>_xlfn.XLOOKUP(Catalogo[[#This Row],[Finca]], Fincas[Nombre], Fincas[ID])</f>
        <v>38</v>
      </c>
      <c r="C702" s="277" t="s">
        <v>646</v>
      </c>
      <c r="D702" s="277" t="s">
        <v>852</v>
      </c>
      <c r="E702" s="277"/>
      <c r="F702" s="277" t="s">
        <v>576</v>
      </c>
      <c r="G702" s="277" t="s">
        <v>503</v>
      </c>
      <c r="H702" s="277"/>
      <c r="I702" s="311" t="s">
        <v>274</v>
      </c>
      <c r="J702" s="309"/>
      <c r="K702" s="278" t="s">
        <v>35</v>
      </c>
      <c r="L70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2" s="279" t="s">
        <v>385</v>
      </c>
      <c r="N702" s="279">
        <v>125</v>
      </c>
      <c r="O702" s="276">
        <v>0.32</v>
      </c>
      <c r="P702" s="280">
        <f>IFERROR(_xlfn.LET(_xlpm.boxType, K702, _xlpm.tallos, N702, _xlpm.cost, O702, _xlpm.precio, Q702,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02" s="296">
        <v>1.39</v>
      </c>
      <c r="R702" s="276" t="s">
        <v>284</v>
      </c>
      <c r="S70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2" s="276">
        <v>0.32</v>
      </c>
      <c r="U70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02" s="274">
        <v>0.79</v>
      </c>
    </row>
    <row r="703" spans="1:22" ht="15.75" thickBot="1" x14ac:dyDescent="0.3">
      <c r="A703" s="277" t="s">
        <v>85</v>
      </c>
      <c r="B703" s="278">
        <f>_xlfn.XLOOKUP(Catalogo[[#This Row],[Finca]], Fincas[Nombre], Fincas[ID])</f>
        <v>38</v>
      </c>
      <c r="C703" s="277" t="s">
        <v>646</v>
      </c>
      <c r="D703" s="277" t="s">
        <v>852</v>
      </c>
      <c r="E703" s="277"/>
      <c r="F703" s="277" t="s">
        <v>576</v>
      </c>
      <c r="G703" s="277" t="s">
        <v>503</v>
      </c>
      <c r="H703" s="277"/>
      <c r="I703" s="311" t="s">
        <v>274</v>
      </c>
      <c r="J703" s="309"/>
      <c r="K703" s="278" t="s">
        <v>93</v>
      </c>
      <c r="L70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3" s="279" t="s">
        <v>387</v>
      </c>
      <c r="N703" s="279">
        <v>250</v>
      </c>
      <c r="O703" s="276">
        <v>0.32</v>
      </c>
      <c r="P703" s="280">
        <f>IFERROR(_xlfn.LET(_xlpm.boxType, K703, _xlpm.tallos, N703, _xlpm.cost, O703, _xlpm.precio, Q703,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03" s="296">
        <v>1.39</v>
      </c>
      <c r="R703" s="276" t="s">
        <v>285</v>
      </c>
      <c r="S70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3" s="276">
        <v>0.32</v>
      </c>
      <c r="U70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03" s="274">
        <v>0.79</v>
      </c>
    </row>
    <row r="704" spans="1:22" x14ac:dyDescent="0.25">
      <c r="A704" s="281" t="s">
        <v>85</v>
      </c>
      <c r="B704" s="282">
        <f>_xlfn.XLOOKUP(Catalogo[[#This Row],[Finca]], Fincas[Nombre], Fincas[ID])</f>
        <v>38</v>
      </c>
      <c r="C704" s="281" t="s">
        <v>646</v>
      </c>
      <c r="D704" s="281" t="s">
        <v>852</v>
      </c>
      <c r="E704" s="281"/>
      <c r="F704" s="281" t="s">
        <v>576</v>
      </c>
      <c r="G704" s="281" t="s">
        <v>503</v>
      </c>
      <c r="H704" s="281"/>
      <c r="I704" s="316" t="s">
        <v>275</v>
      </c>
      <c r="J704" s="308"/>
      <c r="K704" s="282" t="s">
        <v>31</v>
      </c>
      <c r="L70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4" s="283" t="s">
        <v>383</v>
      </c>
      <c r="N704" s="283">
        <v>50</v>
      </c>
      <c r="O704" s="285">
        <v>0.36</v>
      </c>
      <c r="P704" s="284">
        <f>IFERROR(_xlfn.LET(_xlpm.boxType, K704, _xlpm.tallos, N704, _xlpm.cost, O704, _xlpm.precio, Q704,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04" s="295">
        <v>1.59</v>
      </c>
      <c r="R704" s="285" t="s">
        <v>283</v>
      </c>
      <c r="S70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4" s="285">
        <v>0.36</v>
      </c>
      <c r="U70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04" s="287">
        <v>0.99</v>
      </c>
    </row>
    <row r="705" spans="1:22" x14ac:dyDescent="0.25">
      <c r="A705" s="277" t="s">
        <v>85</v>
      </c>
      <c r="B705" s="278">
        <f>_xlfn.XLOOKUP(Catalogo[[#This Row],[Finca]], Fincas[Nombre], Fincas[ID])</f>
        <v>38</v>
      </c>
      <c r="C705" s="277" t="s">
        <v>646</v>
      </c>
      <c r="D705" s="277" t="s">
        <v>852</v>
      </c>
      <c r="E705" s="277"/>
      <c r="F705" s="277" t="s">
        <v>576</v>
      </c>
      <c r="G705" s="277" t="s">
        <v>503</v>
      </c>
      <c r="H705" s="277"/>
      <c r="I705" s="311" t="s">
        <v>275</v>
      </c>
      <c r="J705" s="309"/>
      <c r="K705" s="278" t="s">
        <v>35</v>
      </c>
      <c r="L70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5" s="279" t="s">
        <v>385</v>
      </c>
      <c r="N705" s="279">
        <v>100</v>
      </c>
      <c r="O705" s="276">
        <v>0.36</v>
      </c>
      <c r="P705" s="280">
        <f>IFERROR(_xlfn.LET(_xlpm.boxType, K705, _xlpm.tallos, N705, _xlpm.cost, O705, _xlpm.precio, Q705,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05" s="296">
        <v>1.59</v>
      </c>
      <c r="R705" s="276" t="s">
        <v>284</v>
      </c>
      <c r="S70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5" s="276">
        <v>0.36</v>
      </c>
      <c r="U70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05" s="274">
        <v>0.89</v>
      </c>
    </row>
    <row r="706" spans="1:22" ht="15.75" thickBot="1" x14ac:dyDescent="0.3">
      <c r="A706" s="288" t="s">
        <v>85</v>
      </c>
      <c r="B706" s="289">
        <f>_xlfn.XLOOKUP(Catalogo[[#This Row],[Finca]], Fincas[Nombre], Fincas[ID])</f>
        <v>38</v>
      </c>
      <c r="C706" s="288" t="s">
        <v>646</v>
      </c>
      <c r="D706" s="288" t="s">
        <v>852</v>
      </c>
      <c r="E706" s="288"/>
      <c r="F706" s="288" t="s">
        <v>576</v>
      </c>
      <c r="G706" s="288" t="s">
        <v>503</v>
      </c>
      <c r="H706" s="288"/>
      <c r="I706" s="317" t="s">
        <v>275</v>
      </c>
      <c r="J706" s="310"/>
      <c r="K706" s="289" t="s">
        <v>93</v>
      </c>
      <c r="L70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6" s="290" t="s">
        <v>387</v>
      </c>
      <c r="N706" s="290">
        <v>200</v>
      </c>
      <c r="O706" s="292">
        <v>0.36</v>
      </c>
      <c r="P706" s="291">
        <f>IFERROR(_xlfn.LET(_xlpm.boxType, K706, _xlpm.tallos, N706, _xlpm.cost, O706, _xlpm.precio, Q706,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06" s="297">
        <v>1.59</v>
      </c>
      <c r="R706" s="292" t="s">
        <v>285</v>
      </c>
      <c r="S70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6" s="292">
        <v>0.36</v>
      </c>
      <c r="U70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06" s="294">
        <v>0.89</v>
      </c>
    </row>
    <row r="707" spans="1:22" x14ac:dyDescent="0.25">
      <c r="A707" s="281" t="s">
        <v>85</v>
      </c>
      <c r="B707" s="282">
        <f>_xlfn.XLOOKUP(Catalogo[[#This Row],[Finca]], Fincas[Nombre], Fincas[ID])</f>
        <v>38</v>
      </c>
      <c r="C707" s="281" t="s">
        <v>646</v>
      </c>
      <c r="D707" s="281" t="s">
        <v>853</v>
      </c>
      <c r="E707" s="281"/>
      <c r="F707" s="281" t="s">
        <v>583</v>
      </c>
      <c r="G707" s="281"/>
      <c r="H707" s="281"/>
      <c r="I707" s="316" t="s">
        <v>273</v>
      </c>
      <c r="J707" s="308"/>
      <c r="K707" s="282" t="s">
        <v>31</v>
      </c>
      <c r="L70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7" s="283" t="s">
        <v>383</v>
      </c>
      <c r="N707" s="283">
        <v>50</v>
      </c>
      <c r="O707" s="285">
        <v>0.24</v>
      </c>
      <c r="P707" s="284">
        <f>IFERROR(_xlfn.LET(_xlpm.boxType, K707, _xlpm.tallos, N707, _xlpm.cost, O707, _xlpm.precio, Q707,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07" s="295">
        <v>1.29</v>
      </c>
      <c r="R707" s="285" t="s">
        <v>283</v>
      </c>
      <c r="S70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7" s="285">
        <v>0.24</v>
      </c>
      <c r="U70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07" s="287">
        <v>0.75</v>
      </c>
    </row>
    <row r="708" spans="1:22" x14ac:dyDescent="0.25">
      <c r="A708" s="277" t="s">
        <v>85</v>
      </c>
      <c r="B708" s="278">
        <f>_xlfn.XLOOKUP(Catalogo[[#This Row],[Finca]], Fincas[Nombre], Fincas[ID])</f>
        <v>38</v>
      </c>
      <c r="C708" s="277" t="s">
        <v>646</v>
      </c>
      <c r="D708" s="277" t="s">
        <v>853</v>
      </c>
      <c r="E708" s="277"/>
      <c r="F708" s="277" t="s">
        <v>583</v>
      </c>
      <c r="G708" s="277"/>
      <c r="H708" s="277"/>
      <c r="I708" s="311" t="s">
        <v>273</v>
      </c>
      <c r="J708" s="309"/>
      <c r="K708" s="278" t="s">
        <v>35</v>
      </c>
      <c r="L70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8" s="279" t="s">
        <v>385</v>
      </c>
      <c r="N708" s="279">
        <v>150</v>
      </c>
      <c r="O708" s="276">
        <v>0.24</v>
      </c>
      <c r="P708" s="280">
        <f>IFERROR(_xlfn.LET(_xlpm.boxType, K708, _xlpm.tallos, N708, _xlpm.cost, O708, _xlpm.precio, Q708,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08" s="296">
        <v>1.19</v>
      </c>
      <c r="R708" s="276" t="s">
        <v>284</v>
      </c>
      <c r="S70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8" s="276">
        <v>0.24</v>
      </c>
      <c r="U70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08" s="274">
        <v>0.69</v>
      </c>
    </row>
    <row r="709" spans="1:22" ht="15.75" thickBot="1" x14ac:dyDescent="0.3">
      <c r="A709" s="288" t="s">
        <v>85</v>
      </c>
      <c r="B709" s="289">
        <f>_xlfn.XLOOKUP(Catalogo[[#This Row],[Finca]], Fincas[Nombre], Fincas[ID])</f>
        <v>38</v>
      </c>
      <c r="C709" s="288" t="s">
        <v>646</v>
      </c>
      <c r="D709" s="288" t="s">
        <v>853</v>
      </c>
      <c r="E709" s="288"/>
      <c r="F709" s="288" t="s">
        <v>583</v>
      </c>
      <c r="G709" s="288"/>
      <c r="H709" s="288"/>
      <c r="I709" s="317" t="s">
        <v>273</v>
      </c>
      <c r="J709" s="310"/>
      <c r="K709" s="289" t="s">
        <v>93</v>
      </c>
      <c r="L70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09" s="290" t="s">
        <v>387</v>
      </c>
      <c r="N709" s="290">
        <v>300</v>
      </c>
      <c r="O709" s="292">
        <v>0.24</v>
      </c>
      <c r="P709" s="291">
        <f>IFERROR(_xlfn.LET(_xlpm.boxType, K709, _xlpm.tallos, N709, _xlpm.cost, O709, _xlpm.precio, Q709,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09" s="297">
        <v>1.19</v>
      </c>
      <c r="R709" s="292" t="s">
        <v>285</v>
      </c>
      <c r="S70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09" s="292">
        <v>0.24</v>
      </c>
      <c r="U70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09" s="294">
        <v>0.69</v>
      </c>
    </row>
    <row r="710" spans="1:22" x14ac:dyDescent="0.25">
      <c r="A710" s="277" t="s">
        <v>85</v>
      </c>
      <c r="B710" s="278">
        <f>_xlfn.XLOOKUP(Catalogo[[#This Row],[Finca]], Fincas[Nombre], Fincas[ID])</f>
        <v>38</v>
      </c>
      <c r="C710" s="277" t="s">
        <v>646</v>
      </c>
      <c r="D710" s="277" t="s">
        <v>853</v>
      </c>
      <c r="E710" s="277"/>
      <c r="F710" s="277" t="s">
        <v>583</v>
      </c>
      <c r="G710" s="277"/>
      <c r="H710" s="277"/>
      <c r="I710" s="311" t="s">
        <v>274</v>
      </c>
      <c r="J710" s="309"/>
      <c r="K710" s="278" t="s">
        <v>31</v>
      </c>
      <c r="L7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0" s="279" t="s">
        <v>383</v>
      </c>
      <c r="N710" s="279">
        <v>50</v>
      </c>
      <c r="O710" s="276">
        <v>0.32</v>
      </c>
      <c r="P710" s="280">
        <f>IFERROR(_xlfn.LET(_xlpm.boxType, K710, _xlpm.tallos, N710, _xlpm.cost, O710, _xlpm.precio, Q710,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10" s="296">
        <v>1.49</v>
      </c>
      <c r="R710" s="276" t="s">
        <v>283</v>
      </c>
      <c r="S7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0" s="276">
        <v>0.32</v>
      </c>
      <c r="U71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10" s="274">
        <v>0.85</v>
      </c>
    </row>
    <row r="711" spans="1:22" x14ac:dyDescent="0.25">
      <c r="A711" s="277" t="s">
        <v>85</v>
      </c>
      <c r="B711" s="278">
        <f>_xlfn.XLOOKUP(Catalogo[[#This Row],[Finca]], Fincas[Nombre], Fincas[ID])</f>
        <v>38</v>
      </c>
      <c r="C711" s="277" t="s">
        <v>646</v>
      </c>
      <c r="D711" s="277" t="s">
        <v>853</v>
      </c>
      <c r="E711" s="277"/>
      <c r="F711" s="277" t="s">
        <v>583</v>
      </c>
      <c r="G711" s="277"/>
      <c r="H711" s="277"/>
      <c r="I711" s="311" t="s">
        <v>274</v>
      </c>
      <c r="J711" s="309"/>
      <c r="K711" s="278" t="s">
        <v>35</v>
      </c>
      <c r="L7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1" s="279" t="s">
        <v>385</v>
      </c>
      <c r="N711" s="279">
        <v>125</v>
      </c>
      <c r="O711" s="276">
        <v>0.32</v>
      </c>
      <c r="P711" s="280">
        <f>IFERROR(_xlfn.LET(_xlpm.boxType, K711, _xlpm.tallos, N711, _xlpm.cost, O711, _xlpm.precio, Q711,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11" s="296">
        <v>1.39</v>
      </c>
      <c r="R711" s="276" t="s">
        <v>284</v>
      </c>
      <c r="S7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1" s="276">
        <v>0.32</v>
      </c>
      <c r="U71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11" s="274">
        <v>0.79</v>
      </c>
    </row>
    <row r="712" spans="1:22" ht="15.75" thickBot="1" x14ac:dyDescent="0.3">
      <c r="A712" s="277" t="s">
        <v>85</v>
      </c>
      <c r="B712" s="278">
        <f>_xlfn.XLOOKUP(Catalogo[[#This Row],[Finca]], Fincas[Nombre], Fincas[ID])</f>
        <v>38</v>
      </c>
      <c r="C712" s="277" t="s">
        <v>646</v>
      </c>
      <c r="D712" s="277" t="s">
        <v>853</v>
      </c>
      <c r="E712" s="277"/>
      <c r="F712" s="277" t="s">
        <v>583</v>
      </c>
      <c r="G712" s="277"/>
      <c r="H712" s="277"/>
      <c r="I712" s="311" t="s">
        <v>274</v>
      </c>
      <c r="J712" s="309"/>
      <c r="K712" s="278" t="s">
        <v>93</v>
      </c>
      <c r="L71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2" s="279" t="s">
        <v>387</v>
      </c>
      <c r="N712" s="279">
        <v>250</v>
      </c>
      <c r="O712" s="276">
        <v>0.32</v>
      </c>
      <c r="P712" s="280">
        <f>IFERROR(_xlfn.LET(_xlpm.boxType, K712, _xlpm.tallos, N712, _xlpm.cost, O712, _xlpm.precio, Q712,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12" s="296">
        <v>1.39</v>
      </c>
      <c r="R712" s="276" t="s">
        <v>285</v>
      </c>
      <c r="S71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2" s="276">
        <v>0.32</v>
      </c>
      <c r="U71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12" s="274">
        <v>0.79</v>
      </c>
    </row>
    <row r="713" spans="1:22" x14ac:dyDescent="0.25">
      <c r="A713" s="281" t="s">
        <v>85</v>
      </c>
      <c r="B713" s="282">
        <f>_xlfn.XLOOKUP(Catalogo[[#This Row],[Finca]], Fincas[Nombre], Fincas[ID])</f>
        <v>38</v>
      </c>
      <c r="C713" s="281" t="s">
        <v>646</v>
      </c>
      <c r="D713" s="281" t="s">
        <v>853</v>
      </c>
      <c r="E713" s="281"/>
      <c r="F713" s="281" t="s">
        <v>583</v>
      </c>
      <c r="G713" s="281"/>
      <c r="H713" s="281"/>
      <c r="I713" s="316" t="s">
        <v>275</v>
      </c>
      <c r="J713" s="308"/>
      <c r="K713" s="282" t="s">
        <v>31</v>
      </c>
      <c r="L71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3" s="283" t="s">
        <v>383</v>
      </c>
      <c r="N713" s="283">
        <v>50</v>
      </c>
      <c r="O713" s="285">
        <v>0.36</v>
      </c>
      <c r="P713" s="284">
        <f>IFERROR(_xlfn.LET(_xlpm.boxType, K713, _xlpm.tallos, N713, _xlpm.cost, O713, _xlpm.precio, Q713,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13" s="295">
        <v>1.59</v>
      </c>
      <c r="R713" s="285" t="s">
        <v>283</v>
      </c>
      <c r="S71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3" s="285">
        <v>0.36</v>
      </c>
      <c r="U71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13" s="287">
        <v>0.99</v>
      </c>
    </row>
    <row r="714" spans="1:22" x14ac:dyDescent="0.25">
      <c r="A714" s="277" t="s">
        <v>85</v>
      </c>
      <c r="B714" s="278">
        <f>_xlfn.XLOOKUP(Catalogo[[#This Row],[Finca]], Fincas[Nombre], Fincas[ID])</f>
        <v>38</v>
      </c>
      <c r="C714" s="277" t="s">
        <v>646</v>
      </c>
      <c r="D714" s="277" t="s">
        <v>853</v>
      </c>
      <c r="E714" s="277"/>
      <c r="F714" s="277" t="s">
        <v>583</v>
      </c>
      <c r="G714" s="277"/>
      <c r="H714" s="277"/>
      <c r="I714" s="311" t="s">
        <v>275</v>
      </c>
      <c r="J714" s="309"/>
      <c r="K714" s="278" t="s">
        <v>35</v>
      </c>
      <c r="L71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4" s="279" t="s">
        <v>385</v>
      </c>
      <c r="N714" s="279">
        <v>100</v>
      </c>
      <c r="O714" s="276">
        <v>0.36</v>
      </c>
      <c r="P714" s="280">
        <f>IFERROR(_xlfn.LET(_xlpm.boxType, K714, _xlpm.tallos, N714, _xlpm.cost, O714, _xlpm.precio, Q714,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14" s="296">
        <v>1.59</v>
      </c>
      <c r="R714" s="276" t="s">
        <v>284</v>
      </c>
      <c r="S71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4" s="276">
        <v>0.36</v>
      </c>
      <c r="U71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14" s="274">
        <v>0.89</v>
      </c>
    </row>
    <row r="715" spans="1:22" ht="15.75" thickBot="1" x14ac:dyDescent="0.3">
      <c r="A715" s="288" t="s">
        <v>85</v>
      </c>
      <c r="B715" s="289">
        <f>_xlfn.XLOOKUP(Catalogo[[#This Row],[Finca]], Fincas[Nombre], Fincas[ID])</f>
        <v>38</v>
      </c>
      <c r="C715" s="288" t="s">
        <v>646</v>
      </c>
      <c r="D715" s="288" t="s">
        <v>853</v>
      </c>
      <c r="E715" s="288"/>
      <c r="F715" s="288" t="s">
        <v>583</v>
      </c>
      <c r="G715" s="288"/>
      <c r="H715" s="288"/>
      <c r="I715" s="317" t="s">
        <v>275</v>
      </c>
      <c r="J715" s="310"/>
      <c r="K715" s="289" t="s">
        <v>93</v>
      </c>
      <c r="L71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5" s="290" t="s">
        <v>387</v>
      </c>
      <c r="N715" s="290">
        <v>200</v>
      </c>
      <c r="O715" s="292">
        <v>0.36</v>
      </c>
      <c r="P715" s="291">
        <f>IFERROR(_xlfn.LET(_xlpm.boxType, K715, _xlpm.tallos, N715, _xlpm.cost, O715, _xlpm.precio, Q715,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15" s="297">
        <v>1.59</v>
      </c>
      <c r="R715" s="292" t="s">
        <v>285</v>
      </c>
      <c r="S71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5" s="292">
        <v>0.36</v>
      </c>
      <c r="U71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15" s="294">
        <v>0.89</v>
      </c>
    </row>
    <row r="716" spans="1:22" x14ac:dyDescent="0.25">
      <c r="A716" s="281" t="s">
        <v>85</v>
      </c>
      <c r="B716" s="282">
        <f>_xlfn.XLOOKUP(Catalogo[[#This Row],[Finca]], Fincas[Nombre], Fincas[ID])</f>
        <v>38</v>
      </c>
      <c r="C716" s="281" t="s">
        <v>646</v>
      </c>
      <c r="D716" s="281" t="s">
        <v>854</v>
      </c>
      <c r="E716" s="281"/>
      <c r="F716" s="281"/>
      <c r="G716" s="281"/>
      <c r="H716" s="281"/>
      <c r="I716" s="316" t="s">
        <v>273</v>
      </c>
      <c r="J716" s="308"/>
      <c r="K716" s="282" t="s">
        <v>31</v>
      </c>
      <c r="L71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6" s="283" t="s">
        <v>383</v>
      </c>
      <c r="N716" s="283">
        <v>50</v>
      </c>
      <c r="O716" s="285">
        <v>0.24</v>
      </c>
      <c r="P716" s="284">
        <f>IFERROR(_xlfn.LET(_xlpm.boxType, K716, _xlpm.tallos, N716, _xlpm.cost, O716, _xlpm.precio, Q716,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16" s="295">
        <v>1.29</v>
      </c>
      <c r="R716" s="285" t="s">
        <v>283</v>
      </c>
      <c r="S71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6" s="285">
        <v>0.24</v>
      </c>
      <c r="U71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16" s="287">
        <v>0.75</v>
      </c>
    </row>
    <row r="717" spans="1:22" x14ac:dyDescent="0.25">
      <c r="A717" s="277" t="s">
        <v>85</v>
      </c>
      <c r="B717" s="278">
        <f>_xlfn.XLOOKUP(Catalogo[[#This Row],[Finca]], Fincas[Nombre], Fincas[ID])</f>
        <v>38</v>
      </c>
      <c r="C717" s="277" t="s">
        <v>646</v>
      </c>
      <c r="D717" s="277" t="s">
        <v>854</v>
      </c>
      <c r="E717" s="277"/>
      <c r="F717" s="277"/>
      <c r="G717" s="277"/>
      <c r="H717" s="277"/>
      <c r="I717" s="311" t="s">
        <v>273</v>
      </c>
      <c r="J717" s="309"/>
      <c r="K717" s="278" t="s">
        <v>35</v>
      </c>
      <c r="L71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7" s="279" t="s">
        <v>385</v>
      </c>
      <c r="N717" s="279">
        <v>150</v>
      </c>
      <c r="O717" s="276">
        <v>0.24</v>
      </c>
      <c r="P717" s="280">
        <f>IFERROR(_xlfn.LET(_xlpm.boxType, K717, _xlpm.tallos, N717, _xlpm.cost, O717, _xlpm.precio, Q717,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17" s="296">
        <v>1.19</v>
      </c>
      <c r="R717" s="276" t="s">
        <v>284</v>
      </c>
      <c r="S71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7" s="276">
        <v>0.24</v>
      </c>
      <c r="U71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17" s="274">
        <v>0.69</v>
      </c>
    </row>
    <row r="718" spans="1:22" ht="15.75" thickBot="1" x14ac:dyDescent="0.3">
      <c r="A718" s="288" t="s">
        <v>85</v>
      </c>
      <c r="B718" s="289">
        <f>_xlfn.XLOOKUP(Catalogo[[#This Row],[Finca]], Fincas[Nombre], Fincas[ID])</f>
        <v>38</v>
      </c>
      <c r="C718" s="288" t="s">
        <v>646</v>
      </c>
      <c r="D718" s="288" t="s">
        <v>854</v>
      </c>
      <c r="E718" s="288"/>
      <c r="F718" s="288"/>
      <c r="G718" s="288"/>
      <c r="H718" s="288"/>
      <c r="I718" s="317" t="s">
        <v>273</v>
      </c>
      <c r="J718" s="310"/>
      <c r="K718" s="289" t="s">
        <v>93</v>
      </c>
      <c r="L71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8" s="290" t="s">
        <v>387</v>
      </c>
      <c r="N718" s="290">
        <v>300</v>
      </c>
      <c r="O718" s="292">
        <v>0.24</v>
      </c>
      <c r="P718" s="291">
        <f>IFERROR(_xlfn.LET(_xlpm.boxType, K718, _xlpm.tallos, N718, _xlpm.cost, O718, _xlpm.precio, Q718,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18" s="297">
        <v>1.19</v>
      </c>
      <c r="R718" s="292" t="s">
        <v>285</v>
      </c>
      <c r="S71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8" s="292">
        <v>0.24</v>
      </c>
      <c r="U71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18" s="294">
        <v>0.69</v>
      </c>
    </row>
    <row r="719" spans="1:22" x14ac:dyDescent="0.25">
      <c r="A719" s="277" t="s">
        <v>85</v>
      </c>
      <c r="B719" s="278">
        <f>_xlfn.XLOOKUP(Catalogo[[#This Row],[Finca]], Fincas[Nombre], Fincas[ID])</f>
        <v>38</v>
      </c>
      <c r="C719" s="277" t="s">
        <v>646</v>
      </c>
      <c r="D719" s="277" t="s">
        <v>854</v>
      </c>
      <c r="E719" s="277"/>
      <c r="F719" s="277"/>
      <c r="G719" s="277"/>
      <c r="H719" s="277"/>
      <c r="I719" s="311" t="s">
        <v>274</v>
      </c>
      <c r="J719" s="309"/>
      <c r="K719" s="278" t="s">
        <v>31</v>
      </c>
      <c r="L7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19" s="279" t="s">
        <v>383</v>
      </c>
      <c r="N719" s="279">
        <v>50</v>
      </c>
      <c r="O719" s="276">
        <v>0.32</v>
      </c>
      <c r="P719" s="280">
        <f>IFERROR(_xlfn.LET(_xlpm.boxType, K719, _xlpm.tallos, N719, _xlpm.cost, O719, _xlpm.precio, Q719,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19" s="296">
        <v>1.49</v>
      </c>
      <c r="R719" s="276" t="s">
        <v>283</v>
      </c>
      <c r="S7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19" s="276">
        <v>0.32</v>
      </c>
      <c r="U71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19" s="274">
        <v>0.85</v>
      </c>
    </row>
    <row r="720" spans="1:22" x14ac:dyDescent="0.25">
      <c r="A720" s="277" t="s">
        <v>85</v>
      </c>
      <c r="B720" s="278">
        <f>_xlfn.XLOOKUP(Catalogo[[#This Row],[Finca]], Fincas[Nombre], Fincas[ID])</f>
        <v>38</v>
      </c>
      <c r="C720" s="277" t="s">
        <v>646</v>
      </c>
      <c r="D720" s="277" t="s">
        <v>854</v>
      </c>
      <c r="E720" s="277"/>
      <c r="F720" s="277"/>
      <c r="G720" s="277"/>
      <c r="H720" s="277"/>
      <c r="I720" s="311" t="s">
        <v>274</v>
      </c>
      <c r="J720" s="309"/>
      <c r="K720" s="278" t="s">
        <v>35</v>
      </c>
      <c r="L7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0" s="279" t="s">
        <v>385</v>
      </c>
      <c r="N720" s="279">
        <v>125</v>
      </c>
      <c r="O720" s="276">
        <v>0.32</v>
      </c>
      <c r="P720" s="280">
        <f>IFERROR(_xlfn.LET(_xlpm.boxType, K720, _xlpm.tallos, N720, _xlpm.cost, O720, _xlpm.precio, Q720,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20" s="296">
        <v>1.39</v>
      </c>
      <c r="R720" s="276" t="s">
        <v>284</v>
      </c>
      <c r="S7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0" s="276">
        <v>0.32</v>
      </c>
      <c r="U72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20" s="274">
        <v>0.79</v>
      </c>
    </row>
    <row r="721" spans="1:22" ht="15.75" thickBot="1" x14ac:dyDescent="0.3">
      <c r="A721" s="277" t="s">
        <v>85</v>
      </c>
      <c r="B721" s="278">
        <f>_xlfn.XLOOKUP(Catalogo[[#This Row],[Finca]], Fincas[Nombre], Fincas[ID])</f>
        <v>38</v>
      </c>
      <c r="C721" s="277" t="s">
        <v>646</v>
      </c>
      <c r="D721" s="277" t="s">
        <v>854</v>
      </c>
      <c r="E721" s="277"/>
      <c r="F721" s="277"/>
      <c r="G721" s="277"/>
      <c r="H721" s="277"/>
      <c r="I721" s="311" t="s">
        <v>274</v>
      </c>
      <c r="J721" s="309"/>
      <c r="K721" s="278" t="s">
        <v>93</v>
      </c>
      <c r="L72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1" s="279" t="s">
        <v>387</v>
      </c>
      <c r="N721" s="279">
        <v>250</v>
      </c>
      <c r="O721" s="276">
        <v>0.32</v>
      </c>
      <c r="P721" s="280">
        <f>IFERROR(_xlfn.LET(_xlpm.boxType, K721, _xlpm.tallos, N721, _xlpm.cost, O721, _xlpm.precio, Q721,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21" s="296">
        <v>1.39</v>
      </c>
      <c r="R721" s="276" t="s">
        <v>285</v>
      </c>
      <c r="S72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1" s="276">
        <v>0.32</v>
      </c>
      <c r="U72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21" s="274">
        <v>0.79</v>
      </c>
    </row>
    <row r="722" spans="1:22" x14ac:dyDescent="0.25">
      <c r="A722" s="281" t="s">
        <v>85</v>
      </c>
      <c r="B722" s="282">
        <f>_xlfn.XLOOKUP(Catalogo[[#This Row],[Finca]], Fincas[Nombre], Fincas[ID])</f>
        <v>38</v>
      </c>
      <c r="C722" s="281" t="s">
        <v>646</v>
      </c>
      <c r="D722" s="281" t="s">
        <v>854</v>
      </c>
      <c r="E722" s="281"/>
      <c r="F722" s="281"/>
      <c r="G722" s="281"/>
      <c r="H722" s="281"/>
      <c r="I722" s="316" t="s">
        <v>275</v>
      </c>
      <c r="J722" s="308"/>
      <c r="K722" s="282" t="s">
        <v>31</v>
      </c>
      <c r="L72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2" s="283" t="s">
        <v>383</v>
      </c>
      <c r="N722" s="283">
        <v>50</v>
      </c>
      <c r="O722" s="285">
        <v>0.36</v>
      </c>
      <c r="P722" s="284">
        <f>IFERROR(_xlfn.LET(_xlpm.boxType, K722, _xlpm.tallos, N722, _xlpm.cost, O722, _xlpm.precio, Q722,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22" s="295">
        <v>1.59</v>
      </c>
      <c r="R722" s="285" t="s">
        <v>283</v>
      </c>
      <c r="S72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2" s="285">
        <v>0.36</v>
      </c>
      <c r="U72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22" s="287">
        <v>0.99</v>
      </c>
    </row>
    <row r="723" spans="1:22" x14ac:dyDescent="0.25">
      <c r="A723" s="277" t="s">
        <v>85</v>
      </c>
      <c r="B723" s="278">
        <f>_xlfn.XLOOKUP(Catalogo[[#This Row],[Finca]], Fincas[Nombre], Fincas[ID])</f>
        <v>38</v>
      </c>
      <c r="C723" s="277" t="s">
        <v>646</v>
      </c>
      <c r="D723" s="277" t="s">
        <v>854</v>
      </c>
      <c r="E723" s="277"/>
      <c r="F723" s="277"/>
      <c r="G723" s="277"/>
      <c r="H723" s="277"/>
      <c r="I723" s="311" t="s">
        <v>275</v>
      </c>
      <c r="J723" s="309"/>
      <c r="K723" s="278" t="s">
        <v>35</v>
      </c>
      <c r="L72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3" s="279" t="s">
        <v>385</v>
      </c>
      <c r="N723" s="279">
        <v>100</v>
      </c>
      <c r="O723" s="276">
        <v>0.36</v>
      </c>
      <c r="P723" s="280">
        <f>IFERROR(_xlfn.LET(_xlpm.boxType, K723, _xlpm.tallos, N723, _xlpm.cost, O723, _xlpm.precio, Q723,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23" s="296">
        <v>1.59</v>
      </c>
      <c r="R723" s="276" t="s">
        <v>284</v>
      </c>
      <c r="S72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3" s="276">
        <v>0.36</v>
      </c>
      <c r="U72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23" s="274">
        <v>0.89</v>
      </c>
    </row>
    <row r="724" spans="1:22" ht="15.75" thickBot="1" x14ac:dyDescent="0.3">
      <c r="A724" s="288" t="s">
        <v>85</v>
      </c>
      <c r="B724" s="289">
        <f>_xlfn.XLOOKUP(Catalogo[[#This Row],[Finca]], Fincas[Nombre], Fincas[ID])</f>
        <v>38</v>
      </c>
      <c r="C724" s="288" t="s">
        <v>646</v>
      </c>
      <c r="D724" s="288" t="s">
        <v>854</v>
      </c>
      <c r="E724" s="288"/>
      <c r="F724" s="288"/>
      <c r="G724" s="288"/>
      <c r="H724" s="288"/>
      <c r="I724" s="317" t="s">
        <v>275</v>
      </c>
      <c r="J724" s="310"/>
      <c r="K724" s="289" t="s">
        <v>93</v>
      </c>
      <c r="L72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4" s="290" t="s">
        <v>387</v>
      </c>
      <c r="N724" s="290">
        <v>200</v>
      </c>
      <c r="O724" s="292">
        <v>0.36</v>
      </c>
      <c r="P724" s="291">
        <f>IFERROR(_xlfn.LET(_xlpm.boxType, K724, _xlpm.tallos, N724, _xlpm.cost, O724, _xlpm.precio, Q724,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24" s="297">
        <v>1.59</v>
      </c>
      <c r="R724" s="292" t="s">
        <v>285</v>
      </c>
      <c r="S72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4" s="292">
        <v>0.36</v>
      </c>
      <c r="U72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24" s="294">
        <v>0.89</v>
      </c>
    </row>
    <row r="725" spans="1:22" x14ac:dyDescent="0.25">
      <c r="A725" s="281" t="s">
        <v>85</v>
      </c>
      <c r="B725" s="282">
        <f>_xlfn.XLOOKUP(Catalogo[[#This Row],[Finca]], Fincas[Nombre], Fincas[ID])</f>
        <v>38</v>
      </c>
      <c r="C725" s="281" t="s">
        <v>646</v>
      </c>
      <c r="D725" s="281" t="s">
        <v>855</v>
      </c>
      <c r="E725" s="281"/>
      <c r="F725" s="281"/>
      <c r="G725" s="281"/>
      <c r="H725" s="281"/>
      <c r="I725" s="316" t="s">
        <v>273</v>
      </c>
      <c r="J725" s="308"/>
      <c r="K725" s="282" t="s">
        <v>31</v>
      </c>
      <c r="L72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5" s="283" t="s">
        <v>383</v>
      </c>
      <c r="N725" s="283">
        <v>50</v>
      </c>
      <c r="O725" s="285">
        <v>0.24</v>
      </c>
      <c r="P725" s="284">
        <f>IFERROR(_xlfn.LET(_xlpm.boxType, K725, _xlpm.tallos, N725, _xlpm.cost, O725, _xlpm.precio, Q725,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25" s="295">
        <v>1.29</v>
      </c>
      <c r="R725" s="285" t="s">
        <v>283</v>
      </c>
      <c r="S72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5" s="285">
        <v>0.24</v>
      </c>
      <c r="U72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25" s="287">
        <v>0.75</v>
      </c>
    </row>
    <row r="726" spans="1:22" x14ac:dyDescent="0.25">
      <c r="A726" s="277" t="s">
        <v>85</v>
      </c>
      <c r="B726" s="278">
        <f>_xlfn.XLOOKUP(Catalogo[[#This Row],[Finca]], Fincas[Nombre], Fincas[ID])</f>
        <v>38</v>
      </c>
      <c r="C726" s="277" t="s">
        <v>646</v>
      </c>
      <c r="D726" s="277" t="s">
        <v>855</v>
      </c>
      <c r="E726" s="277"/>
      <c r="F726" s="277"/>
      <c r="G726" s="277"/>
      <c r="H726" s="277"/>
      <c r="I726" s="311" t="s">
        <v>273</v>
      </c>
      <c r="J726" s="309"/>
      <c r="K726" s="278" t="s">
        <v>35</v>
      </c>
      <c r="L72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6" s="279" t="s">
        <v>385</v>
      </c>
      <c r="N726" s="279">
        <v>150</v>
      </c>
      <c r="O726" s="276">
        <v>0.24</v>
      </c>
      <c r="P726" s="280">
        <f>IFERROR(_xlfn.LET(_xlpm.boxType, K726, _xlpm.tallos, N726, _xlpm.cost, O726, _xlpm.precio, Q726,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26" s="296">
        <v>1.19</v>
      </c>
      <c r="R726" s="276" t="s">
        <v>284</v>
      </c>
      <c r="S72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6" s="276">
        <v>0.24</v>
      </c>
      <c r="U72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26" s="274">
        <v>0.69</v>
      </c>
    </row>
    <row r="727" spans="1:22" ht="15.75" thickBot="1" x14ac:dyDescent="0.3">
      <c r="A727" s="288" t="s">
        <v>85</v>
      </c>
      <c r="B727" s="289">
        <f>_xlfn.XLOOKUP(Catalogo[[#This Row],[Finca]], Fincas[Nombre], Fincas[ID])</f>
        <v>38</v>
      </c>
      <c r="C727" s="288" t="s">
        <v>646</v>
      </c>
      <c r="D727" s="288" t="s">
        <v>855</v>
      </c>
      <c r="E727" s="288"/>
      <c r="F727" s="288"/>
      <c r="G727" s="288"/>
      <c r="H727" s="288"/>
      <c r="I727" s="317" t="s">
        <v>273</v>
      </c>
      <c r="J727" s="310"/>
      <c r="K727" s="289" t="s">
        <v>93</v>
      </c>
      <c r="L72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7" s="290" t="s">
        <v>387</v>
      </c>
      <c r="N727" s="290">
        <v>300</v>
      </c>
      <c r="O727" s="292">
        <v>0.24</v>
      </c>
      <c r="P727" s="291">
        <f>IFERROR(_xlfn.LET(_xlpm.boxType, K727, _xlpm.tallos, N727, _xlpm.cost, O727, _xlpm.precio, Q727,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27" s="297">
        <v>1.19</v>
      </c>
      <c r="R727" s="292" t="s">
        <v>285</v>
      </c>
      <c r="S72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7" s="292">
        <v>0.24</v>
      </c>
      <c r="U72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27" s="294">
        <v>0.69</v>
      </c>
    </row>
    <row r="728" spans="1:22" x14ac:dyDescent="0.25">
      <c r="A728" s="277" t="s">
        <v>85</v>
      </c>
      <c r="B728" s="278">
        <f>_xlfn.XLOOKUP(Catalogo[[#This Row],[Finca]], Fincas[Nombre], Fincas[ID])</f>
        <v>38</v>
      </c>
      <c r="C728" s="277" t="s">
        <v>646</v>
      </c>
      <c r="D728" s="277" t="s">
        <v>855</v>
      </c>
      <c r="E728" s="277"/>
      <c r="F728" s="277"/>
      <c r="G728" s="277"/>
      <c r="H728" s="277"/>
      <c r="I728" s="311" t="s">
        <v>274</v>
      </c>
      <c r="J728" s="309"/>
      <c r="K728" s="278" t="s">
        <v>31</v>
      </c>
      <c r="L72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8" s="279" t="s">
        <v>383</v>
      </c>
      <c r="N728" s="279">
        <v>50</v>
      </c>
      <c r="O728" s="276">
        <v>0.32</v>
      </c>
      <c r="P728" s="280">
        <f>IFERROR(_xlfn.LET(_xlpm.boxType, K728, _xlpm.tallos, N728, _xlpm.cost, O728, _xlpm.precio, Q728,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28" s="296">
        <v>1.49</v>
      </c>
      <c r="R728" s="276" t="s">
        <v>283</v>
      </c>
      <c r="S72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8" s="276">
        <v>0.32</v>
      </c>
      <c r="U72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28" s="274">
        <v>0.85</v>
      </c>
    </row>
    <row r="729" spans="1:22" x14ac:dyDescent="0.25">
      <c r="A729" s="277" t="s">
        <v>85</v>
      </c>
      <c r="B729" s="278">
        <f>_xlfn.XLOOKUP(Catalogo[[#This Row],[Finca]], Fincas[Nombre], Fincas[ID])</f>
        <v>38</v>
      </c>
      <c r="C729" s="277" t="s">
        <v>646</v>
      </c>
      <c r="D729" s="277" t="s">
        <v>855</v>
      </c>
      <c r="E729" s="277"/>
      <c r="F729" s="277"/>
      <c r="G729" s="277"/>
      <c r="H729" s="277"/>
      <c r="I729" s="311" t="s">
        <v>274</v>
      </c>
      <c r="J729" s="309"/>
      <c r="K729" s="278" t="s">
        <v>35</v>
      </c>
      <c r="L7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29" s="279" t="s">
        <v>385</v>
      </c>
      <c r="N729" s="279">
        <v>125</v>
      </c>
      <c r="O729" s="276">
        <v>0.32</v>
      </c>
      <c r="P729" s="280">
        <f>IFERROR(_xlfn.LET(_xlpm.boxType, K729, _xlpm.tallos, N729, _xlpm.cost, O729, _xlpm.precio, Q729,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29" s="296">
        <v>1.39</v>
      </c>
      <c r="R729" s="276" t="s">
        <v>284</v>
      </c>
      <c r="S7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29" s="276">
        <v>0.32</v>
      </c>
      <c r="U72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29" s="274">
        <v>0.79</v>
      </c>
    </row>
    <row r="730" spans="1:22" ht="15.75" thickBot="1" x14ac:dyDescent="0.3">
      <c r="A730" s="277" t="s">
        <v>85</v>
      </c>
      <c r="B730" s="278">
        <f>_xlfn.XLOOKUP(Catalogo[[#This Row],[Finca]], Fincas[Nombre], Fincas[ID])</f>
        <v>38</v>
      </c>
      <c r="C730" s="277" t="s">
        <v>646</v>
      </c>
      <c r="D730" s="277" t="s">
        <v>855</v>
      </c>
      <c r="E730" s="277"/>
      <c r="F730" s="277"/>
      <c r="G730" s="277"/>
      <c r="H730" s="277"/>
      <c r="I730" s="311" t="s">
        <v>274</v>
      </c>
      <c r="J730" s="309"/>
      <c r="K730" s="278" t="s">
        <v>93</v>
      </c>
      <c r="L7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0" s="279" t="s">
        <v>387</v>
      </c>
      <c r="N730" s="279">
        <v>250</v>
      </c>
      <c r="O730" s="276">
        <v>0.32</v>
      </c>
      <c r="P730" s="280">
        <f>IFERROR(_xlfn.LET(_xlpm.boxType, K730, _xlpm.tallos, N730, _xlpm.cost, O730, _xlpm.precio, Q730,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30" s="296">
        <v>1.39</v>
      </c>
      <c r="R730" s="276" t="s">
        <v>285</v>
      </c>
      <c r="S7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0" s="276">
        <v>0.32</v>
      </c>
      <c r="U73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30" s="274">
        <v>0.79</v>
      </c>
    </row>
    <row r="731" spans="1:22" x14ac:dyDescent="0.25">
      <c r="A731" s="281" t="s">
        <v>85</v>
      </c>
      <c r="B731" s="282">
        <f>_xlfn.XLOOKUP(Catalogo[[#This Row],[Finca]], Fincas[Nombre], Fincas[ID])</f>
        <v>38</v>
      </c>
      <c r="C731" s="281" t="s">
        <v>646</v>
      </c>
      <c r="D731" s="281" t="s">
        <v>855</v>
      </c>
      <c r="E731" s="281"/>
      <c r="F731" s="281"/>
      <c r="G731" s="281"/>
      <c r="H731" s="281"/>
      <c r="I731" s="316" t="s">
        <v>275</v>
      </c>
      <c r="J731" s="308"/>
      <c r="K731" s="282" t="s">
        <v>31</v>
      </c>
      <c r="L73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1" s="283" t="s">
        <v>383</v>
      </c>
      <c r="N731" s="283">
        <v>50</v>
      </c>
      <c r="O731" s="285">
        <v>0.36</v>
      </c>
      <c r="P731" s="284">
        <f>IFERROR(_xlfn.LET(_xlpm.boxType, K731, _xlpm.tallos, N731, _xlpm.cost, O731, _xlpm.precio, Q731,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31" s="295">
        <v>1.59</v>
      </c>
      <c r="R731" s="285" t="s">
        <v>283</v>
      </c>
      <c r="S73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1" s="285">
        <v>0.36</v>
      </c>
      <c r="U73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31" s="287">
        <v>0.99</v>
      </c>
    </row>
    <row r="732" spans="1:22" x14ac:dyDescent="0.25">
      <c r="A732" s="277" t="s">
        <v>85</v>
      </c>
      <c r="B732" s="278">
        <f>_xlfn.XLOOKUP(Catalogo[[#This Row],[Finca]], Fincas[Nombre], Fincas[ID])</f>
        <v>38</v>
      </c>
      <c r="C732" s="277" t="s">
        <v>646</v>
      </c>
      <c r="D732" s="277" t="s">
        <v>855</v>
      </c>
      <c r="E732" s="277"/>
      <c r="F732" s="277"/>
      <c r="G732" s="277"/>
      <c r="H732" s="277"/>
      <c r="I732" s="311" t="s">
        <v>275</v>
      </c>
      <c r="J732" s="309"/>
      <c r="K732" s="278" t="s">
        <v>35</v>
      </c>
      <c r="L73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2" s="279" t="s">
        <v>385</v>
      </c>
      <c r="N732" s="279">
        <v>100</v>
      </c>
      <c r="O732" s="276">
        <v>0.36</v>
      </c>
      <c r="P732" s="280">
        <f>IFERROR(_xlfn.LET(_xlpm.boxType, K732, _xlpm.tallos, N732, _xlpm.cost, O732, _xlpm.precio, Q732,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32" s="296">
        <v>1.59</v>
      </c>
      <c r="R732" s="276" t="s">
        <v>284</v>
      </c>
      <c r="S73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2" s="276">
        <v>0.36</v>
      </c>
      <c r="U73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32" s="274">
        <v>0.89</v>
      </c>
    </row>
    <row r="733" spans="1:22" ht="15.75" thickBot="1" x14ac:dyDescent="0.3">
      <c r="A733" s="288" t="s">
        <v>85</v>
      </c>
      <c r="B733" s="289">
        <f>_xlfn.XLOOKUP(Catalogo[[#This Row],[Finca]], Fincas[Nombre], Fincas[ID])</f>
        <v>38</v>
      </c>
      <c r="C733" s="288" t="s">
        <v>646</v>
      </c>
      <c r="D733" s="288" t="s">
        <v>855</v>
      </c>
      <c r="E733" s="288"/>
      <c r="F733" s="288"/>
      <c r="G733" s="288"/>
      <c r="H733" s="288"/>
      <c r="I733" s="317" t="s">
        <v>275</v>
      </c>
      <c r="J733" s="310"/>
      <c r="K733" s="289" t="s">
        <v>93</v>
      </c>
      <c r="L73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3" s="290" t="s">
        <v>387</v>
      </c>
      <c r="N733" s="290">
        <v>200</v>
      </c>
      <c r="O733" s="292">
        <v>0.36</v>
      </c>
      <c r="P733" s="291">
        <f>IFERROR(_xlfn.LET(_xlpm.boxType, K733, _xlpm.tallos, N733, _xlpm.cost, O733, _xlpm.precio, Q733,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33" s="297">
        <v>1.59</v>
      </c>
      <c r="R733" s="292" t="s">
        <v>285</v>
      </c>
      <c r="S73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3" s="292">
        <v>0.36</v>
      </c>
      <c r="U73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33" s="294">
        <v>0.89</v>
      </c>
    </row>
    <row r="734" spans="1:22" x14ac:dyDescent="0.25">
      <c r="A734" s="281" t="s">
        <v>85</v>
      </c>
      <c r="B734" s="282">
        <f>_xlfn.XLOOKUP(Catalogo[[#This Row],[Finca]], Fincas[Nombre], Fincas[ID])</f>
        <v>38</v>
      </c>
      <c r="C734" s="281" t="s">
        <v>646</v>
      </c>
      <c r="D734" s="281" t="s">
        <v>856</v>
      </c>
      <c r="E734" s="281"/>
      <c r="F734" s="281"/>
      <c r="G734" s="281"/>
      <c r="H734" s="281"/>
      <c r="I734" s="316" t="s">
        <v>273</v>
      </c>
      <c r="J734" s="308"/>
      <c r="K734" s="282" t="s">
        <v>31</v>
      </c>
      <c r="L73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4" s="283" t="s">
        <v>383</v>
      </c>
      <c r="N734" s="283">
        <v>50</v>
      </c>
      <c r="O734" s="285">
        <v>0.24</v>
      </c>
      <c r="P734" s="284">
        <f>IFERROR(_xlfn.LET(_xlpm.boxType, K734, _xlpm.tallos, N734, _xlpm.cost, O734, _xlpm.precio, Q734,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34" s="295">
        <v>1.29</v>
      </c>
      <c r="R734" s="285" t="s">
        <v>283</v>
      </c>
      <c r="S73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4" s="285">
        <v>0.24</v>
      </c>
      <c r="U73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34" s="287">
        <v>0.75</v>
      </c>
    </row>
    <row r="735" spans="1:22" x14ac:dyDescent="0.25">
      <c r="A735" s="277" t="s">
        <v>85</v>
      </c>
      <c r="B735" s="278">
        <f>_xlfn.XLOOKUP(Catalogo[[#This Row],[Finca]], Fincas[Nombre], Fincas[ID])</f>
        <v>38</v>
      </c>
      <c r="C735" s="277" t="s">
        <v>646</v>
      </c>
      <c r="D735" s="277" t="s">
        <v>856</v>
      </c>
      <c r="E735" s="277"/>
      <c r="F735" s="277"/>
      <c r="G735" s="277"/>
      <c r="H735" s="277"/>
      <c r="I735" s="311" t="s">
        <v>273</v>
      </c>
      <c r="J735" s="309"/>
      <c r="K735" s="278" t="s">
        <v>35</v>
      </c>
      <c r="L73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5" s="279" t="s">
        <v>385</v>
      </c>
      <c r="N735" s="279">
        <v>150</v>
      </c>
      <c r="O735" s="276">
        <v>0.24</v>
      </c>
      <c r="P735" s="280">
        <f>IFERROR(_xlfn.LET(_xlpm.boxType, K735, _xlpm.tallos, N735, _xlpm.cost, O735, _xlpm.precio, Q735,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35" s="296">
        <v>1.19</v>
      </c>
      <c r="R735" s="276" t="s">
        <v>284</v>
      </c>
      <c r="S73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5" s="276">
        <v>0.24</v>
      </c>
      <c r="U73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35" s="274">
        <v>0.69</v>
      </c>
    </row>
    <row r="736" spans="1:22" ht="15.75" thickBot="1" x14ac:dyDescent="0.3">
      <c r="A736" s="288" t="s">
        <v>85</v>
      </c>
      <c r="B736" s="289">
        <f>_xlfn.XLOOKUP(Catalogo[[#This Row],[Finca]], Fincas[Nombre], Fincas[ID])</f>
        <v>38</v>
      </c>
      <c r="C736" s="288" t="s">
        <v>646</v>
      </c>
      <c r="D736" s="288" t="s">
        <v>856</v>
      </c>
      <c r="E736" s="288"/>
      <c r="F736" s="288"/>
      <c r="G736" s="288"/>
      <c r="H736" s="288"/>
      <c r="I736" s="317" t="s">
        <v>273</v>
      </c>
      <c r="J736" s="310"/>
      <c r="K736" s="289" t="s">
        <v>93</v>
      </c>
      <c r="L73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6" s="290" t="s">
        <v>387</v>
      </c>
      <c r="N736" s="290">
        <v>300</v>
      </c>
      <c r="O736" s="292">
        <v>0.24</v>
      </c>
      <c r="P736" s="291">
        <f>IFERROR(_xlfn.LET(_xlpm.boxType, K736, _xlpm.tallos, N736, _xlpm.cost, O736, _xlpm.precio, Q736,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36" s="297">
        <v>1.19</v>
      </c>
      <c r="R736" s="292" t="s">
        <v>285</v>
      </c>
      <c r="S73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6" s="292">
        <v>0.24</v>
      </c>
      <c r="U73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36" s="294">
        <v>0.69</v>
      </c>
    </row>
    <row r="737" spans="1:22" x14ac:dyDescent="0.25">
      <c r="A737" s="277" t="s">
        <v>85</v>
      </c>
      <c r="B737" s="278">
        <f>_xlfn.XLOOKUP(Catalogo[[#This Row],[Finca]], Fincas[Nombre], Fincas[ID])</f>
        <v>38</v>
      </c>
      <c r="C737" s="277" t="s">
        <v>646</v>
      </c>
      <c r="D737" s="277" t="s">
        <v>856</v>
      </c>
      <c r="E737" s="277"/>
      <c r="F737" s="277"/>
      <c r="G737" s="277"/>
      <c r="H737" s="277"/>
      <c r="I737" s="311" t="s">
        <v>274</v>
      </c>
      <c r="J737" s="309"/>
      <c r="K737" s="278" t="s">
        <v>31</v>
      </c>
      <c r="L73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7" s="279" t="s">
        <v>383</v>
      </c>
      <c r="N737" s="279">
        <v>50</v>
      </c>
      <c r="O737" s="276">
        <v>0.32</v>
      </c>
      <c r="P737" s="280">
        <f>IFERROR(_xlfn.LET(_xlpm.boxType, K737, _xlpm.tallos, N737, _xlpm.cost, O737, _xlpm.precio, Q737,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37" s="296">
        <v>1.49</v>
      </c>
      <c r="R737" s="276" t="s">
        <v>283</v>
      </c>
      <c r="S73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7" s="276">
        <v>0.32</v>
      </c>
      <c r="U73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37" s="274">
        <v>0.85</v>
      </c>
    </row>
    <row r="738" spans="1:22" x14ac:dyDescent="0.25">
      <c r="A738" s="277" t="s">
        <v>85</v>
      </c>
      <c r="B738" s="278">
        <f>_xlfn.XLOOKUP(Catalogo[[#This Row],[Finca]], Fincas[Nombre], Fincas[ID])</f>
        <v>38</v>
      </c>
      <c r="C738" s="277" t="s">
        <v>646</v>
      </c>
      <c r="D738" s="277" t="s">
        <v>856</v>
      </c>
      <c r="E738" s="277"/>
      <c r="F738" s="277"/>
      <c r="G738" s="277"/>
      <c r="H738" s="277"/>
      <c r="I738" s="311" t="s">
        <v>274</v>
      </c>
      <c r="J738" s="309"/>
      <c r="K738" s="278" t="s">
        <v>35</v>
      </c>
      <c r="L7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8" s="279" t="s">
        <v>385</v>
      </c>
      <c r="N738" s="279">
        <v>125</v>
      </c>
      <c r="O738" s="276">
        <v>0.32</v>
      </c>
      <c r="P738" s="280">
        <f>IFERROR(_xlfn.LET(_xlpm.boxType, K738, _xlpm.tallos, N738, _xlpm.cost, O738, _xlpm.precio, Q738,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38" s="296">
        <v>1.39</v>
      </c>
      <c r="R738" s="276" t="s">
        <v>284</v>
      </c>
      <c r="S7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8" s="276">
        <v>0.32</v>
      </c>
      <c r="U7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38" s="274">
        <v>0.79</v>
      </c>
    </row>
    <row r="739" spans="1:22" ht="15.75" thickBot="1" x14ac:dyDescent="0.3">
      <c r="A739" s="277" t="s">
        <v>85</v>
      </c>
      <c r="B739" s="278">
        <f>_xlfn.XLOOKUP(Catalogo[[#This Row],[Finca]], Fincas[Nombre], Fincas[ID])</f>
        <v>38</v>
      </c>
      <c r="C739" s="277" t="s">
        <v>646</v>
      </c>
      <c r="D739" s="277" t="s">
        <v>856</v>
      </c>
      <c r="E739" s="277"/>
      <c r="F739" s="277"/>
      <c r="G739" s="277"/>
      <c r="H739" s="277"/>
      <c r="I739" s="311" t="s">
        <v>274</v>
      </c>
      <c r="J739" s="309"/>
      <c r="K739" s="278" t="s">
        <v>93</v>
      </c>
      <c r="L7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39" s="279" t="s">
        <v>387</v>
      </c>
      <c r="N739" s="279">
        <v>250</v>
      </c>
      <c r="O739" s="276">
        <v>0.32</v>
      </c>
      <c r="P739" s="280">
        <f>IFERROR(_xlfn.LET(_xlpm.boxType, K739, _xlpm.tallos, N739, _xlpm.cost, O739, _xlpm.precio, Q739,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39" s="296">
        <v>1.39</v>
      </c>
      <c r="R739" s="276" t="s">
        <v>285</v>
      </c>
      <c r="S7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39" s="276">
        <v>0.32</v>
      </c>
      <c r="U73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39" s="274">
        <v>0.79</v>
      </c>
    </row>
    <row r="740" spans="1:22" x14ac:dyDescent="0.25">
      <c r="A740" s="281" t="s">
        <v>85</v>
      </c>
      <c r="B740" s="282">
        <f>_xlfn.XLOOKUP(Catalogo[[#This Row],[Finca]], Fincas[Nombre], Fincas[ID])</f>
        <v>38</v>
      </c>
      <c r="C740" s="281" t="s">
        <v>646</v>
      </c>
      <c r="D740" s="281" t="s">
        <v>856</v>
      </c>
      <c r="E740" s="281"/>
      <c r="F740" s="281"/>
      <c r="G740" s="281"/>
      <c r="H740" s="281"/>
      <c r="I740" s="316" t="s">
        <v>275</v>
      </c>
      <c r="J740" s="308"/>
      <c r="K740" s="282" t="s">
        <v>31</v>
      </c>
      <c r="L74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0" s="283" t="s">
        <v>383</v>
      </c>
      <c r="N740" s="283">
        <v>50</v>
      </c>
      <c r="O740" s="285">
        <v>0.36</v>
      </c>
      <c r="P740" s="284">
        <f>IFERROR(_xlfn.LET(_xlpm.boxType, K740, _xlpm.tallos, N740, _xlpm.cost, O740, _xlpm.precio, Q740,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40" s="295">
        <v>1.59</v>
      </c>
      <c r="R740" s="285" t="s">
        <v>283</v>
      </c>
      <c r="S74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0" s="285">
        <v>0.36</v>
      </c>
      <c r="U74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40" s="287">
        <v>0.99</v>
      </c>
    </row>
    <row r="741" spans="1:22" x14ac:dyDescent="0.25">
      <c r="A741" s="277" t="s">
        <v>85</v>
      </c>
      <c r="B741" s="278">
        <f>_xlfn.XLOOKUP(Catalogo[[#This Row],[Finca]], Fincas[Nombre], Fincas[ID])</f>
        <v>38</v>
      </c>
      <c r="C741" s="277" t="s">
        <v>646</v>
      </c>
      <c r="D741" s="277" t="s">
        <v>856</v>
      </c>
      <c r="E741" s="277"/>
      <c r="F741" s="277"/>
      <c r="G741" s="277"/>
      <c r="H741" s="277"/>
      <c r="I741" s="311" t="s">
        <v>275</v>
      </c>
      <c r="J741" s="309"/>
      <c r="K741" s="278" t="s">
        <v>35</v>
      </c>
      <c r="L74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1" s="279" t="s">
        <v>385</v>
      </c>
      <c r="N741" s="279">
        <v>100</v>
      </c>
      <c r="O741" s="276">
        <v>0.36</v>
      </c>
      <c r="P741" s="280">
        <f>IFERROR(_xlfn.LET(_xlpm.boxType, K741, _xlpm.tallos, N741, _xlpm.cost, O741, _xlpm.precio, Q741,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41" s="296">
        <v>1.59</v>
      </c>
      <c r="R741" s="276" t="s">
        <v>284</v>
      </c>
      <c r="S74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1" s="276">
        <v>0.36</v>
      </c>
      <c r="U74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41" s="274">
        <v>0.89</v>
      </c>
    </row>
    <row r="742" spans="1:22" ht="15.75" thickBot="1" x14ac:dyDescent="0.3">
      <c r="A742" s="288" t="s">
        <v>85</v>
      </c>
      <c r="B742" s="289">
        <f>_xlfn.XLOOKUP(Catalogo[[#This Row],[Finca]], Fincas[Nombre], Fincas[ID])</f>
        <v>38</v>
      </c>
      <c r="C742" s="288" t="s">
        <v>646</v>
      </c>
      <c r="D742" s="288" t="s">
        <v>856</v>
      </c>
      <c r="E742" s="288"/>
      <c r="F742" s="288"/>
      <c r="G742" s="288"/>
      <c r="H742" s="288"/>
      <c r="I742" s="317" t="s">
        <v>275</v>
      </c>
      <c r="J742" s="310"/>
      <c r="K742" s="289" t="s">
        <v>93</v>
      </c>
      <c r="L74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2" s="290" t="s">
        <v>387</v>
      </c>
      <c r="N742" s="290">
        <v>200</v>
      </c>
      <c r="O742" s="292">
        <v>0.36</v>
      </c>
      <c r="P742" s="291">
        <f>IFERROR(_xlfn.LET(_xlpm.boxType, K742, _xlpm.tallos, N742, _xlpm.cost, O742, _xlpm.precio, Q742,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42" s="297">
        <v>1.59</v>
      </c>
      <c r="R742" s="292" t="s">
        <v>285</v>
      </c>
      <c r="S74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2" s="292">
        <v>0.36</v>
      </c>
      <c r="U74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42" s="294">
        <v>0.89</v>
      </c>
    </row>
    <row r="743" spans="1:22" x14ac:dyDescent="0.25">
      <c r="A743" s="281" t="s">
        <v>85</v>
      </c>
      <c r="B743" s="282">
        <f>_xlfn.XLOOKUP(Catalogo[[#This Row],[Finca]], Fincas[Nombre], Fincas[ID])</f>
        <v>38</v>
      </c>
      <c r="C743" s="281" t="s">
        <v>646</v>
      </c>
      <c r="D743" s="281" t="s">
        <v>857</v>
      </c>
      <c r="E743" s="281"/>
      <c r="F743" s="281"/>
      <c r="G743" s="281"/>
      <c r="H743" s="281"/>
      <c r="I743" s="316" t="s">
        <v>273</v>
      </c>
      <c r="J743" s="308"/>
      <c r="K743" s="282" t="s">
        <v>31</v>
      </c>
      <c r="L74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3" s="283" t="s">
        <v>383</v>
      </c>
      <c r="N743" s="283">
        <v>50</v>
      </c>
      <c r="O743" s="285">
        <v>0.24</v>
      </c>
      <c r="P743" s="284">
        <f>IFERROR(_xlfn.LET(_xlpm.boxType, K743, _xlpm.tallos, N743, _xlpm.cost, O743, _xlpm.precio, Q743,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43" s="295">
        <v>1.29</v>
      </c>
      <c r="R743" s="285" t="s">
        <v>283</v>
      </c>
      <c r="S74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3" s="285">
        <v>0.24</v>
      </c>
      <c r="U74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43" s="287">
        <v>0.75</v>
      </c>
    </row>
    <row r="744" spans="1:22" x14ac:dyDescent="0.25">
      <c r="A744" s="277" t="s">
        <v>85</v>
      </c>
      <c r="B744" s="278">
        <f>_xlfn.XLOOKUP(Catalogo[[#This Row],[Finca]], Fincas[Nombre], Fincas[ID])</f>
        <v>38</v>
      </c>
      <c r="C744" s="277" t="s">
        <v>646</v>
      </c>
      <c r="D744" s="277" t="s">
        <v>857</v>
      </c>
      <c r="E744" s="277"/>
      <c r="F744" s="277"/>
      <c r="G744" s="277"/>
      <c r="H744" s="277"/>
      <c r="I744" s="311" t="s">
        <v>273</v>
      </c>
      <c r="J744" s="309"/>
      <c r="K744" s="278" t="s">
        <v>35</v>
      </c>
      <c r="L74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4" s="279" t="s">
        <v>385</v>
      </c>
      <c r="N744" s="279">
        <v>150</v>
      </c>
      <c r="O744" s="276">
        <v>0.24</v>
      </c>
      <c r="P744" s="280">
        <f>IFERROR(_xlfn.LET(_xlpm.boxType, K744, _xlpm.tallos, N744, _xlpm.cost, O744, _xlpm.precio, Q744,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44" s="296">
        <v>1.19</v>
      </c>
      <c r="R744" s="276" t="s">
        <v>284</v>
      </c>
      <c r="S74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4" s="276">
        <v>0.24</v>
      </c>
      <c r="U74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44" s="274">
        <v>0.69</v>
      </c>
    </row>
    <row r="745" spans="1:22" ht="15.75" thickBot="1" x14ac:dyDescent="0.3">
      <c r="A745" s="288" t="s">
        <v>85</v>
      </c>
      <c r="B745" s="289">
        <f>_xlfn.XLOOKUP(Catalogo[[#This Row],[Finca]], Fincas[Nombre], Fincas[ID])</f>
        <v>38</v>
      </c>
      <c r="C745" s="288" t="s">
        <v>646</v>
      </c>
      <c r="D745" s="288" t="s">
        <v>857</v>
      </c>
      <c r="E745" s="288"/>
      <c r="F745" s="288"/>
      <c r="G745" s="288"/>
      <c r="H745" s="288"/>
      <c r="I745" s="317" t="s">
        <v>273</v>
      </c>
      <c r="J745" s="310"/>
      <c r="K745" s="289" t="s">
        <v>93</v>
      </c>
      <c r="L74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5" s="290" t="s">
        <v>387</v>
      </c>
      <c r="N745" s="290">
        <v>300</v>
      </c>
      <c r="O745" s="292">
        <v>0.24</v>
      </c>
      <c r="P745" s="291">
        <f>IFERROR(_xlfn.LET(_xlpm.boxType, K745, _xlpm.tallos, N745, _xlpm.cost, O745, _xlpm.precio, Q745,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45" s="297">
        <v>1.19</v>
      </c>
      <c r="R745" s="292" t="s">
        <v>285</v>
      </c>
      <c r="S74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5" s="292">
        <v>0.24</v>
      </c>
      <c r="U74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45" s="294">
        <v>0.69</v>
      </c>
    </row>
    <row r="746" spans="1:22" x14ac:dyDescent="0.25">
      <c r="A746" s="277" t="s">
        <v>85</v>
      </c>
      <c r="B746" s="278">
        <f>_xlfn.XLOOKUP(Catalogo[[#This Row],[Finca]], Fincas[Nombre], Fincas[ID])</f>
        <v>38</v>
      </c>
      <c r="C746" s="277" t="s">
        <v>646</v>
      </c>
      <c r="D746" s="277" t="s">
        <v>857</v>
      </c>
      <c r="E746" s="277"/>
      <c r="F746" s="277"/>
      <c r="G746" s="277"/>
      <c r="H746" s="277"/>
      <c r="I746" s="311" t="s">
        <v>274</v>
      </c>
      <c r="J746" s="309"/>
      <c r="K746" s="278" t="s">
        <v>31</v>
      </c>
      <c r="L74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6" s="279" t="s">
        <v>383</v>
      </c>
      <c r="N746" s="279">
        <v>50</v>
      </c>
      <c r="O746" s="276">
        <v>0.32</v>
      </c>
      <c r="P746" s="280">
        <f>IFERROR(_xlfn.LET(_xlpm.boxType, K746, _xlpm.tallos, N746, _xlpm.cost, O746, _xlpm.precio, Q746,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46" s="296">
        <v>1.49</v>
      </c>
      <c r="R746" s="276" t="s">
        <v>283</v>
      </c>
      <c r="S74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6" s="276">
        <v>0.32</v>
      </c>
      <c r="U74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46" s="274">
        <v>0.85</v>
      </c>
    </row>
    <row r="747" spans="1:22" x14ac:dyDescent="0.25">
      <c r="A747" s="277" t="s">
        <v>85</v>
      </c>
      <c r="B747" s="278">
        <f>_xlfn.XLOOKUP(Catalogo[[#This Row],[Finca]], Fincas[Nombre], Fincas[ID])</f>
        <v>38</v>
      </c>
      <c r="C747" s="277" t="s">
        <v>646</v>
      </c>
      <c r="D747" s="277" t="s">
        <v>857</v>
      </c>
      <c r="E747" s="277"/>
      <c r="F747" s="277"/>
      <c r="G747" s="277"/>
      <c r="H747" s="277"/>
      <c r="I747" s="311" t="s">
        <v>274</v>
      </c>
      <c r="J747" s="309"/>
      <c r="K747" s="278" t="s">
        <v>35</v>
      </c>
      <c r="L7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7" s="279" t="s">
        <v>385</v>
      </c>
      <c r="N747" s="279">
        <v>125</v>
      </c>
      <c r="O747" s="276">
        <v>0.32</v>
      </c>
      <c r="P747" s="280">
        <f>IFERROR(_xlfn.LET(_xlpm.boxType, K747, _xlpm.tallos, N747, _xlpm.cost, O747, _xlpm.precio, Q747,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47" s="296">
        <v>1.39</v>
      </c>
      <c r="R747" s="276" t="s">
        <v>284</v>
      </c>
      <c r="S7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7" s="276">
        <v>0.32</v>
      </c>
      <c r="U7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47" s="274">
        <v>0.79</v>
      </c>
    </row>
    <row r="748" spans="1:22" ht="15.75" thickBot="1" x14ac:dyDescent="0.3">
      <c r="A748" s="277" t="s">
        <v>85</v>
      </c>
      <c r="B748" s="278">
        <f>_xlfn.XLOOKUP(Catalogo[[#This Row],[Finca]], Fincas[Nombre], Fincas[ID])</f>
        <v>38</v>
      </c>
      <c r="C748" s="277" t="s">
        <v>646</v>
      </c>
      <c r="D748" s="277" t="s">
        <v>857</v>
      </c>
      <c r="E748" s="277"/>
      <c r="F748" s="277"/>
      <c r="G748" s="277"/>
      <c r="H748" s="277"/>
      <c r="I748" s="311" t="s">
        <v>274</v>
      </c>
      <c r="J748" s="309"/>
      <c r="K748" s="278" t="s">
        <v>93</v>
      </c>
      <c r="L74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8" s="279" t="s">
        <v>387</v>
      </c>
      <c r="N748" s="279">
        <v>250</v>
      </c>
      <c r="O748" s="276">
        <v>0.32</v>
      </c>
      <c r="P748" s="280">
        <f>IFERROR(_xlfn.LET(_xlpm.boxType, K748, _xlpm.tallos, N748, _xlpm.cost, O748, _xlpm.precio, Q748,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48" s="296">
        <v>1.39</v>
      </c>
      <c r="R748" s="276" t="s">
        <v>285</v>
      </c>
      <c r="S74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8" s="276">
        <v>0.32</v>
      </c>
      <c r="U74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48" s="274">
        <v>0.79</v>
      </c>
    </row>
    <row r="749" spans="1:22" x14ac:dyDescent="0.25">
      <c r="A749" s="281" t="s">
        <v>85</v>
      </c>
      <c r="B749" s="282">
        <f>_xlfn.XLOOKUP(Catalogo[[#This Row],[Finca]], Fincas[Nombre], Fincas[ID])</f>
        <v>38</v>
      </c>
      <c r="C749" s="281" t="s">
        <v>646</v>
      </c>
      <c r="D749" s="281" t="s">
        <v>857</v>
      </c>
      <c r="E749" s="281"/>
      <c r="F749" s="281"/>
      <c r="G749" s="281"/>
      <c r="H749" s="281"/>
      <c r="I749" s="316" t="s">
        <v>275</v>
      </c>
      <c r="J749" s="308"/>
      <c r="K749" s="282" t="s">
        <v>31</v>
      </c>
      <c r="L74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49" s="283" t="s">
        <v>383</v>
      </c>
      <c r="N749" s="283">
        <v>50</v>
      </c>
      <c r="O749" s="285">
        <v>0.36</v>
      </c>
      <c r="P749" s="284">
        <f>IFERROR(_xlfn.LET(_xlpm.boxType, K749, _xlpm.tallos, N749, _xlpm.cost, O749, _xlpm.precio, Q749,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49" s="295">
        <v>1.59</v>
      </c>
      <c r="R749" s="285" t="s">
        <v>283</v>
      </c>
      <c r="S74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49" s="285">
        <v>0.36</v>
      </c>
      <c r="U74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49" s="287">
        <v>0.99</v>
      </c>
    </row>
    <row r="750" spans="1:22" x14ac:dyDescent="0.25">
      <c r="A750" s="277" t="s">
        <v>85</v>
      </c>
      <c r="B750" s="278">
        <f>_xlfn.XLOOKUP(Catalogo[[#This Row],[Finca]], Fincas[Nombre], Fincas[ID])</f>
        <v>38</v>
      </c>
      <c r="C750" s="277" t="s">
        <v>646</v>
      </c>
      <c r="D750" s="277" t="s">
        <v>857</v>
      </c>
      <c r="E750" s="277"/>
      <c r="F750" s="277"/>
      <c r="G750" s="277"/>
      <c r="H750" s="277"/>
      <c r="I750" s="311" t="s">
        <v>275</v>
      </c>
      <c r="J750" s="309"/>
      <c r="K750" s="278" t="s">
        <v>35</v>
      </c>
      <c r="L75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0" s="279" t="s">
        <v>385</v>
      </c>
      <c r="N750" s="279">
        <v>100</v>
      </c>
      <c r="O750" s="276">
        <v>0.36</v>
      </c>
      <c r="P750" s="280">
        <f>IFERROR(_xlfn.LET(_xlpm.boxType, K750, _xlpm.tallos, N750, _xlpm.cost, O750, _xlpm.precio, Q750,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50" s="296">
        <v>1.59</v>
      </c>
      <c r="R750" s="276" t="s">
        <v>284</v>
      </c>
      <c r="S75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0" s="276">
        <v>0.36</v>
      </c>
      <c r="U75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50" s="274">
        <v>0.89</v>
      </c>
    </row>
    <row r="751" spans="1:22" ht="15.75" thickBot="1" x14ac:dyDescent="0.3">
      <c r="A751" s="288" t="s">
        <v>85</v>
      </c>
      <c r="B751" s="289">
        <f>_xlfn.XLOOKUP(Catalogo[[#This Row],[Finca]], Fincas[Nombre], Fincas[ID])</f>
        <v>38</v>
      </c>
      <c r="C751" s="288" t="s">
        <v>646</v>
      </c>
      <c r="D751" s="288" t="s">
        <v>857</v>
      </c>
      <c r="E751" s="288"/>
      <c r="F751" s="288"/>
      <c r="G751" s="288"/>
      <c r="H751" s="288"/>
      <c r="I751" s="317" t="s">
        <v>275</v>
      </c>
      <c r="J751" s="310"/>
      <c r="K751" s="289" t="s">
        <v>93</v>
      </c>
      <c r="L75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1" s="290" t="s">
        <v>387</v>
      </c>
      <c r="N751" s="290">
        <v>200</v>
      </c>
      <c r="O751" s="292">
        <v>0.36</v>
      </c>
      <c r="P751" s="291">
        <f>IFERROR(_xlfn.LET(_xlpm.boxType, K751, _xlpm.tallos, N751, _xlpm.cost, O751, _xlpm.precio, Q751,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51" s="297">
        <v>1.59</v>
      </c>
      <c r="R751" s="292" t="s">
        <v>285</v>
      </c>
      <c r="S75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1" s="292">
        <v>0.36</v>
      </c>
      <c r="U75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51" s="294">
        <v>0.89</v>
      </c>
    </row>
    <row r="752" spans="1:22" x14ac:dyDescent="0.25">
      <c r="A752" s="281" t="s">
        <v>85</v>
      </c>
      <c r="B752" s="282">
        <f>_xlfn.XLOOKUP(Catalogo[[#This Row],[Finca]], Fincas[Nombre], Fincas[ID])</f>
        <v>38</v>
      </c>
      <c r="C752" s="281" t="s">
        <v>646</v>
      </c>
      <c r="D752" s="281" t="s">
        <v>858</v>
      </c>
      <c r="E752" s="281"/>
      <c r="F752" s="281"/>
      <c r="G752" s="281"/>
      <c r="H752" s="281"/>
      <c r="I752" s="316" t="s">
        <v>273</v>
      </c>
      <c r="J752" s="308"/>
      <c r="K752" s="282" t="s">
        <v>31</v>
      </c>
      <c r="L75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2" s="283" t="s">
        <v>383</v>
      </c>
      <c r="N752" s="283">
        <v>50</v>
      </c>
      <c r="O752" s="285">
        <v>0.24</v>
      </c>
      <c r="P752" s="284">
        <f>IFERROR(_xlfn.LET(_xlpm.boxType, K752, _xlpm.tallos, N752, _xlpm.cost, O752, _xlpm.precio, Q752,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52" s="295">
        <v>1.29</v>
      </c>
      <c r="R752" s="285" t="s">
        <v>283</v>
      </c>
      <c r="S75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2" s="285">
        <v>0.24</v>
      </c>
      <c r="U75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52" s="287">
        <v>0.75</v>
      </c>
    </row>
    <row r="753" spans="1:22" x14ac:dyDescent="0.25">
      <c r="A753" s="277" t="s">
        <v>85</v>
      </c>
      <c r="B753" s="278">
        <f>_xlfn.XLOOKUP(Catalogo[[#This Row],[Finca]], Fincas[Nombre], Fincas[ID])</f>
        <v>38</v>
      </c>
      <c r="C753" s="277" t="s">
        <v>646</v>
      </c>
      <c r="D753" s="277" t="s">
        <v>858</v>
      </c>
      <c r="E753" s="277"/>
      <c r="F753" s="277"/>
      <c r="G753" s="277"/>
      <c r="H753" s="277"/>
      <c r="I753" s="311" t="s">
        <v>273</v>
      </c>
      <c r="J753" s="309"/>
      <c r="K753" s="278" t="s">
        <v>35</v>
      </c>
      <c r="L75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3" s="279" t="s">
        <v>385</v>
      </c>
      <c r="N753" s="279">
        <v>150</v>
      </c>
      <c r="O753" s="276">
        <v>0.24</v>
      </c>
      <c r="P753" s="280">
        <f>IFERROR(_xlfn.LET(_xlpm.boxType, K753, _xlpm.tallos, N753, _xlpm.cost, O753, _xlpm.precio, Q753,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53" s="296">
        <v>1.19</v>
      </c>
      <c r="R753" s="276" t="s">
        <v>284</v>
      </c>
      <c r="S75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3" s="276">
        <v>0.24</v>
      </c>
      <c r="U75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53" s="274">
        <v>0.69</v>
      </c>
    </row>
    <row r="754" spans="1:22" ht="15.75" thickBot="1" x14ac:dyDescent="0.3">
      <c r="A754" s="288" t="s">
        <v>85</v>
      </c>
      <c r="B754" s="289">
        <f>_xlfn.XLOOKUP(Catalogo[[#This Row],[Finca]], Fincas[Nombre], Fincas[ID])</f>
        <v>38</v>
      </c>
      <c r="C754" s="288" t="s">
        <v>646</v>
      </c>
      <c r="D754" s="288" t="s">
        <v>858</v>
      </c>
      <c r="E754" s="288"/>
      <c r="F754" s="288"/>
      <c r="G754" s="288"/>
      <c r="H754" s="288"/>
      <c r="I754" s="317" t="s">
        <v>273</v>
      </c>
      <c r="J754" s="310"/>
      <c r="K754" s="289" t="s">
        <v>93</v>
      </c>
      <c r="L75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4" s="290" t="s">
        <v>387</v>
      </c>
      <c r="N754" s="290">
        <v>300</v>
      </c>
      <c r="O754" s="292">
        <v>0.24</v>
      </c>
      <c r="P754" s="291">
        <f>IFERROR(_xlfn.LET(_xlpm.boxType, K754, _xlpm.tallos, N754, _xlpm.cost, O754, _xlpm.precio, Q754,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54" s="297">
        <v>1.19</v>
      </c>
      <c r="R754" s="292" t="s">
        <v>285</v>
      </c>
      <c r="S75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4" s="292">
        <v>0.24</v>
      </c>
      <c r="U75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54" s="294">
        <v>0.69</v>
      </c>
    </row>
    <row r="755" spans="1:22" x14ac:dyDescent="0.25">
      <c r="A755" s="277" t="s">
        <v>85</v>
      </c>
      <c r="B755" s="278">
        <f>_xlfn.XLOOKUP(Catalogo[[#This Row],[Finca]], Fincas[Nombre], Fincas[ID])</f>
        <v>38</v>
      </c>
      <c r="C755" s="277" t="s">
        <v>646</v>
      </c>
      <c r="D755" s="277" t="s">
        <v>858</v>
      </c>
      <c r="E755" s="277"/>
      <c r="F755" s="277"/>
      <c r="G755" s="277"/>
      <c r="H755" s="277"/>
      <c r="I755" s="311" t="s">
        <v>274</v>
      </c>
      <c r="J755" s="309"/>
      <c r="K755" s="278" t="s">
        <v>31</v>
      </c>
      <c r="L75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5" s="279" t="s">
        <v>383</v>
      </c>
      <c r="N755" s="279">
        <v>50</v>
      </c>
      <c r="O755" s="276">
        <v>0.32</v>
      </c>
      <c r="P755" s="280">
        <f>IFERROR(_xlfn.LET(_xlpm.boxType, K755, _xlpm.tallos, N755, _xlpm.cost, O755, _xlpm.precio, Q755,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55" s="296">
        <v>1.49</v>
      </c>
      <c r="R755" s="276" t="s">
        <v>283</v>
      </c>
      <c r="S75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5" s="276">
        <v>0.32</v>
      </c>
      <c r="U75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55" s="274">
        <v>0.85</v>
      </c>
    </row>
    <row r="756" spans="1:22" x14ac:dyDescent="0.25">
      <c r="A756" s="277" t="s">
        <v>85</v>
      </c>
      <c r="B756" s="278">
        <f>_xlfn.XLOOKUP(Catalogo[[#This Row],[Finca]], Fincas[Nombre], Fincas[ID])</f>
        <v>38</v>
      </c>
      <c r="C756" s="277" t="s">
        <v>646</v>
      </c>
      <c r="D756" s="277" t="s">
        <v>858</v>
      </c>
      <c r="E756" s="277"/>
      <c r="F756" s="277"/>
      <c r="G756" s="277"/>
      <c r="H756" s="277"/>
      <c r="I756" s="311" t="s">
        <v>274</v>
      </c>
      <c r="J756" s="309"/>
      <c r="K756" s="278" t="s">
        <v>35</v>
      </c>
      <c r="L7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6" s="279" t="s">
        <v>385</v>
      </c>
      <c r="N756" s="279">
        <v>125</v>
      </c>
      <c r="O756" s="276">
        <v>0.32</v>
      </c>
      <c r="P756" s="280">
        <f>IFERROR(_xlfn.LET(_xlpm.boxType, K756, _xlpm.tallos, N756, _xlpm.cost, O756, _xlpm.precio, Q756,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56" s="296">
        <v>1.39</v>
      </c>
      <c r="R756" s="276" t="s">
        <v>284</v>
      </c>
      <c r="S7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6" s="276">
        <v>0.32</v>
      </c>
      <c r="U75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56" s="274">
        <v>0.79</v>
      </c>
    </row>
    <row r="757" spans="1:22" ht="15.75" thickBot="1" x14ac:dyDescent="0.3">
      <c r="A757" s="277" t="s">
        <v>85</v>
      </c>
      <c r="B757" s="278">
        <f>_xlfn.XLOOKUP(Catalogo[[#This Row],[Finca]], Fincas[Nombre], Fincas[ID])</f>
        <v>38</v>
      </c>
      <c r="C757" s="277" t="s">
        <v>646</v>
      </c>
      <c r="D757" s="277" t="s">
        <v>858</v>
      </c>
      <c r="E757" s="277"/>
      <c r="F757" s="277"/>
      <c r="G757" s="277"/>
      <c r="H757" s="277"/>
      <c r="I757" s="311" t="s">
        <v>274</v>
      </c>
      <c r="J757" s="309"/>
      <c r="K757" s="278" t="s">
        <v>93</v>
      </c>
      <c r="L75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7" s="279" t="s">
        <v>387</v>
      </c>
      <c r="N757" s="279">
        <v>250</v>
      </c>
      <c r="O757" s="276">
        <v>0.32</v>
      </c>
      <c r="P757" s="280">
        <f>IFERROR(_xlfn.LET(_xlpm.boxType, K757, _xlpm.tallos, N757, _xlpm.cost, O757, _xlpm.precio, Q757,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57" s="296">
        <v>1.39</v>
      </c>
      <c r="R757" s="276" t="s">
        <v>285</v>
      </c>
      <c r="S75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7" s="276">
        <v>0.32</v>
      </c>
      <c r="U75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57" s="274">
        <v>0.79</v>
      </c>
    </row>
    <row r="758" spans="1:22" x14ac:dyDescent="0.25">
      <c r="A758" s="281" t="s">
        <v>85</v>
      </c>
      <c r="B758" s="282">
        <f>_xlfn.XLOOKUP(Catalogo[[#This Row],[Finca]], Fincas[Nombre], Fincas[ID])</f>
        <v>38</v>
      </c>
      <c r="C758" s="281" t="s">
        <v>646</v>
      </c>
      <c r="D758" s="281" t="s">
        <v>858</v>
      </c>
      <c r="E758" s="281"/>
      <c r="F758" s="281"/>
      <c r="G758" s="281"/>
      <c r="H758" s="281"/>
      <c r="I758" s="316" t="s">
        <v>275</v>
      </c>
      <c r="J758" s="308"/>
      <c r="K758" s="282" t="s">
        <v>31</v>
      </c>
      <c r="L75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8" s="283" t="s">
        <v>383</v>
      </c>
      <c r="N758" s="283">
        <v>50</v>
      </c>
      <c r="O758" s="285">
        <v>0.36</v>
      </c>
      <c r="P758" s="284">
        <f>IFERROR(_xlfn.LET(_xlpm.boxType, K758, _xlpm.tallos, N758, _xlpm.cost, O758, _xlpm.precio, Q758,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58" s="295">
        <v>1.59</v>
      </c>
      <c r="R758" s="285" t="s">
        <v>283</v>
      </c>
      <c r="S75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8" s="285">
        <v>0.36</v>
      </c>
      <c r="U75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58" s="287">
        <v>0.99</v>
      </c>
    </row>
    <row r="759" spans="1:22" x14ac:dyDescent="0.25">
      <c r="A759" s="277" t="s">
        <v>85</v>
      </c>
      <c r="B759" s="278">
        <f>_xlfn.XLOOKUP(Catalogo[[#This Row],[Finca]], Fincas[Nombre], Fincas[ID])</f>
        <v>38</v>
      </c>
      <c r="C759" s="277" t="s">
        <v>646</v>
      </c>
      <c r="D759" s="277" t="s">
        <v>858</v>
      </c>
      <c r="E759" s="277"/>
      <c r="F759" s="277"/>
      <c r="G759" s="277"/>
      <c r="H759" s="277"/>
      <c r="I759" s="311" t="s">
        <v>275</v>
      </c>
      <c r="J759" s="309"/>
      <c r="K759" s="278" t="s">
        <v>35</v>
      </c>
      <c r="L75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59" s="279" t="s">
        <v>385</v>
      </c>
      <c r="N759" s="279">
        <v>100</v>
      </c>
      <c r="O759" s="276">
        <v>0.36</v>
      </c>
      <c r="P759" s="280">
        <f>IFERROR(_xlfn.LET(_xlpm.boxType, K759, _xlpm.tallos, N759, _xlpm.cost, O759, _xlpm.precio, Q759,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59" s="296">
        <v>1.59</v>
      </c>
      <c r="R759" s="276" t="s">
        <v>284</v>
      </c>
      <c r="S75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59" s="276">
        <v>0.36</v>
      </c>
      <c r="U75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59" s="274">
        <v>0.89</v>
      </c>
    </row>
    <row r="760" spans="1:22" ht="15.75" thickBot="1" x14ac:dyDescent="0.3">
      <c r="A760" s="288" t="s">
        <v>85</v>
      </c>
      <c r="B760" s="289">
        <f>_xlfn.XLOOKUP(Catalogo[[#This Row],[Finca]], Fincas[Nombre], Fincas[ID])</f>
        <v>38</v>
      </c>
      <c r="C760" s="288" t="s">
        <v>646</v>
      </c>
      <c r="D760" s="288" t="s">
        <v>858</v>
      </c>
      <c r="E760" s="288"/>
      <c r="F760" s="288"/>
      <c r="G760" s="288"/>
      <c r="H760" s="288"/>
      <c r="I760" s="317" t="s">
        <v>275</v>
      </c>
      <c r="J760" s="310"/>
      <c r="K760" s="289" t="s">
        <v>93</v>
      </c>
      <c r="L76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0" s="290" t="s">
        <v>387</v>
      </c>
      <c r="N760" s="290">
        <v>200</v>
      </c>
      <c r="O760" s="292">
        <v>0.36</v>
      </c>
      <c r="P760" s="291">
        <f>IFERROR(_xlfn.LET(_xlpm.boxType, K760, _xlpm.tallos, N760, _xlpm.cost, O760, _xlpm.precio, Q760,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60" s="297">
        <v>1.59</v>
      </c>
      <c r="R760" s="292" t="s">
        <v>285</v>
      </c>
      <c r="S76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0" s="292">
        <v>0.36</v>
      </c>
      <c r="U76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60" s="294">
        <v>0.89</v>
      </c>
    </row>
    <row r="761" spans="1:22" x14ac:dyDescent="0.25">
      <c r="A761" s="281" t="s">
        <v>85</v>
      </c>
      <c r="B761" s="282">
        <f>_xlfn.XLOOKUP(Catalogo[[#This Row],[Finca]], Fincas[Nombre], Fincas[ID])</f>
        <v>38</v>
      </c>
      <c r="C761" s="281" t="s">
        <v>646</v>
      </c>
      <c r="D761" s="281" t="s">
        <v>859</v>
      </c>
      <c r="E761" s="281"/>
      <c r="F761" s="281"/>
      <c r="G761" s="281"/>
      <c r="H761" s="281"/>
      <c r="I761" s="316" t="s">
        <v>273</v>
      </c>
      <c r="J761" s="308"/>
      <c r="K761" s="282" t="s">
        <v>31</v>
      </c>
      <c r="L76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1" s="283" t="s">
        <v>383</v>
      </c>
      <c r="N761" s="283">
        <v>50</v>
      </c>
      <c r="O761" s="285">
        <v>0.24</v>
      </c>
      <c r="P761" s="284">
        <f>IFERROR(_xlfn.LET(_xlpm.boxType, K761, _xlpm.tallos, N761, _xlpm.cost, O761, _xlpm.precio, Q761,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61" s="295">
        <v>1.29</v>
      </c>
      <c r="R761" s="285" t="s">
        <v>283</v>
      </c>
      <c r="S76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1" s="285">
        <v>0.24</v>
      </c>
      <c r="U76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61" s="287">
        <v>0.75</v>
      </c>
    </row>
    <row r="762" spans="1:22" x14ac:dyDescent="0.25">
      <c r="A762" s="277" t="s">
        <v>85</v>
      </c>
      <c r="B762" s="278">
        <f>_xlfn.XLOOKUP(Catalogo[[#This Row],[Finca]], Fincas[Nombre], Fincas[ID])</f>
        <v>38</v>
      </c>
      <c r="C762" s="277" t="s">
        <v>646</v>
      </c>
      <c r="D762" s="277" t="s">
        <v>859</v>
      </c>
      <c r="E762" s="277"/>
      <c r="F762" s="277"/>
      <c r="G762" s="277"/>
      <c r="H762" s="277"/>
      <c r="I762" s="311" t="s">
        <v>273</v>
      </c>
      <c r="J762" s="309"/>
      <c r="K762" s="278" t="s">
        <v>35</v>
      </c>
      <c r="L76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2" s="279" t="s">
        <v>385</v>
      </c>
      <c r="N762" s="279">
        <v>150</v>
      </c>
      <c r="O762" s="276">
        <v>0.24</v>
      </c>
      <c r="P762" s="280">
        <f>IFERROR(_xlfn.LET(_xlpm.boxType, K762, _xlpm.tallos, N762, _xlpm.cost, O762, _xlpm.precio, Q762,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62" s="296">
        <v>1.19</v>
      </c>
      <c r="R762" s="276" t="s">
        <v>284</v>
      </c>
      <c r="S76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2" s="276">
        <v>0.24</v>
      </c>
      <c r="U76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62" s="274">
        <v>0.69</v>
      </c>
    </row>
    <row r="763" spans="1:22" ht="15.75" thickBot="1" x14ac:dyDescent="0.3">
      <c r="A763" s="288" t="s">
        <v>85</v>
      </c>
      <c r="B763" s="289">
        <f>_xlfn.XLOOKUP(Catalogo[[#This Row],[Finca]], Fincas[Nombre], Fincas[ID])</f>
        <v>38</v>
      </c>
      <c r="C763" s="288" t="s">
        <v>646</v>
      </c>
      <c r="D763" s="288" t="s">
        <v>859</v>
      </c>
      <c r="E763" s="288"/>
      <c r="F763" s="288"/>
      <c r="G763" s="288"/>
      <c r="H763" s="288"/>
      <c r="I763" s="317" t="s">
        <v>273</v>
      </c>
      <c r="J763" s="310"/>
      <c r="K763" s="289" t="s">
        <v>93</v>
      </c>
      <c r="L76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3" s="290" t="s">
        <v>387</v>
      </c>
      <c r="N763" s="290">
        <v>300</v>
      </c>
      <c r="O763" s="292">
        <v>0.24</v>
      </c>
      <c r="P763" s="291">
        <f>IFERROR(_xlfn.LET(_xlpm.boxType, K763, _xlpm.tallos, N763, _xlpm.cost, O763, _xlpm.precio, Q763,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63" s="297">
        <v>1.19</v>
      </c>
      <c r="R763" s="292" t="s">
        <v>285</v>
      </c>
      <c r="S76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3" s="292">
        <v>0.24</v>
      </c>
      <c r="U76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63" s="294">
        <v>0.69</v>
      </c>
    </row>
    <row r="764" spans="1:22" x14ac:dyDescent="0.25">
      <c r="A764" s="277" t="s">
        <v>85</v>
      </c>
      <c r="B764" s="278">
        <f>_xlfn.XLOOKUP(Catalogo[[#This Row],[Finca]], Fincas[Nombre], Fincas[ID])</f>
        <v>38</v>
      </c>
      <c r="C764" s="277" t="s">
        <v>646</v>
      </c>
      <c r="D764" s="277" t="s">
        <v>859</v>
      </c>
      <c r="E764" s="277"/>
      <c r="F764" s="277"/>
      <c r="G764" s="277"/>
      <c r="H764" s="277"/>
      <c r="I764" s="311" t="s">
        <v>274</v>
      </c>
      <c r="J764" s="309"/>
      <c r="K764" s="278" t="s">
        <v>31</v>
      </c>
      <c r="L76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4" s="279" t="s">
        <v>383</v>
      </c>
      <c r="N764" s="279">
        <v>50</v>
      </c>
      <c r="O764" s="276">
        <v>0.32</v>
      </c>
      <c r="P764" s="280">
        <f>IFERROR(_xlfn.LET(_xlpm.boxType, K764, _xlpm.tallos, N764, _xlpm.cost, O764, _xlpm.precio, Q764,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64" s="296">
        <v>1.49</v>
      </c>
      <c r="R764" s="276" t="s">
        <v>283</v>
      </c>
      <c r="S76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4" s="276">
        <v>0.32</v>
      </c>
      <c r="U76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64" s="274">
        <v>0.85</v>
      </c>
    </row>
    <row r="765" spans="1:22" x14ac:dyDescent="0.25">
      <c r="A765" s="277" t="s">
        <v>85</v>
      </c>
      <c r="B765" s="278">
        <f>_xlfn.XLOOKUP(Catalogo[[#This Row],[Finca]], Fincas[Nombre], Fincas[ID])</f>
        <v>38</v>
      </c>
      <c r="C765" s="277" t="s">
        <v>646</v>
      </c>
      <c r="D765" s="277" t="s">
        <v>859</v>
      </c>
      <c r="E765" s="277"/>
      <c r="F765" s="277"/>
      <c r="G765" s="277"/>
      <c r="H765" s="277"/>
      <c r="I765" s="311" t="s">
        <v>274</v>
      </c>
      <c r="J765" s="309"/>
      <c r="K765" s="278" t="s">
        <v>35</v>
      </c>
      <c r="L7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5" s="279" t="s">
        <v>385</v>
      </c>
      <c r="N765" s="279">
        <v>125</v>
      </c>
      <c r="O765" s="276">
        <v>0.32</v>
      </c>
      <c r="P765" s="280">
        <f>IFERROR(_xlfn.LET(_xlpm.boxType, K765, _xlpm.tallos, N765, _xlpm.cost, O765, _xlpm.precio, Q765,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65" s="296">
        <v>1.39</v>
      </c>
      <c r="R765" s="276" t="s">
        <v>284</v>
      </c>
      <c r="S7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5" s="276">
        <v>0.32</v>
      </c>
      <c r="U76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65" s="274">
        <v>0.79</v>
      </c>
    </row>
    <row r="766" spans="1:22" ht="15.75" thickBot="1" x14ac:dyDescent="0.3">
      <c r="A766" s="277" t="s">
        <v>85</v>
      </c>
      <c r="B766" s="278">
        <f>_xlfn.XLOOKUP(Catalogo[[#This Row],[Finca]], Fincas[Nombre], Fincas[ID])</f>
        <v>38</v>
      </c>
      <c r="C766" s="277" t="s">
        <v>646</v>
      </c>
      <c r="D766" s="277" t="s">
        <v>859</v>
      </c>
      <c r="E766" s="277"/>
      <c r="F766" s="277"/>
      <c r="G766" s="277"/>
      <c r="H766" s="277"/>
      <c r="I766" s="311" t="s">
        <v>274</v>
      </c>
      <c r="J766" s="309"/>
      <c r="K766" s="278" t="s">
        <v>93</v>
      </c>
      <c r="L76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6" s="279" t="s">
        <v>387</v>
      </c>
      <c r="N766" s="279">
        <v>250</v>
      </c>
      <c r="O766" s="276">
        <v>0.32</v>
      </c>
      <c r="P766" s="280">
        <f>IFERROR(_xlfn.LET(_xlpm.boxType, K766, _xlpm.tallos, N766, _xlpm.cost, O766, _xlpm.precio, Q766,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66" s="296">
        <v>1.39</v>
      </c>
      <c r="R766" s="276" t="s">
        <v>285</v>
      </c>
      <c r="S76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6" s="276">
        <v>0.32</v>
      </c>
      <c r="U76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66" s="274">
        <v>0.79</v>
      </c>
    </row>
    <row r="767" spans="1:22" x14ac:dyDescent="0.25">
      <c r="A767" s="281" t="s">
        <v>85</v>
      </c>
      <c r="B767" s="282">
        <f>_xlfn.XLOOKUP(Catalogo[[#This Row],[Finca]], Fincas[Nombre], Fincas[ID])</f>
        <v>38</v>
      </c>
      <c r="C767" s="281" t="s">
        <v>646</v>
      </c>
      <c r="D767" s="281" t="s">
        <v>859</v>
      </c>
      <c r="E767" s="281"/>
      <c r="F767" s="281"/>
      <c r="G767" s="281"/>
      <c r="H767" s="281"/>
      <c r="I767" s="316" t="s">
        <v>275</v>
      </c>
      <c r="J767" s="308"/>
      <c r="K767" s="282" t="s">
        <v>31</v>
      </c>
      <c r="L76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7" s="283" t="s">
        <v>383</v>
      </c>
      <c r="N767" s="283">
        <v>50</v>
      </c>
      <c r="O767" s="285">
        <v>0.36</v>
      </c>
      <c r="P767" s="284">
        <f>IFERROR(_xlfn.LET(_xlpm.boxType, K767, _xlpm.tallos, N767, _xlpm.cost, O767, _xlpm.precio, Q767,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67" s="295">
        <v>1.59</v>
      </c>
      <c r="R767" s="285" t="s">
        <v>283</v>
      </c>
      <c r="S76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7" s="285">
        <v>0.36</v>
      </c>
      <c r="U76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67" s="287">
        <v>0.99</v>
      </c>
    </row>
    <row r="768" spans="1:22" x14ac:dyDescent="0.25">
      <c r="A768" s="277" t="s">
        <v>85</v>
      </c>
      <c r="B768" s="278">
        <f>_xlfn.XLOOKUP(Catalogo[[#This Row],[Finca]], Fincas[Nombre], Fincas[ID])</f>
        <v>38</v>
      </c>
      <c r="C768" s="277" t="s">
        <v>646</v>
      </c>
      <c r="D768" s="277" t="s">
        <v>859</v>
      </c>
      <c r="E768" s="277"/>
      <c r="F768" s="277"/>
      <c r="G768" s="277"/>
      <c r="H768" s="277"/>
      <c r="I768" s="311" t="s">
        <v>275</v>
      </c>
      <c r="J768" s="309"/>
      <c r="K768" s="278" t="s">
        <v>35</v>
      </c>
      <c r="L76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8" s="279" t="s">
        <v>385</v>
      </c>
      <c r="N768" s="279">
        <v>100</v>
      </c>
      <c r="O768" s="276">
        <v>0.36</v>
      </c>
      <c r="P768" s="280">
        <f>IFERROR(_xlfn.LET(_xlpm.boxType, K768, _xlpm.tallos, N768, _xlpm.cost, O768, _xlpm.precio, Q768,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68" s="296">
        <v>1.59</v>
      </c>
      <c r="R768" s="276" t="s">
        <v>284</v>
      </c>
      <c r="S76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8" s="276">
        <v>0.36</v>
      </c>
      <c r="U76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68" s="274">
        <v>0.89</v>
      </c>
    </row>
    <row r="769" spans="1:22" ht="15.75" thickBot="1" x14ac:dyDescent="0.3">
      <c r="A769" s="288" t="s">
        <v>85</v>
      </c>
      <c r="B769" s="289">
        <f>_xlfn.XLOOKUP(Catalogo[[#This Row],[Finca]], Fincas[Nombre], Fincas[ID])</f>
        <v>38</v>
      </c>
      <c r="C769" s="288" t="s">
        <v>646</v>
      </c>
      <c r="D769" s="288" t="s">
        <v>859</v>
      </c>
      <c r="E769" s="288"/>
      <c r="F769" s="288"/>
      <c r="G769" s="288"/>
      <c r="H769" s="288"/>
      <c r="I769" s="317" t="s">
        <v>275</v>
      </c>
      <c r="J769" s="310"/>
      <c r="K769" s="289" t="s">
        <v>93</v>
      </c>
      <c r="L76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69" s="290" t="s">
        <v>387</v>
      </c>
      <c r="N769" s="290">
        <v>200</v>
      </c>
      <c r="O769" s="292">
        <v>0.36</v>
      </c>
      <c r="P769" s="291">
        <f>IFERROR(_xlfn.LET(_xlpm.boxType, K769, _xlpm.tallos, N769, _xlpm.cost, O769, _xlpm.precio, Q769,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69" s="297">
        <v>1.59</v>
      </c>
      <c r="R769" s="292" t="s">
        <v>285</v>
      </c>
      <c r="S76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69" s="292">
        <v>0.36</v>
      </c>
      <c r="U76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69" s="294">
        <v>0.89</v>
      </c>
    </row>
    <row r="770" spans="1:22" x14ac:dyDescent="0.25">
      <c r="A770" s="281" t="s">
        <v>85</v>
      </c>
      <c r="B770" s="282">
        <f>_xlfn.XLOOKUP(Catalogo[[#This Row],[Finca]], Fincas[Nombre], Fincas[ID])</f>
        <v>38</v>
      </c>
      <c r="C770" s="281" t="s">
        <v>646</v>
      </c>
      <c r="D770" s="281" t="s">
        <v>860</v>
      </c>
      <c r="E770" s="281"/>
      <c r="F770" s="281"/>
      <c r="G770" s="281"/>
      <c r="H770" s="281"/>
      <c r="I770" s="316" t="s">
        <v>273</v>
      </c>
      <c r="J770" s="308"/>
      <c r="K770" s="282" t="s">
        <v>31</v>
      </c>
      <c r="L77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0" s="283" t="s">
        <v>383</v>
      </c>
      <c r="N770" s="283">
        <v>50</v>
      </c>
      <c r="O770" s="285">
        <v>0.24</v>
      </c>
      <c r="P770" s="284">
        <f>IFERROR(_xlfn.LET(_xlpm.boxType, K770, _xlpm.tallos, N770, _xlpm.cost, O770, _xlpm.precio, Q770,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70" s="295">
        <v>1.29</v>
      </c>
      <c r="R770" s="285" t="s">
        <v>283</v>
      </c>
      <c r="S77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0" s="285">
        <v>0.24</v>
      </c>
      <c r="U77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70" s="287">
        <v>0.75</v>
      </c>
    </row>
    <row r="771" spans="1:22" x14ac:dyDescent="0.25">
      <c r="A771" s="277" t="s">
        <v>85</v>
      </c>
      <c r="B771" s="278">
        <f>_xlfn.XLOOKUP(Catalogo[[#This Row],[Finca]], Fincas[Nombre], Fincas[ID])</f>
        <v>38</v>
      </c>
      <c r="C771" s="277" t="s">
        <v>646</v>
      </c>
      <c r="D771" s="277" t="s">
        <v>860</v>
      </c>
      <c r="E771" s="277"/>
      <c r="F771" s="277"/>
      <c r="G771" s="277"/>
      <c r="H771" s="277"/>
      <c r="I771" s="311" t="s">
        <v>273</v>
      </c>
      <c r="J771" s="309"/>
      <c r="K771" s="278" t="s">
        <v>35</v>
      </c>
      <c r="L77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1" s="279" t="s">
        <v>385</v>
      </c>
      <c r="N771" s="279">
        <v>150</v>
      </c>
      <c r="O771" s="276">
        <v>0.24</v>
      </c>
      <c r="P771" s="280">
        <f>IFERROR(_xlfn.LET(_xlpm.boxType, K771, _xlpm.tallos, N771, _xlpm.cost, O771, _xlpm.precio, Q771,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71" s="296">
        <v>1.19</v>
      </c>
      <c r="R771" s="276" t="s">
        <v>284</v>
      </c>
      <c r="S77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1" s="276">
        <v>0.24</v>
      </c>
      <c r="U77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71" s="274">
        <v>0.69</v>
      </c>
    </row>
    <row r="772" spans="1:22" ht="15.75" thickBot="1" x14ac:dyDescent="0.3">
      <c r="A772" s="288" t="s">
        <v>85</v>
      </c>
      <c r="B772" s="289">
        <f>_xlfn.XLOOKUP(Catalogo[[#This Row],[Finca]], Fincas[Nombre], Fincas[ID])</f>
        <v>38</v>
      </c>
      <c r="C772" s="288" t="s">
        <v>646</v>
      </c>
      <c r="D772" s="288" t="s">
        <v>860</v>
      </c>
      <c r="E772" s="288"/>
      <c r="F772" s="288"/>
      <c r="G772" s="288"/>
      <c r="H772" s="288"/>
      <c r="I772" s="317" t="s">
        <v>273</v>
      </c>
      <c r="J772" s="310"/>
      <c r="K772" s="289" t="s">
        <v>93</v>
      </c>
      <c r="L77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2" s="290" t="s">
        <v>387</v>
      </c>
      <c r="N772" s="290">
        <v>300</v>
      </c>
      <c r="O772" s="292">
        <v>0.24</v>
      </c>
      <c r="P772" s="291">
        <f>IFERROR(_xlfn.LET(_xlpm.boxType, K772, _xlpm.tallos, N772, _xlpm.cost, O772, _xlpm.precio, Q772,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72" s="297">
        <v>1.19</v>
      </c>
      <c r="R772" s="292" t="s">
        <v>285</v>
      </c>
      <c r="S77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2" s="292">
        <v>0.24</v>
      </c>
      <c r="U77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72" s="294">
        <v>0.69</v>
      </c>
    </row>
    <row r="773" spans="1:22" x14ac:dyDescent="0.25">
      <c r="A773" s="277" t="s">
        <v>85</v>
      </c>
      <c r="B773" s="278">
        <f>_xlfn.XLOOKUP(Catalogo[[#This Row],[Finca]], Fincas[Nombre], Fincas[ID])</f>
        <v>38</v>
      </c>
      <c r="C773" s="277" t="s">
        <v>646</v>
      </c>
      <c r="D773" s="277" t="s">
        <v>860</v>
      </c>
      <c r="E773" s="277"/>
      <c r="F773" s="277"/>
      <c r="G773" s="277"/>
      <c r="H773" s="277"/>
      <c r="I773" s="311" t="s">
        <v>274</v>
      </c>
      <c r="J773" s="309"/>
      <c r="K773" s="278" t="s">
        <v>31</v>
      </c>
      <c r="L77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3" s="279" t="s">
        <v>383</v>
      </c>
      <c r="N773" s="279">
        <v>50</v>
      </c>
      <c r="O773" s="276">
        <v>0.32</v>
      </c>
      <c r="P773" s="280">
        <f>IFERROR(_xlfn.LET(_xlpm.boxType, K773, _xlpm.tallos, N773, _xlpm.cost, O773, _xlpm.precio, Q773,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73" s="296">
        <v>1.49</v>
      </c>
      <c r="R773" s="276" t="s">
        <v>283</v>
      </c>
      <c r="S77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3" s="276">
        <v>0.32</v>
      </c>
      <c r="U77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73" s="274">
        <v>0.85</v>
      </c>
    </row>
    <row r="774" spans="1:22" x14ac:dyDescent="0.25">
      <c r="A774" s="277" t="s">
        <v>85</v>
      </c>
      <c r="B774" s="278">
        <f>_xlfn.XLOOKUP(Catalogo[[#This Row],[Finca]], Fincas[Nombre], Fincas[ID])</f>
        <v>38</v>
      </c>
      <c r="C774" s="277" t="s">
        <v>646</v>
      </c>
      <c r="D774" s="277" t="s">
        <v>860</v>
      </c>
      <c r="E774" s="277"/>
      <c r="F774" s="277"/>
      <c r="G774" s="277"/>
      <c r="H774" s="277"/>
      <c r="I774" s="311" t="s">
        <v>274</v>
      </c>
      <c r="J774" s="309"/>
      <c r="K774" s="278" t="s">
        <v>35</v>
      </c>
      <c r="L77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4" s="279" t="s">
        <v>385</v>
      </c>
      <c r="N774" s="279">
        <v>125</v>
      </c>
      <c r="O774" s="276">
        <v>0.32</v>
      </c>
      <c r="P774" s="280">
        <f>IFERROR(_xlfn.LET(_xlpm.boxType, K774, _xlpm.tallos, N774, _xlpm.cost, O774, _xlpm.precio, Q774,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74" s="296">
        <v>1.39</v>
      </c>
      <c r="R774" s="276" t="s">
        <v>284</v>
      </c>
      <c r="S77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4" s="276">
        <v>0.32</v>
      </c>
      <c r="U77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74" s="274">
        <v>0.79</v>
      </c>
    </row>
    <row r="775" spans="1:22" ht="15.75" thickBot="1" x14ac:dyDescent="0.3">
      <c r="A775" s="277" t="s">
        <v>85</v>
      </c>
      <c r="B775" s="278">
        <f>_xlfn.XLOOKUP(Catalogo[[#This Row],[Finca]], Fincas[Nombre], Fincas[ID])</f>
        <v>38</v>
      </c>
      <c r="C775" s="277" t="s">
        <v>646</v>
      </c>
      <c r="D775" s="277" t="s">
        <v>860</v>
      </c>
      <c r="E775" s="277"/>
      <c r="F775" s="277"/>
      <c r="G775" s="277"/>
      <c r="H775" s="277"/>
      <c r="I775" s="311" t="s">
        <v>274</v>
      </c>
      <c r="J775" s="309"/>
      <c r="K775" s="278" t="s">
        <v>93</v>
      </c>
      <c r="L7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5" s="279" t="s">
        <v>387</v>
      </c>
      <c r="N775" s="279">
        <v>250</v>
      </c>
      <c r="O775" s="276">
        <v>0.32</v>
      </c>
      <c r="P775" s="280">
        <f>IFERROR(_xlfn.LET(_xlpm.boxType, K775, _xlpm.tallos, N775, _xlpm.cost, O775, _xlpm.precio, Q775,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75" s="296">
        <v>1.39</v>
      </c>
      <c r="R775" s="276" t="s">
        <v>285</v>
      </c>
      <c r="S7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5" s="276">
        <v>0.32</v>
      </c>
      <c r="U77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75" s="274">
        <v>0.79</v>
      </c>
    </row>
    <row r="776" spans="1:22" x14ac:dyDescent="0.25">
      <c r="A776" s="281" t="s">
        <v>85</v>
      </c>
      <c r="B776" s="282">
        <f>_xlfn.XLOOKUP(Catalogo[[#This Row],[Finca]], Fincas[Nombre], Fincas[ID])</f>
        <v>38</v>
      </c>
      <c r="C776" s="281" t="s">
        <v>646</v>
      </c>
      <c r="D776" s="281" t="s">
        <v>860</v>
      </c>
      <c r="E776" s="281"/>
      <c r="F776" s="281"/>
      <c r="G776" s="281"/>
      <c r="H776" s="281"/>
      <c r="I776" s="316" t="s">
        <v>275</v>
      </c>
      <c r="J776" s="308"/>
      <c r="K776" s="282" t="s">
        <v>31</v>
      </c>
      <c r="L77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6" s="283" t="s">
        <v>383</v>
      </c>
      <c r="N776" s="283">
        <v>50</v>
      </c>
      <c r="O776" s="285">
        <v>0.36</v>
      </c>
      <c r="P776" s="284">
        <f>IFERROR(_xlfn.LET(_xlpm.boxType, K776, _xlpm.tallos, N776, _xlpm.cost, O776, _xlpm.precio, Q776,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76" s="295">
        <v>1.59</v>
      </c>
      <c r="R776" s="285" t="s">
        <v>283</v>
      </c>
      <c r="S77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6" s="285">
        <v>0.36</v>
      </c>
      <c r="U77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76" s="287">
        <v>0.99</v>
      </c>
    </row>
    <row r="777" spans="1:22" x14ac:dyDescent="0.25">
      <c r="A777" s="277" t="s">
        <v>85</v>
      </c>
      <c r="B777" s="278">
        <f>_xlfn.XLOOKUP(Catalogo[[#This Row],[Finca]], Fincas[Nombre], Fincas[ID])</f>
        <v>38</v>
      </c>
      <c r="C777" s="277" t="s">
        <v>646</v>
      </c>
      <c r="D777" s="277" t="s">
        <v>860</v>
      </c>
      <c r="E777" s="277"/>
      <c r="F777" s="277"/>
      <c r="G777" s="277"/>
      <c r="H777" s="277"/>
      <c r="I777" s="311" t="s">
        <v>275</v>
      </c>
      <c r="J777" s="309"/>
      <c r="K777" s="278" t="s">
        <v>35</v>
      </c>
      <c r="L77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7" s="279" t="s">
        <v>385</v>
      </c>
      <c r="N777" s="279">
        <v>100</v>
      </c>
      <c r="O777" s="276">
        <v>0.36</v>
      </c>
      <c r="P777" s="280">
        <f>IFERROR(_xlfn.LET(_xlpm.boxType, K777, _xlpm.tallos, N777, _xlpm.cost, O777, _xlpm.precio, Q777,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77" s="296">
        <v>1.59</v>
      </c>
      <c r="R777" s="276" t="s">
        <v>284</v>
      </c>
      <c r="S77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7" s="276">
        <v>0.36</v>
      </c>
      <c r="U77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77" s="274">
        <v>0.89</v>
      </c>
    </row>
    <row r="778" spans="1:22" ht="15.75" thickBot="1" x14ac:dyDescent="0.3">
      <c r="A778" s="288" t="s">
        <v>85</v>
      </c>
      <c r="B778" s="289">
        <f>_xlfn.XLOOKUP(Catalogo[[#This Row],[Finca]], Fincas[Nombre], Fincas[ID])</f>
        <v>38</v>
      </c>
      <c r="C778" s="288" t="s">
        <v>646</v>
      </c>
      <c r="D778" s="288" t="s">
        <v>860</v>
      </c>
      <c r="E778" s="288"/>
      <c r="F778" s="288"/>
      <c r="G778" s="288"/>
      <c r="H778" s="288"/>
      <c r="I778" s="317" t="s">
        <v>275</v>
      </c>
      <c r="J778" s="310"/>
      <c r="K778" s="289" t="s">
        <v>93</v>
      </c>
      <c r="L77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8" s="290" t="s">
        <v>387</v>
      </c>
      <c r="N778" s="290">
        <v>200</v>
      </c>
      <c r="O778" s="292">
        <v>0.36</v>
      </c>
      <c r="P778" s="291">
        <f>IFERROR(_xlfn.LET(_xlpm.boxType, K778, _xlpm.tallos, N778, _xlpm.cost, O778, _xlpm.precio, Q778,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78" s="297">
        <v>1.59</v>
      </c>
      <c r="R778" s="292" t="s">
        <v>285</v>
      </c>
      <c r="S77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8" s="292">
        <v>0.36</v>
      </c>
      <c r="U77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78" s="294">
        <v>0.89</v>
      </c>
    </row>
    <row r="779" spans="1:22" x14ac:dyDescent="0.25">
      <c r="A779" s="281" t="s">
        <v>85</v>
      </c>
      <c r="B779" s="282">
        <f>_xlfn.XLOOKUP(Catalogo[[#This Row],[Finca]], Fincas[Nombre], Fincas[ID])</f>
        <v>38</v>
      </c>
      <c r="C779" s="281" t="s">
        <v>646</v>
      </c>
      <c r="D779" s="281" t="s">
        <v>861</v>
      </c>
      <c r="E779" s="281"/>
      <c r="F779" s="281"/>
      <c r="G779" s="281"/>
      <c r="H779" s="281"/>
      <c r="I779" s="316" t="s">
        <v>273</v>
      </c>
      <c r="J779" s="308"/>
      <c r="K779" s="282" t="s">
        <v>31</v>
      </c>
      <c r="L77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79" s="283" t="s">
        <v>383</v>
      </c>
      <c r="N779" s="283">
        <v>50</v>
      </c>
      <c r="O779" s="285">
        <v>0.24</v>
      </c>
      <c r="P779" s="284">
        <f>IFERROR(_xlfn.LET(_xlpm.boxType, K779, _xlpm.tallos, N779, _xlpm.cost, O779, _xlpm.precio, Q779,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79" s="295">
        <v>1.29</v>
      </c>
      <c r="R779" s="285" t="s">
        <v>283</v>
      </c>
      <c r="S77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79" s="285">
        <v>0.24</v>
      </c>
      <c r="U77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79" s="287">
        <v>0.75</v>
      </c>
    </row>
    <row r="780" spans="1:22" x14ac:dyDescent="0.25">
      <c r="A780" s="277" t="s">
        <v>85</v>
      </c>
      <c r="B780" s="278">
        <f>_xlfn.XLOOKUP(Catalogo[[#This Row],[Finca]], Fincas[Nombre], Fincas[ID])</f>
        <v>38</v>
      </c>
      <c r="C780" s="277" t="s">
        <v>646</v>
      </c>
      <c r="D780" s="277" t="s">
        <v>861</v>
      </c>
      <c r="E780" s="277"/>
      <c r="F780" s="277"/>
      <c r="G780" s="277"/>
      <c r="H780" s="277"/>
      <c r="I780" s="311" t="s">
        <v>273</v>
      </c>
      <c r="J780" s="309"/>
      <c r="K780" s="278" t="s">
        <v>35</v>
      </c>
      <c r="L78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0" s="279" t="s">
        <v>385</v>
      </c>
      <c r="N780" s="279">
        <v>150</v>
      </c>
      <c r="O780" s="276">
        <v>0.24</v>
      </c>
      <c r="P780" s="280">
        <f>IFERROR(_xlfn.LET(_xlpm.boxType, K780, _xlpm.tallos, N780, _xlpm.cost, O780, _xlpm.precio, Q780,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80" s="296">
        <v>1.19</v>
      </c>
      <c r="R780" s="276" t="s">
        <v>284</v>
      </c>
      <c r="S78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0" s="276">
        <v>0.24</v>
      </c>
      <c r="U78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80" s="274">
        <v>0.69</v>
      </c>
    </row>
    <row r="781" spans="1:22" ht="15.75" thickBot="1" x14ac:dyDescent="0.3">
      <c r="A781" s="288" t="s">
        <v>85</v>
      </c>
      <c r="B781" s="289">
        <f>_xlfn.XLOOKUP(Catalogo[[#This Row],[Finca]], Fincas[Nombre], Fincas[ID])</f>
        <v>38</v>
      </c>
      <c r="C781" s="288" t="s">
        <v>646</v>
      </c>
      <c r="D781" s="288" t="s">
        <v>861</v>
      </c>
      <c r="E781" s="288"/>
      <c r="F781" s="288"/>
      <c r="G781" s="288"/>
      <c r="H781" s="288"/>
      <c r="I781" s="317" t="s">
        <v>273</v>
      </c>
      <c r="J781" s="310"/>
      <c r="K781" s="289" t="s">
        <v>93</v>
      </c>
      <c r="L78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1" s="290" t="s">
        <v>387</v>
      </c>
      <c r="N781" s="290">
        <v>300</v>
      </c>
      <c r="O781" s="292">
        <v>0.24</v>
      </c>
      <c r="P781" s="291">
        <f>IFERROR(_xlfn.LET(_xlpm.boxType, K781, _xlpm.tallos, N781, _xlpm.cost, O781, _xlpm.precio, Q781,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81" s="297">
        <v>1.19</v>
      </c>
      <c r="R781" s="292" t="s">
        <v>285</v>
      </c>
      <c r="S78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1" s="292">
        <v>0.24</v>
      </c>
      <c r="U78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81" s="294">
        <v>0.69</v>
      </c>
    </row>
    <row r="782" spans="1:22" x14ac:dyDescent="0.25">
      <c r="A782" s="277" t="s">
        <v>85</v>
      </c>
      <c r="B782" s="278">
        <f>_xlfn.XLOOKUP(Catalogo[[#This Row],[Finca]], Fincas[Nombre], Fincas[ID])</f>
        <v>38</v>
      </c>
      <c r="C782" s="277" t="s">
        <v>646</v>
      </c>
      <c r="D782" s="277" t="s">
        <v>861</v>
      </c>
      <c r="E782" s="277"/>
      <c r="F782" s="277"/>
      <c r="G782" s="277"/>
      <c r="H782" s="277"/>
      <c r="I782" s="311" t="s">
        <v>274</v>
      </c>
      <c r="J782" s="309"/>
      <c r="K782" s="278" t="s">
        <v>31</v>
      </c>
      <c r="L78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2" s="279" t="s">
        <v>383</v>
      </c>
      <c r="N782" s="279">
        <v>50</v>
      </c>
      <c r="O782" s="276">
        <v>0.32</v>
      </c>
      <c r="P782" s="280">
        <f>IFERROR(_xlfn.LET(_xlpm.boxType, K782, _xlpm.tallos, N782, _xlpm.cost, O782, _xlpm.precio, Q782,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82" s="296">
        <v>1.49</v>
      </c>
      <c r="R782" s="276" t="s">
        <v>283</v>
      </c>
      <c r="S78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2" s="276">
        <v>0.32</v>
      </c>
      <c r="U78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82" s="274">
        <v>0.85</v>
      </c>
    </row>
    <row r="783" spans="1:22" x14ac:dyDescent="0.25">
      <c r="A783" s="277" t="s">
        <v>85</v>
      </c>
      <c r="B783" s="278">
        <f>_xlfn.XLOOKUP(Catalogo[[#This Row],[Finca]], Fincas[Nombre], Fincas[ID])</f>
        <v>38</v>
      </c>
      <c r="C783" s="277" t="s">
        <v>646</v>
      </c>
      <c r="D783" s="277" t="s">
        <v>861</v>
      </c>
      <c r="E783" s="277"/>
      <c r="F783" s="277"/>
      <c r="G783" s="277"/>
      <c r="H783" s="277"/>
      <c r="I783" s="311" t="s">
        <v>274</v>
      </c>
      <c r="J783" s="309"/>
      <c r="K783" s="278" t="s">
        <v>35</v>
      </c>
      <c r="L78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3" s="279" t="s">
        <v>385</v>
      </c>
      <c r="N783" s="279">
        <v>125</v>
      </c>
      <c r="O783" s="276">
        <v>0.32</v>
      </c>
      <c r="P783" s="280">
        <f>IFERROR(_xlfn.LET(_xlpm.boxType, K783, _xlpm.tallos, N783, _xlpm.cost, O783, _xlpm.precio, Q783,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83" s="296">
        <v>1.39</v>
      </c>
      <c r="R783" s="276" t="s">
        <v>284</v>
      </c>
      <c r="S78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3" s="276">
        <v>0.32</v>
      </c>
      <c r="U78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83" s="274">
        <v>0.79</v>
      </c>
    </row>
    <row r="784" spans="1:22" ht="15.75" thickBot="1" x14ac:dyDescent="0.3">
      <c r="A784" s="277" t="s">
        <v>85</v>
      </c>
      <c r="B784" s="278">
        <f>_xlfn.XLOOKUP(Catalogo[[#This Row],[Finca]], Fincas[Nombre], Fincas[ID])</f>
        <v>38</v>
      </c>
      <c r="C784" s="277" t="s">
        <v>646</v>
      </c>
      <c r="D784" s="277" t="s">
        <v>861</v>
      </c>
      <c r="E784" s="277"/>
      <c r="F784" s="277"/>
      <c r="G784" s="277"/>
      <c r="H784" s="277"/>
      <c r="I784" s="311" t="s">
        <v>274</v>
      </c>
      <c r="J784" s="309"/>
      <c r="K784" s="278" t="s">
        <v>93</v>
      </c>
      <c r="L78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4" s="279" t="s">
        <v>387</v>
      </c>
      <c r="N784" s="279">
        <v>250</v>
      </c>
      <c r="O784" s="276">
        <v>0.32</v>
      </c>
      <c r="P784" s="280">
        <f>IFERROR(_xlfn.LET(_xlpm.boxType, K784, _xlpm.tallos, N784, _xlpm.cost, O784, _xlpm.precio, Q784,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84" s="296">
        <v>1.39</v>
      </c>
      <c r="R784" s="276" t="s">
        <v>285</v>
      </c>
      <c r="S78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4" s="276">
        <v>0.32</v>
      </c>
      <c r="U78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84" s="274">
        <v>0.79</v>
      </c>
    </row>
    <row r="785" spans="1:22" x14ac:dyDescent="0.25">
      <c r="A785" s="281" t="s">
        <v>85</v>
      </c>
      <c r="B785" s="282">
        <f>_xlfn.XLOOKUP(Catalogo[[#This Row],[Finca]], Fincas[Nombre], Fincas[ID])</f>
        <v>38</v>
      </c>
      <c r="C785" s="281" t="s">
        <v>646</v>
      </c>
      <c r="D785" s="281" t="s">
        <v>861</v>
      </c>
      <c r="E785" s="281"/>
      <c r="F785" s="281"/>
      <c r="G785" s="281"/>
      <c r="H785" s="281"/>
      <c r="I785" s="316" t="s">
        <v>275</v>
      </c>
      <c r="J785" s="308"/>
      <c r="K785" s="282" t="s">
        <v>31</v>
      </c>
      <c r="L78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5" s="283" t="s">
        <v>383</v>
      </c>
      <c r="N785" s="283">
        <v>50</v>
      </c>
      <c r="O785" s="285">
        <v>0.36</v>
      </c>
      <c r="P785" s="284">
        <f>IFERROR(_xlfn.LET(_xlpm.boxType, K785, _xlpm.tallos, N785, _xlpm.cost, O785, _xlpm.precio, Q785,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85" s="295">
        <v>1.59</v>
      </c>
      <c r="R785" s="285" t="s">
        <v>283</v>
      </c>
      <c r="S78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5" s="285">
        <v>0.36</v>
      </c>
      <c r="U78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85" s="287">
        <v>0.99</v>
      </c>
    </row>
    <row r="786" spans="1:22" x14ac:dyDescent="0.25">
      <c r="A786" s="277" t="s">
        <v>85</v>
      </c>
      <c r="B786" s="278">
        <f>_xlfn.XLOOKUP(Catalogo[[#This Row],[Finca]], Fincas[Nombre], Fincas[ID])</f>
        <v>38</v>
      </c>
      <c r="C786" s="277" t="s">
        <v>646</v>
      </c>
      <c r="D786" s="277" t="s">
        <v>861</v>
      </c>
      <c r="E786" s="277"/>
      <c r="F786" s="277"/>
      <c r="G786" s="277"/>
      <c r="H786" s="277"/>
      <c r="I786" s="311" t="s">
        <v>275</v>
      </c>
      <c r="J786" s="309"/>
      <c r="K786" s="278" t="s">
        <v>35</v>
      </c>
      <c r="L78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6" s="279" t="s">
        <v>385</v>
      </c>
      <c r="N786" s="279">
        <v>100</v>
      </c>
      <c r="O786" s="276">
        <v>0.36</v>
      </c>
      <c r="P786" s="280">
        <f>IFERROR(_xlfn.LET(_xlpm.boxType, K786, _xlpm.tallos, N786, _xlpm.cost, O786, _xlpm.precio, Q786,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86" s="296">
        <v>1.59</v>
      </c>
      <c r="R786" s="276" t="s">
        <v>284</v>
      </c>
      <c r="S78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6" s="276">
        <v>0.36</v>
      </c>
      <c r="U78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86" s="274">
        <v>0.89</v>
      </c>
    </row>
    <row r="787" spans="1:22" ht="15.75" thickBot="1" x14ac:dyDescent="0.3">
      <c r="A787" s="288" t="s">
        <v>85</v>
      </c>
      <c r="B787" s="289">
        <f>_xlfn.XLOOKUP(Catalogo[[#This Row],[Finca]], Fincas[Nombre], Fincas[ID])</f>
        <v>38</v>
      </c>
      <c r="C787" s="288" t="s">
        <v>646</v>
      </c>
      <c r="D787" s="288" t="s">
        <v>861</v>
      </c>
      <c r="E787" s="288"/>
      <c r="F787" s="288"/>
      <c r="G787" s="288"/>
      <c r="H787" s="288"/>
      <c r="I787" s="317" t="s">
        <v>275</v>
      </c>
      <c r="J787" s="310"/>
      <c r="K787" s="289" t="s">
        <v>93</v>
      </c>
      <c r="L78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7" s="290" t="s">
        <v>387</v>
      </c>
      <c r="N787" s="290">
        <v>200</v>
      </c>
      <c r="O787" s="292">
        <v>0.36</v>
      </c>
      <c r="P787" s="291">
        <f>IFERROR(_xlfn.LET(_xlpm.boxType, K787, _xlpm.tallos, N787, _xlpm.cost, O787, _xlpm.precio, Q787,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87" s="297">
        <v>1.59</v>
      </c>
      <c r="R787" s="292" t="s">
        <v>285</v>
      </c>
      <c r="S78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7" s="292">
        <v>0.36</v>
      </c>
      <c r="U78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87" s="294">
        <v>0.89</v>
      </c>
    </row>
    <row r="788" spans="1:22" x14ac:dyDescent="0.25">
      <c r="A788" s="281" t="s">
        <v>85</v>
      </c>
      <c r="B788" s="282">
        <f>_xlfn.XLOOKUP(Catalogo[[#This Row],[Finca]], Fincas[Nombre], Fincas[ID])</f>
        <v>38</v>
      </c>
      <c r="C788" s="281" t="s">
        <v>646</v>
      </c>
      <c r="D788" s="281" t="s">
        <v>862</v>
      </c>
      <c r="E788" s="281"/>
      <c r="F788" s="281"/>
      <c r="G788" s="281"/>
      <c r="H788" s="281"/>
      <c r="I788" s="316" t="s">
        <v>273</v>
      </c>
      <c r="J788" s="308"/>
      <c r="K788" s="282" t="s">
        <v>31</v>
      </c>
      <c r="L78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8" s="283" t="s">
        <v>383</v>
      </c>
      <c r="N788" s="283">
        <v>50</v>
      </c>
      <c r="O788" s="285">
        <v>0.24</v>
      </c>
      <c r="P788" s="284">
        <f>IFERROR(_xlfn.LET(_xlpm.boxType, K788, _xlpm.tallos, N788, _xlpm.cost, O788, _xlpm.precio, Q788,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88" s="295">
        <v>1.29</v>
      </c>
      <c r="R788" s="285" t="s">
        <v>283</v>
      </c>
      <c r="S78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8" s="285">
        <v>0.24</v>
      </c>
      <c r="U78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88" s="287">
        <v>0.75</v>
      </c>
    </row>
    <row r="789" spans="1:22" x14ac:dyDescent="0.25">
      <c r="A789" s="277" t="s">
        <v>85</v>
      </c>
      <c r="B789" s="278">
        <f>_xlfn.XLOOKUP(Catalogo[[#This Row],[Finca]], Fincas[Nombre], Fincas[ID])</f>
        <v>38</v>
      </c>
      <c r="C789" s="277" t="s">
        <v>646</v>
      </c>
      <c r="D789" s="277" t="s">
        <v>862</v>
      </c>
      <c r="E789" s="277"/>
      <c r="F789" s="277"/>
      <c r="G789" s="277"/>
      <c r="H789" s="277"/>
      <c r="I789" s="311" t="s">
        <v>273</v>
      </c>
      <c r="J789" s="309"/>
      <c r="K789" s="278" t="s">
        <v>35</v>
      </c>
      <c r="L78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89" s="279" t="s">
        <v>385</v>
      </c>
      <c r="N789" s="279">
        <v>150</v>
      </c>
      <c r="O789" s="276">
        <v>0.24</v>
      </c>
      <c r="P789" s="280">
        <f>IFERROR(_xlfn.LET(_xlpm.boxType, K789, _xlpm.tallos, N789, _xlpm.cost, O789, _xlpm.precio, Q789,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89" s="296">
        <v>1.19</v>
      </c>
      <c r="R789" s="276" t="s">
        <v>284</v>
      </c>
      <c r="S78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89" s="276">
        <v>0.24</v>
      </c>
      <c r="U78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89" s="274">
        <v>0.69</v>
      </c>
    </row>
    <row r="790" spans="1:22" ht="15.75" thickBot="1" x14ac:dyDescent="0.3">
      <c r="A790" s="288" t="s">
        <v>85</v>
      </c>
      <c r="B790" s="289">
        <f>_xlfn.XLOOKUP(Catalogo[[#This Row],[Finca]], Fincas[Nombre], Fincas[ID])</f>
        <v>38</v>
      </c>
      <c r="C790" s="288" t="s">
        <v>646</v>
      </c>
      <c r="D790" s="288" t="s">
        <v>862</v>
      </c>
      <c r="E790" s="288"/>
      <c r="F790" s="288"/>
      <c r="G790" s="288"/>
      <c r="H790" s="288"/>
      <c r="I790" s="317" t="s">
        <v>273</v>
      </c>
      <c r="J790" s="310"/>
      <c r="K790" s="289" t="s">
        <v>93</v>
      </c>
      <c r="L79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0" s="290" t="s">
        <v>387</v>
      </c>
      <c r="N790" s="290">
        <v>300</v>
      </c>
      <c r="O790" s="292">
        <v>0.24</v>
      </c>
      <c r="P790" s="291">
        <f>IFERROR(_xlfn.LET(_xlpm.boxType, K790, _xlpm.tallos, N790, _xlpm.cost, O790, _xlpm.precio, Q790,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90" s="297">
        <v>1.19</v>
      </c>
      <c r="R790" s="292" t="s">
        <v>285</v>
      </c>
      <c r="S79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0" s="292">
        <v>0.24</v>
      </c>
      <c r="U79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90" s="294">
        <v>0.69</v>
      </c>
    </row>
    <row r="791" spans="1:22" x14ac:dyDescent="0.25">
      <c r="A791" s="277" t="s">
        <v>85</v>
      </c>
      <c r="B791" s="278">
        <f>_xlfn.XLOOKUP(Catalogo[[#This Row],[Finca]], Fincas[Nombre], Fincas[ID])</f>
        <v>38</v>
      </c>
      <c r="C791" s="277" t="s">
        <v>646</v>
      </c>
      <c r="D791" s="277" t="s">
        <v>862</v>
      </c>
      <c r="E791" s="277"/>
      <c r="F791" s="277"/>
      <c r="G791" s="277"/>
      <c r="H791" s="277"/>
      <c r="I791" s="311" t="s">
        <v>274</v>
      </c>
      <c r="J791" s="309"/>
      <c r="K791" s="278" t="s">
        <v>31</v>
      </c>
      <c r="L79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1" s="279" t="s">
        <v>383</v>
      </c>
      <c r="N791" s="279">
        <v>50</v>
      </c>
      <c r="O791" s="276">
        <v>0.32</v>
      </c>
      <c r="P791" s="280">
        <f>IFERROR(_xlfn.LET(_xlpm.boxType, K791, _xlpm.tallos, N791, _xlpm.cost, O791, _xlpm.precio, Q791,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791" s="296">
        <v>1.49</v>
      </c>
      <c r="R791" s="276" t="s">
        <v>283</v>
      </c>
      <c r="S79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1" s="276">
        <v>0.32</v>
      </c>
      <c r="U79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791" s="274">
        <v>0.85</v>
      </c>
    </row>
    <row r="792" spans="1:22" x14ac:dyDescent="0.25">
      <c r="A792" s="277" t="s">
        <v>85</v>
      </c>
      <c r="B792" s="278">
        <f>_xlfn.XLOOKUP(Catalogo[[#This Row],[Finca]], Fincas[Nombre], Fincas[ID])</f>
        <v>38</v>
      </c>
      <c r="C792" s="277" t="s">
        <v>646</v>
      </c>
      <c r="D792" s="277" t="s">
        <v>862</v>
      </c>
      <c r="E792" s="277"/>
      <c r="F792" s="277"/>
      <c r="G792" s="277"/>
      <c r="H792" s="277"/>
      <c r="I792" s="311" t="s">
        <v>274</v>
      </c>
      <c r="J792" s="309"/>
      <c r="K792" s="278" t="s">
        <v>35</v>
      </c>
      <c r="L79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2" s="279" t="s">
        <v>385</v>
      </c>
      <c r="N792" s="279">
        <v>125</v>
      </c>
      <c r="O792" s="276">
        <v>0.32</v>
      </c>
      <c r="P792" s="280">
        <f>IFERROR(_xlfn.LET(_xlpm.boxType, K792, _xlpm.tallos, N792, _xlpm.cost, O792, _xlpm.precio, Q792,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792" s="296">
        <v>1.39</v>
      </c>
      <c r="R792" s="276" t="s">
        <v>284</v>
      </c>
      <c r="S79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2" s="276">
        <v>0.32</v>
      </c>
      <c r="U79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92" s="274">
        <v>0.79</v>
      </c>
    </row>
    <row r="793" spans="1:22" ht="15.75" thickBot="1" x14ac:dyDescent="0.3">
      <c r="A793" s="277" t="s">
        <v>85</v>
      </c>
      <c r="B793" s="278">
        <f>_xlfn.XLOOKUP(Catalogo[[#This Row],[Finca]], Fincas[Nombre], Fincas[ID])</f>
        <v>38</v>
      </c>
      <c r="C793" s="277" t="s">
        <v>646</v>
      </c>
      <c r="D793" s="277" t="s">
        <v>862</v>
      </c>
      <c r="E793" s="277"/>
      <c r="F793" s="277"/>
      <c r="G793" s="277"/>
      <c r="H793" s="277"/>
      <c r="I793" s="311" t="s">
        <v>274</v>
      </c>
      <c r="J793" s="309"/>
      <c r="K793" s="278" t="s">
        <v>93</v>
      </c>
      <c r="L79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3" s="279" t="s">
        <v>387</v>
      </c>
      <c r="N793" s="279">
        <v>250</v>
      </c>
      <c r="O793" s="276">
        <v>0.32</v>
      </c>
      <c r="P793" s="280">
        <f>IFERROR(_xlfn.LET(_xlpm.boxType, K793, _xlpm.tallos, N793, _xlpm.cost, O793, _xlpm.precio, Q793,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793" s="296">
        <v>1.39</v>
      </c>
      <c r="R793" s="276" t="s">
        <v>285</v>
      </c>
      <c r="S79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3" s="276">
        <v>0.32</v>
      </c>
      <c r="U79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793" s="274">
        <v>0.79</v>
      </c>
    </row>
    <row r="794" spans="1:22" x14ac:dyDescent="0.25">
      <c r="A794" s="281" t="s">
        <v>85</v>
      </c>
      <c r="B794" s="282">
        <f>_xlfn.XLOOKUP(Catalogo[[#This Row],[Finca]], Fincas[Nombre], Fincas[ID])</f>
        <v>38</v>
      </c>
      <c r="C794" s="281" t="s">
        <v>646</v>
      </c>
      <c r="D794" s="281" t="s">
        <v>862</v>
      </c>
      <c r="E794" s="281"/>
      <c r="F794" s="281"/>
      <c r="G794" s="281"/>
      <c r="H794" s="281"/>
      <c r="I794" s="316" t="s">
        <v>275</v>
      </c>
      <c r="J794" s="308"/>
      <c r="K794" s="282" t="s">
        <v>31</v>
      </c>
      <c r="L79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4" s="283" t="s">
        <v>383</v>
      </c>
      <c r="N794" s="283">
        <v>50</v>
      </c>
      <c r="O794" s="285">
        <v>0.36</v>
      </c>
      <c r="P794" s="284">
        <f>IFERROR(_xlfn.LET(_xlpm.boxType, K794, _xlpm.tallos, N794, _xlpm.cost, O794, _xlpm.precio, Q794,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94" s="295">
        <v>1.59</v>
      </c>
      <c r="R794" s="285" t="s">
        <v>283</v>
      </c>
      <c r="S79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4" s="285">
        <v>0.36</v>
      </c>
      <c r="U79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794" s="287">
        <v>0.99</v>
      </c>
    </row>
    <row r="795" spans="1:22" x14ac:dyDescent="0.25">
      <c r="A795" s="277" t="s">
        <v>85</v>
      </c>
      <c r="B795" s="278">
        <f>_xlfn.XLOOKUP(Catalogo[[#This Row],[Finca]], Fincas[Nombre], Fincas[ID])</f>
        <v>38</v>
      </c>
      <c r="C795" s="277" t="s">
        <v>646</v>
      </c>
      <c r="D795" s="277" t="s">
        <v>862</v>
      </c>
      <c r="E795" s="277"/>
      <c r="F795" s="277"/>
      <c r="G795" s="277"/>
      <c r="H795" s="277"/>
      <c r="I795" s="311" t="s">
        <v>275</v>
      </c>
      <c r="J795" s="309"/>
      <c r="K795" s="278" t="s">
        <v>35</v>
      </c>
      <c r="L79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5" s="279" t="s">
        <v>385</v>
      </c>
      <c r="N795" s="279">
        <v>100</v>
      </c>
      <c r="O795" s="276">
        <v>0.36</v>
      </c>
      <c r="P795" s="280">
        <f>IFERROR(_xlfn.LET(_xlpm.boxType, K795, _xlpm.tallos, N795, _xlpm.cost, O795, _xlpm.precio, Q795,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795" s="296">
        <v>1.59</v>
      </c>
      <c r="R795" s="276" t="s">
        <v>284</v>
      </c>
      <c r="S79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5" s="276">
        <v>0.36</v>
      </c>
      <c r="U79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95" s="274">
        <v>0.89</v>
      </c>
    </row>
    <row r="796" spans="1:22" ht="15.75" thickBot="1" x14ac:dyDescent="0.3">
      <c r="A796" s="288" t="s">
        <v>85</v>
      </c>
      <c r="B796" s="289">
        <f>_xlfn.XLOOKUP(Catalogo[[#This Row],[Finca]], Fincas[Nombre], Fincas[ID])</f>
        <v>38</v>
      </c>
      <c r="C796" s="288" t="s">
        <v>646</v>
      </c>
      <c r="D796" s="288" t="s">
        <v>862</v>
      </c>
      <c r="E796" s="288"/>
      <c r="F796" s="288"/>
      <c r="G796" s="288"/>
      <c r="H796" s="288"/>
      <c r="I796" s="317" t="s">
        <v>275</v>
      </c>
      <c r="J796" s="310"/>
      <c r="K796" s="289" t="s">
        <v>93</v>
      </c>
      <c r="L79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6" s="290" t="s">
        <v>387</v>
      </c>
      <c r="N796" s="290">
        <v>200</v>
      </c>
      <c r="O796" s="292">
        <v>0.36</v>
      </c>
      <c r="P796" s="291">
        <f>IFERROR(_xlfn.LET(_xlpm.boxType, K796, _xlpm.tallos, N796, _xlpm.cost, O796, _xlpm.precio, Q796,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796" s="297">
        <v>1.59</v>
      </c>
      <c r="R796" s="292" t="s">
        <v>285</v>
      </c>
      <c r="S79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6" s="292">
        <v>0.36</v>
      </c>
      <c r="U79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796" s="294">
        <v>0.89</v>
      </c>
    </row>
    <row r="797" spans="1:22" x14ac:dyDescent="0.25">
      <c r="A797" s="281" t="s">
        <v>85</v>
      </c>
      <c r="B797" s="282">
        <f>_xlfn.XLOOKUP(Catalogo[[#This Row],[Finca]], Fincas[Nombre], Fincas[ID])</f>
        <v>38</v>
      </c>
      <c r="C797" s="281" t="s">
        <v>646</v>
      </c>
      <c r="D797" s="281" t="s">
        <v>863</v>
      </c>
      <c r="E797" s="281"/>
      <c r="F797" s="281"/>
      <c r="G797" s="281"/>
      <c r="H797" s="281"/>
      <c r="I797" s="316" t="s">
        <v>273</v>
      </c>
      <c r="J797" s="308"/>
      <c r="K797" s="282" t="s">
        <v>31</v>
      </c>
      <c r="L79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7" s="283" t="s">
        <v>383</v>
      </c>
      <c r="N797" s="283">
        <v>50</v>
      </c>
      <c r="O797" s="285">
        <v>0.24</v>
      </c>
      <c r="P797" s="284">
        <f>IFERROR(_xlfn.LET(_xlpm.boxType, K797, _xlpm.tallos, N797, _xlpm.cost, O797, _xlpm.precio, Q797,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797" s="295">
        <v>1.29</v>
      </c>
      <c r="R797" s="285" t="s">
        <v>283</v>
      </c>
      <c r="S79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7" s="285">
        <v>0.24</v>
      </c>
      <c r="U79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797" s="287">
        <v>0.75</v>
      </c>
    </row>
    <row r="798" spans="1:22" x14ac:dyDescent="0.25">
      <c r="A798" s="277" t="s">
        <v>85</v>
      </c>
      <c r="B798" s="278">
        <f>_xlfn.XLOOKUP(Catalogo[[#This Row],[Finca]], Fincas[Nombre], Fincas[ID])</f>
        <v>38</v>
      </c>
      <c r="C798" s="277" t="s">
        <v>646</v>
      </c>
      <c r="D798" s="277" t="s">
        <v>863</v>
      </c>
      <c r="E798" s="277"/>
      <c r="F798" s="277"/>
      <c r="G798" s="277"/>
      <c r="H798" s="277"/>
      <c r="I798" s="311" t="s">
        <v>273</v>
      </c>
      <c r="J798" s="309"/>
      <c r="K798" s="278" t="s">
        <v>35</v>
      </c>
      <c r="L79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8" s="279" t="s">
        <v>385</v>
      </c>
      <c r="N798" s="279">
        <v>150</v>
      </c>
      <c r="O798" s="276">
        <v>0.24</v>
      </c>
      <c r="P798" s="280">
        <f>IFERROR(_xlfn.LET(_xlpm.boxType, K798, _xlpm.tallos, N798, _xlpm.cost, O798, _xlpm.precio, Q798,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798" s="296">
        <v>1.19</v>
      </c>
      <c r="R798" s="276" t="s">
        <v>284</v>
      </c>
      <c r="S79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8" s="276">
        <v>0.24</v>
      </c>
      <c r="U79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98" s="274">
        <v>0.69</v>
      </c>
    </row>
    <row r="799" spans="1:22" ht="15.75" thickBot="1" x14ac:dyDescent="0.3">
      <c r="A799" s="288" t="s">
        <v>85</v>
      </c>
      <c r="B799" s="289">
        <f>_xlfn.XLOOKUP(Catalogo[[#This Row],[Finca]], Fincas[Nombre], Fincas[ID])</f>
        <v>38</v>
      </c>
      <c r="C799" s="288" t="s">
        <v>646</v>
      </c>
      <c r="D799" s="288" t="s">
        <v>863</v>
      </c>
      <c r="E799" s="288"/>
      <c r="F799" s="288"/>
      <c r="G799" s="288"/>
      <c r="H799" s="288"/>
      <c r="I799" s="317" t="s">
        <v>273</v>
      </c>
      <c r="J799" s="310"/>
      <c r="K799" s="289" t="s">
        <v>93</v>
      </c>
      <c r="L79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799" s="290" t="s">
        <v>387</v>
      </c>
      <c r="N799" s="290">
        <v>300</v>
      </c>
      <c r="O799" s="292">
        <v>0.24</v>
      </c>
      <c r="P799" s="291">
        <f>IFERROR(_xlfn.LET(_xlpm.boxType, K799, _xlpm.tallos, N799, _xlpm.cost, O799, _xlpm.precio, Q799,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799" s="297">
        <v>1.19</v>
      </c>
      <c r="R799" s="292" t="s">
        <v>285</v>
      </c>
      <c r="S79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799" s="292">
        <v>0.24</v>
      </c>
      <c r="U79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799" s="294">
        <v>0.69</v>
      </c>
    </row>
    <row r="800" spans="1:22" x14ac:dyDescent="0.25">
      <c r="A800" s="277" t="s">
        <v>85</v>
      </c>
      <c r="B800" s="278">
        <f>_xlfn.XLOOKUP(Catalogo[[#This Row],[Finca]], Fincas[Nombre], Fincas[ID])</f>
        <v>38</v>
      </c>
      <c r="C800" s="277" t="s">
        <v>646</v>
      </c>
      <c r="D800" s="277" t="s">
        <v>863</v>
      </c>
      <c r="E800" s="277"/>
      <c r="F800" s="277"/>
      <c r="G800" s="277"/>
      <c r="H800" s="277"/>
      <c r="I800" s="311" t="s">
        <v>274</v>
      </c>
      <c r="J800" s="309"/>
      <c r="K800" s="278" t="s">
        <v>31</v>
      </c>
      <c r="L80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0" s="279" t="s">
        <v>383</v>
      </c>
      <c r="N800" s="279">
        <v>50</v>
      </c>
      <c r="O800" s="276">
        <v>0.32</v>
      </c>
      <c r="P800" s="280">
        <f>IFERROR(_xlfn.LET(_xlpm.boxType, K800, _xlpm.tallos, N800, _xlpm.cost, O800, _xlpm.precio, Q800,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00" s="296">
        <v>1.49</v>
      </c>
      <c r="R800" s="276" t="s">
        <v>283</v>
      </c>
      <c r="S80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0" s="276">
        <v>0.32</v>
      </c>
      <c r="U80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00" s="274">
        <v>0.85</v>
      </c>
    </row>
    <row r="801" spans="1:22" x14ac:dyDescent="0.25">
      <c r="A801" s="277" t="s">
        <v>85</v>
      </c>
      <c r="B801" s="278">
        <f>_xlfn.XLOOKUP(Catalogo[[#This Row],[Finca]], Fincas[Nombre], Fincas[ID])</f>
        <v>38</v>
      </c>
      <c r="C801" s="277" t="s">
        <v>646</v>
      </c>
      <c r="D801" s="277" t="s">
        <v>863</v>
      </c>
      <c r="E801" s="277"/>
      <c r="F801" s="277"/>
      <c r="G801" s="277"/>
      <c r="H801" s="277"/>
      <c r="I801" s="311" t="s">
        <v>274</v>
      </c>
      <c r="J801" s="309"/>
      <c r="K801" s="278" t="s">
        <v>35</v>
      </c>
      <c r="L80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1" s="279" t="s">
        <v>385</v>
      </c>
      <c r="N801" s="279">
        <v>125</v>
      </c>
      <c r="O801" s="276">
        <v>0.32</v>
      </c>
      <c r="P801" s="280">
        <f>IFERROR(_xlfn.LET(_xlpm.boxType, K801, _xlpm.tallos, N801, _xlpm.cost, O801, _xlpm.precio, Q801,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01" s="296">
        <v>1.39</v>
      </c>
      <c r="R801" s="276" t="s">
        <v>284</v>
      </c>
      <c r="S80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1" s="276">
        <v>0.32</v>
      </c>
      <c r="U80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01" s="274">
        <v>0.79</v>
      </c>
    </row>
    <row r="802" spans="1:22" ht="15.75" thickBot="1" x14ac:dyDescent="0.3">
      <c r="A802" s="277" t="s">
        <v>85</v>
      </c>
      <c r="B802" s="278">
        <f>_xlfn.XLOOKUP(Catalogo[[#This Row],[Finca]], Fincas[Nombre], Fincas[ID])</f>
        <v>38</v>
      </c>
      <c r="C802" s="277" t="s">
        <v>646</v>
      </c>
      <c r="D802" s="277" t="s">
        <v>863</v>
      </c>
      <c r="E802" s="277"/>
      <c r="F802" s="277"/>
      <c r="G802" s="277"/>
      <c r="H802" s="277"/>
      <c r="I802" s="311" t="s">
        <v>274</v>
      </c>
      <c r="J802" s="309"/>
      <c r="K802" s="278" t="s">
        <v>93</v>
      </c>
      <c r="L80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2" s="279" t="s">
        <v>387</v>
      </c>
      <c r="N802" s="279">
        <v>250</v>
      </c>
      <c r="O802" s="276">
        <v>0.32</v>
      </c>
      <c r="P802" s="280">
        <f>IFERROR(_xlfn.LET(_xlpm.boxType, K802, _xlpm.tallos, N802, _xlpm.cost, O802, _xlpm.precio, Q802,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02" s="296">
        <v>1.39</v>
      </c>
      <c r="R802" s="276" t="s">
        <v>285</v>
      </c>
      <c r="S80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2" s="276">
        <v>0.32</v>
      </c>
      <c r="U80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02" s="274">
        <v>0.79</v>
      </c>
    </row>
    <row r="803" spans="1:22" x14ac:dyDescent="0.25">
      <c r="A803" s="281" t="s">
        <v>85</v>
      </c>
      <c r="B803" s="282">
        <f>_xlfn.XLOOKUP(Catalogo[[#This Row],[Finca]], Fincas[Nombre], Fincas[ID])</f>
        <v>38</v>
      </c>
      <c r="C803" s="281" t="s">
        <v>646</v>
      </c>
      <c r="D803" s="281" t="s">
        <v>863</v>
      </c>
      <c r="E803" s="281"/>
      <c r="F803" s="281"/>
      <c r="G803" s="281"/>
      <c r="H803" s="281"/>
      <c r="I803" s="316" t="s">
        <v>275</v>
      </c>
      <c r="J803" s="308"/>
      <c r="K803" s="282" t="s">
        <v>31</v>
      </c>
      <c r="L80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3" s="283" t="s">
        <v>383</v>
      </c>
      <c r="N803" s="283">
        <v>50</v>
      </c>
      <c r="O803" s="285">
        <v>0.36</v>
      </c>
      <c r="P803" s="284">
        <f>IFERROR(_xlfn.LET(_xlpm.boxType, K803, _xlpm.tallos, N803, _xlpm.cost, O803, _xlpm.precio, Q803,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03" s="295">
        <v>1.59</v>
      </c>
      <c r="R803" s="285" t="s">
        <v>283</v>
      </c>
      <c r="S80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3" s="285">
        <v>0.36</v>
      </c>
      <c r="U80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03" s="287">
        <v>0.99</v>
      </c>
    </row>
    <row r="804" spans="1:22" x14ac:dyDescent="0.25">
      <c r="A804" s="277" t="s">
        <v>85</v>
      </c>
      <c r="B804" s="278">
        <f>_xlfn.XLOOKUP(Catalogo[[#This Row],[Finca]], Fincas[Nombre], Fincas[ID])</f>
        <v>38</v>
      </c>
      <c r="C804" s="277" t="s">
        <v>646</v>
      </c>
      <c r="D804" s="277" t="s">
        <v>863</v>
      </c>
      <c r="E804" s="277"/>
      <c r="F804" s="277"/>
      <c r="G804" s="277"/>
      <c r="H804" s="277"/>
      <c r="I804" s="311" t="s">
        <v>275</v>
      </c>
      <c r="J804" s="309"/>
      <c r="K804" s="278" t="s">
        <v>35</v>
      </c>
      <c r="L80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4" s="279" t="s">
        <v>385</v>
      </c>
      <c r="N804" s="279">
        <v>100</v>
      </c>
      <c r="O804" s="276">
        <v>0.36</v>
      </c>
      <c r="P804" s="280">
        <f>IFERROR(_xlfn.LET(_xlpm.boxType, K804, _xlpm.tallos, N804, _xlpm.cost, O804, _xlpm.precio, Q804,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04" s="296">
        <v>1.59</v>
      </c>
      <c r="R804" s="276" t="s">
        <v>284</v>
      </c>
      <c r="S80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4" s="276">
        <v>0.36</v>
      </c>
      <c r="U80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04" s="274">
        <v>0.89</v>
      </c>
    </row>
    <row r="805" spans="1:22" ht="15.75" thickBot="1" x14ac:dyDescent="0.3">
      <c r="A805" s="288" t="s">
        <v>85</v>
      </c>
      <c r="B805" s="289">
        <f>_xlfn.XLOOKUP(Catalogo[[#This Row],[Finca]], Fincas[Nombre], Fincas[ID])</f>
        <v>38</v>
      </c>
      <c r="C805" s="288" t="s">
        <v>646</v>
      </c>
      <c r="D805" s="288" t="s">
        <v>863</v>
      </c>
      <c r="E805" s="288"/>
      <c r="F805" s="288"/>
      <c r="G805" s="288"/>
      <c r="H805" s="288"/>
      <c r="I805" s="317" t="s">
        <v>275</v>
      </c>
      <c r="J805" s="310"/>
      <c r="K805" s="289" t="s">
        <v>93</v>
      </c>
      <c r="L80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5" s="290" t="s">
        <v>387</v>
      </c>
      <c r="N805" s="290">
        <v>200</v>
      </c>
      <c r="O805" s="292">
        <v>0.36</v>
      </c>
      <c r="P805" s="291">
        <f>IFERROR(_xlfn.LET(_xlpm.boxType, K805, _xlpm.tallos, N805, _xlpm.cost, O805, _xlpm.precio, Q805,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05" s="297">
        <v>1.59</v>
      </c>
      <c r="R805" s="292" t="s">
        <v>285</v>
      </c>
      <c r="S80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5" s="292">
        <v>0.36</v>
      </c>
      <c r="U80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05" s="294">
        <v>0.89</v>
      </c>
    </row>
    <row r="806" spans="1:22" x14ac:dyDescent="0.25">
      <c r="A806" s="281" t="s">
        <v>85</v>
      </c>
      <c r="B806" s="282">
        <f>_xlfn.XLOOKUP(Catalogo[[#This Row],[Finca]], Fincas[Nombre], Fincas[ID])</f>
        <v>38</v>
      </c>
      <c r="C806" s="281" t="s">
        <v>646</v>
      </c>
      <c r="D806" s="281" t="s">
        <v>864</v>
      </c>
      <c r="E806" s="281"/>
      <c r="F806" s="281"/>
      <c r="G806" s="281"/>
      <c r="H806" s="281"/>
      <c r="I806" s="316" t="s">
        <v>273</v>
      </c>
      <c r="J806" s="308"/>
      <c r="K806" s="282" t="s">
        <v>31</v>
      </c>
      <c r="L80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6" s="283" t="s">
        <v>383</v>
      </c>
      <c r="N806" s="283">
        <v>50</v>
      </c>
      <c r="O806" s="285">
        <v>0.24</v>
      </c>
      <c r="P806" s="284">
        <f>IFERROR(_xlfn.LET(_xlpm.boxType, K806, _xlpm.tallos, N806, _xlpm.cost, O806, _xlpm.precio, Q806,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06" s="295">
        <v>1.29</v>
      </c>
      <c r="R806" s="285" t="s">
        <v>283</v>
      </c>
      <c r="S80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6" s="285">
        <v>0.24</v>
      </c>
      <c r="U80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06" s="287">
        <v>0.75</v>
      </c>
    </row>
    <row r="807" spans="1:22" x14ac:dyDescent="0.25">
      <c r="A807" s="277" t="s">
        <v>85</v>
      </c>
      <c r="B807" s="278">
        <f>_xlfn.XLOOKUP(Catalogo[[#This Row],[Finca]], Fincas[Nombre], Fincas[ID])</f>
        <v>38</v>
      </c>
      <c r="C807" s="277" t="s">
        <v>646</v>
      </c>
      <c r="D807" s="277" t="s">
        <v>864</v>
      </c>
      <c r="E807" s="277"/>
      <c r="F807" s="277"/>
      <c r="G807" s="277"/>
      <c r="H807" s="277"/>
      <c r="I807" s="311" t="s">
        <v>273</v>
      </c>
      <c r="J807" s="309"/>
      <c r="K807" s="278" t="s">
        <v>35</v>
      </c>
      <c r="L80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7" s="279" t="s">
        <v>385</v>
      </c>
      <c r="N807" s="279">
        <v>150</v>
      </c>
      <c r="O807" s="276">
        <v>0.24</v>
      </c>
      <c r="P807" s="280">
        <f>IFERROR(_xlfn.LET(_xlpm.boxType, K807, _xlpm.tallos, N807, _xlpm.cost, O807, _xlpm.precio, Q807,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07" s="296">
        <v>1.19</v>
      </c>
      <c r="R807" s="276" t="s">
        <v>284</v>
      </c>
      <c r="S80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7" s="276">
        <v>0.24</v>
      </c>
      <c r="U80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07" s="274">
        <v>0.69</v>
      </c>
    </row>
    <row r="808" spans="1:22" ht="15.75" thickBot="1" x14ac:dyDescent="0.3">
      <c r="A808" s="288" t="s">
        <v>85</v>
      </c>
      <c r="B808" s="289">
        <f>_xlfn.XLOOKUP(Catalogo[[#This Row],[Finca]], Fincas[Nombre], Fincas[ID])</f>
        <v>38</v>
      </c>
      <c r="C808" s="288" t="s">
        <v>646</v>
      </c>
      <c r="D808" s="288" t="s">
        <v>864</v>
      </c>
      <c r="E808" s="288"/>
      <c r="F808" s="288"/>
      <c r="G808" s="288"/>
      <c r="H808" s="288"/>
      <c r="I808" s="317" t="s">
        <v>273</v>
      </c>
      <c r="J808" s="310"/>
      <c r="K808" s="289" t="s">
        <v>93</v>
      </c>
      <c r="L80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8" s="290" t="s">
        <v>387</v>
      </c>
      <c r="N808" s="290">
        <v>300</v>
      </c>
      <c r="O808" s="292">
        <v>0.24</v>
      </c>
      <c r="P808" s="291">
        <f>IFERROR(_xlfn.LET(_xlpm.boxType, K808, _xlpm.tallos, N808, _xlpm.cost, O808, _xlpm.precio, Q808,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08" s="297">
        <v>1.19</v>
      </c>
      <c r="R808" s="292" t="s">
        <v>285</v>
      </c>
      <c r="S80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8" s="292">
        <v>0.24</v>
      </c>
      <c r="U80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08" s="294">
        <v>0.69</v>
      </c>
    </row>
    <row r="809" spans="1:22" x14ac:dyDescent="0.25">
      <c r="A809" s="277" t="s">
        <v>85</v>
      </c>
      <c r="B809" s="278">
        <f>_xlfn.XLOOKUP(Catalogo[[#This Row],[Finca]], Fincas[Nombre], Fincas[ID])</f>
        <v>38</v>
      </c>
      <c r="C809" s="277" t="s">
        <v>646</v>
      </c>
      <c r="D809" s="277" t="s">
        <v>864</v>
      </c>
      <c r="E809" s="277"/>
      <c r="F809" s="277"/>
      <c r="G809" s="277"/>
      <c r="H809" s="277"/>
      <c r="I809" s="311" t="s">
        <v>274</v>
      </c>
      <c r="J809" s="309"/>
      <c r="K809" s="278" t="s">
        <v>31</v>
      </c>
      <c r="L80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09" s="279" t="s">
        <v>383</v>
      </c>
      <c r="N809" s="279">
        <v>50</v>
      </c>
      <c r="O809" s="276">
        <v>0.32</v>
      </c>
      <c r="P809" s="280">
        <f>IFERROR(_xlfn.LET(_xlpm.boxType, K809, _xlpm.tallos, N809, _xlpm.cost, O809, _xlpm.precio, Q809,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09" s="296">
        <v>1.49</v>
      </c>
      <c r="R809" s="276" t="s">
        <v>283</v>
      </c>
      <c r="S80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09" s="276">
        <v>0.32</v>
      </c>
      <c r="U80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09" s="274">
        <v>0.85</v>
      </c>
    </row>
    <row r="810" spans="1:22" x14ac:dyDescent="0.25">
      <c r="A810" s="277" t="s">
        <v>85</v>
      </c>
      <c r="B810" s="278">
        <f>_xlfn.XLOOKUP(Catalogo[[#This Row],[Finca]], Fincas[Nombre], Fincas[ID])</f>
        <v>38</v>
      </c>
      <c r="C810" s="277" t="s">
        <v>646</v>
      </c>
      <c r="D810" s="277" t="s">
        <v>864</v>
      </c>
      <c r="E810" s="277"/>
      <c r="F810" s="277"/>
      <c r="G810" s="277"/>
      <c r="H810" s="277"/>
      <c r="I810" s="311" t="s">
        <v>274</v>
      </c>
      <c r="J810" s="309"/>
      <c r="K810" s="278" t="s">
        <v>35</v>
      </c>
      <c r="L8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0" s="279" t="s">
        <v>385</v>
      </c>
      <c r="N810" s="279">
        <v>125</v>
      </c>
      <c r="O810" s="276">
        <v>0.32</v>
      </c>
      <c r="P810" s="280">
        <f>IFERROR(_xlfn.LET(_xlpm.boxType, K810, _xlpm.tallos, N810, _xlpm.cost, O810, _xlpm.precio, Q810,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10" s="296">
        <v>1.39</v>
      </c>
      <c r="R810" s="276" t="s">
        <v>284</v>
      </c>
      <c r="S8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0" s="276">
        <v>0.32</v>
      </c>
      <c r="U81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10" s="274">
        <v>0.79</v>
      </c>
    </row>
    <row r="811" spans="1:22" ht="15.75" thickBot="1" x14ac:dyDescent="0.3">
      <c r="A811" s="277" t="s">
        <v>85</v>
      </c>
      <c r="B811" s="278">
        <f>_xlfn.XLOOKUP(Catalogo[[#This Row],[Finca]], Fincas[Nombre], Fincas[ID])</f>
        <v>38</v>
      </c>
      <c r="C811" s="277" t="s">
        <v>646</v>
      </c>
      <c r="D811" s="277" t="s">
        <v>864</v>
      </c>
      <c r="E811" s="277"/>
      <c r="F811" s="277"/>
      <c r="G811" s="277"/>
      <c r="H811" s="277"/>
      <c r="I811" s="311" t="s">
        <v>274</v>
      </c>
      <c r="J811" s="309"/>
      <c r="K811" s="278" t="s">
        <v>93</v>
      </c>
      <c r="L81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1" s="279" t="s">
        <v>387</v>
      </c>
      <c r="N811" s="279">
        <v>250</v>
      </c>
      <c r="O811" s="276">
        <v>0.32</v>
      </c>
      <c r="P811" s="280">
        <f>IFERROR(_xlfn.LET(_xlpm.boxType, K811, _xlpm.tallos, N811, _xlpm.cost, O811, _xlpm.precio, Q811,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11" s="296">
        <v>1.39</v>
      </c>
      <c r="R811" s="276" t="s">
        <v>285</v>
      </c>
      <c r="S81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1" s="276">
        <v>0.32</v>
      </c>
      <c r="U81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11" s="274">
        <v>0.79</v>
      </c>
    </row>
    <row r="812" spans="1:22" x14ac:dyDescent="0.25">
      <c r="A812" s="281" t="s">
        <v>85</v>
      </c>
      <c r="B812" s="282">
        <f>_xlfn.XLOOKUP(Catalogo[[#This Row],[Finca]], Fincas[Nombre], Fincas[ID])</f>
        <v>38</v>
      </c>
      <c r="C812" s="281" t="s">
        <v>646</v>
      </c>
      <c r="D812" s="281" t="s">
        <v>864</v>
      </c>
      <c r="E812" s="281"/>
      <c r="F812" s="281"/>
      <c r="G812" s="281"/>
      <c r="H812" s="281"/>
      <c r="I812" s="316" t="s">
        <v>275</v>
      </c>
      <c r="J812" s="308"/>
      <c r="K812" s="282" t="s">
        <v>31</v>
      </c>
      <c r="L81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2" s="283" t="s">
        <v>383</v>
      </c>
      <c r="N812" s="283">
        <v>50</v>
      </c>
      <c r="O812" s="285">
        <v>0.36</v>
      </c>
      <c r="P812" s="284">
        <f>IFERROR(_xlfn.LET(_xlpm.boxType, K812, _xlpm.tallos, N812, _xlpm.cost, O812, _xlpm.precio, Q812,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12" s="295">
        <v>1.59</v>
      </c>
      <c r="R812" s="285" t="s">
        <v>283</v>
      </c>
      <c r="S81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2" s="285">
        <v>0.36</v>
      </c>
      <c r="U81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12" s="287">
        <v>0.99</v>
      </c>
    </row>
    <row r="813" spans="1:22" x14ac:dyDescent="0.25">
      <c r="A813" s="277" t="s">
        <v>85</v>
      </c>
      <c r="B813" s="278">
        <f>_xlfn.XLOOKUP(Catalogo[[#This Row],[Finca]], Fincas[Nombre], Fincas[ID])</f>
        <v>38</v>
      </c>
      <c r="C813" s="277" t="s">
        <v>646</v>
      </c>
      <c r="D813" s="277" t="s">
        <v>864</v>
      </c>
      <c r="E813" s="277"/>
      <c r="F813" s="277"/>
      <c r="G813" s="277"/>
      <c r="H813" s="277"/>
      <c r="I813" s="311" t="s">
        <v>275</v>
      </c>
      <c r="J813" s="309"/>
      <c r="K813" s="278" t="s">
        <v>35</v>
      </c>
      <c r="L81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3" s="279" t="s">
        <v>385</v>
      </c>
      <c r="N813" s="279">
        <v>100</v>
      </c>
      <c r="O813" s="276">
        <v>0.36</v>
      </c>
      <c r="P813" s="280">
        <f>IFERROR(_xlfn.LET(_xlpm.boxType, K813, _xlpm.tallos, N813, _xlpm.cost, O813, _xlpm.precio, Q813,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13" s="296">
        <v>1.59</v>
      </c>
      <c r="R813" s="276" t="s">
        <v>284</v>
      </c>
      <c r="S81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3" s="276">
        <v>0.36</v>
      </c>
      <c r="U81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13" s="274">
        <v>0.89</v>
      </c>
    </row>
    <row r="814" spans="1:22" ht="15.75" thickBot="1" x14ac:dyDescent="0.3">
      <c r="A814" s="288" t="s">
        <v>85</v>
      </c>
      <c r="B814" s="289">
        <f>_xlfn.XLOOKUP(Catalogo[[#This Row],[Finca]], Fincas[Nombre], Fincas[ID])</f>
        <v>38</v>
      </c>
      <c r="C814" s="288" t="s">
        <v>646</v>
      </c>
      <c r="D814" s="288" t="s">
        <v>864</v>
      </c>
      <c r="E814" s="288"/>
      <c r="F814" s="288"/>
      <c r="G814" s="288"/>
      <c r="H814" s="288"/>
      <c r="I814" s="317" t="s">
        <v>275</v>
      </c>
      <c r="J814" s="310"/>
      <c r="K814" s="289" t="s">
        <v>93</v>
      </c>
      <c r="L81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4" s="290" t="s">
        <v>387</v>
      </c>
      <c r="N814" s="290">
        <v>200</v>
      </c>
      <c r="O814" s="292">
        <v>0.36</v>
      </c>
      <c r="P814" s="291">
        <f>IFERROR(_xlfn.LET(_xlpm.boxType, K814, _xlpm.tallos, N814, _xlpm.cost, O814, _xlpm.precio, Q814,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14" s="297">
        <v>1.59</v>
      </c>
      <c r="R814" s="292" t="s">
        <v>285</v>
      </c>
      <c r="S81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4" s="292">
        <v>0.36</v>
      </c>
      <c r="U81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14" s="294">
        <v>0.89</v>
      </c>
    </row>
    <row r="815" spans="1:22" x14ac:dyDescent="0.25">
      <c r="A815" s="281" t="s">
        <v>85</v>
      </c>
      <c r="B815" s="282">
        <f>_xlfn.XLOOKUP(Catalogo[[#This Row],[Finca]], Fincas[Nombre], Fincas[ID])</f>
        <v>38</v>
      </c>
      <c r="C815" s="281" t="s">
        <v>646</v>
      </c>
      <c r="D815" s="281" t="s">
        <v>865</v>
      </c>
      <c r="E815" s="281"/>
      <c r="F815" s="281"/>
      <c r="G815" s="281"/>
      <c r="H815" s="281"/>
      <c r="I815" s="316" t="s">
        <v>273</v>
      </c>
      <c r="J815" s="308"/>
      <c r="K815" s="282" t="s">
        <v>31</v>
      </c>
      <c r="L81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5" s="283" t="s">
        <v>383</v>
      </c>
      <c r="N815" s="283">
        <v>50</v>
      </c>
      <c r="O815" s="285">
        <v>0.24</v>
      </c>
      <c r="P815" s="284">
        <f>IFERROR(_xlfn.LET(_xlpm.boxType, K815, _xlpm.tallos, N815, _xlpm.cost, O815, _xlpm.precio, Q815,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15" s="295">
        <v>1.29</v>
      </c>
      <c r="R815" s="285" t="s">
        <v>283</v>
      </c>
      <c r="S81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5" s="285">
        <v>0.24</v>
      </c>
      <c r="U81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15" s="287">
        <v>0.75</v>
      </c>
    </row>
    <row r="816" spans="1:22" x14ac:dyDescent="0.25">
      <c r="A816" s="277" t="s">
        <v>85</v>
      </c>
      <c r="B816" s="278">
        <f>_xlfn.XLOOKUP(Catalogo[[#This Row],[Finca]], Fincas[Nombre], Fincas[ID])</f>
        <v>38</v>
      </c>
      <c r="C816" s="277" t="s">
        <v>646</v>
      </c>
      <c r="D816" s="277" t="s">
        <v>865</v>
      </c>
      <c r="E816" s="277"/>
      <c r="F816" s="277"/>
      <c r="G816" s="277"/>
      <c r="H816" s="277"/>
      <c r="I816" s="311" t="s">
        <v>273</v>
      </c>
      <c r="J816" s="309"/>
      <c r="K816" s="278" t="s">
        <v>35</v>
      </c>
      <c r="L81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6" s="279" t="s">
        <v>385</v>
      </c>
      <c r="N816" s="279">
        <v>150</v>
      </c>
      <c r="O816" s="276">
        <v>0.24</v>
      </c>
      <c r="P816" s="280">
        <f>IFERROR(_xlfn.LET(_xlpm.boxType, K816, _xlpm.tallos, N816, _xlpm.cost, O816, _xlpm.precio, Q816,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16" s="296">
        <v>1.19</v>
      </c>
      <c r="R816" s="276" t="s">
        <v>284</v>
      </c>
      <c r="S81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6" s="276">
        <v>0.24</v>
      </c>
      <c r="U81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16" s="274">
        <v>0.69</v>
      </c>
    </row>
    <row r="817" spans="1:22" ht="15.75" thickBot="1" x14ac:dyDescent="0.3">
      <c r="A817" s="288" t="s">
        <v>85</v>
      </c>
      <c r="B817" s="289">
        <f>_xlfn.XLOOKUP(Catalogo[[#This Row],[Finca]], Fincas[Nombre], Fincas[ID])</f>
        <v>38</v>
      </c>
      <c r="C817" s="288" t="s">
        <v>646</v>
      </c>
      <c r="D817" s="288" t="s">
        <v>865</v>
      </c>
      <c r="E817" s="288"/>
      <c r="F817" s="288"/>
      <c r="G817" s="288"/>
      <c r="H817" s="288"/>
      <c r="I817" s="317" t="s">
        <v>273</v>
      </c>
      <c r="J817" s="310"/>
      <c r="K817" s="289" t="s">
        <v>93</v>
      </c>
      <c r="L81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7" s="290" t="s">
        <v>387</v>
      </c>
      <c r="N817" s="290">
        <v>300</v>
      </c>
      <c r="O817" s="292">
        <v>0.24</v>
      </c>
      <c r="P817" s="291">
        <f>IFERROR(_xlfn.LET(_xlpm.boxType, K817, _xlpm.tallos, N817, _xlpm.cost, O817, _xlpm.precio, Q817,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17" s="297">
        <v>1.19</v>
      </c>
      <c r="R817" s="292" t="s">
        <v>285</v>
      </c>
      <c r="S81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7" s="292">
        <v>0.24</v>
      </c>
      <c r="U81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17" s="294">
        <v>0.69</v>
      </c>
    </row>
    <row r="818" spans="1:22" x14ac:dyDescent="0.25">
      <c r="A818" s="277" t="s">
        <v>85</v>
      </c>
      <c r="B818" s="278">
        <f>_xlfn.XLOOKUP(Catalogo[[#This Row],[Finca]], Fincas[Nombre], Fincas[ID])</f>
        <v>38</v>
      </c>
      <c r="C818" s="277" t="s">
        <v>646</v>
      </c>
      <c r="D818" s="277" t="s">
        <v>865</v>
      </c>
      <c r="E818" s="277"/>
      <c r="F818" s="277"/>
      <c r="G818" s="277"/>
      <c r="H818" s="277"/>
      <c r="I818" s="311" t="s">
        <v>274</v>
      </c>
      <c r="J818" s="309"/>
      <c r="K818" s="278" t="s">
        <v>31</v>
      </c>
      <c r="L81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8" s="279" t="s">
        <v>383</v>
      </c>
      <c r="N818" s="279">
        <v>50</v>
      </c>
      <c r="O818" s="276">
        <v>0.32</v>
      </c>
      <c r="P818" s="280">
        <f>IFERROR(_xlfn.LET(_xlpm.boxType, K818, _xlpm.tallos, N818, _xlpm.cost, O818, _xlpm.precio, Q818,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18" s="296">
        <v>1.49</v>
      </c>
      <c r="R818" s="276" t="s">
        <v>283</v>
      </c>
      <c r="S81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8" s="276">
        <v>0.32</v>
      </c>
      <c r="U81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18" s="274">
        <v>0.85</v>
      </c>
    </row>
    <row r="819" spans="1:22" x14ac:dyDescent="0.25">
      <c r="A819" s="277" t="s">
        <v>85</v>
      </c>
      <c r="B819" s="278">
        <f>_xlfn.XLOOKUP(Catalogo[[#This Row],[Finca]], Fincas[Nombre], Fincas[ID])</f>
        <v>38</v>
      </c>
      <c r="C819" s="277" t="s">
        <v>646</v>
      </c>
      <c r="D819" s="277" t="s">
        <v>865</v>
      </c>
      <c r="E819" s="277"/>
      <c r="F819" s="277"/>
      <c r="G819" s="277"/>
      <c r="H819" s="277"/>
      <c r="I819" s="311" t="s">
        <v>274</v>
      </c>
      <c r="J819" s="309"/>
      <c r="K819" s="278" t="s">
        <v>35</v>
      </c>
      <c r="L8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19" s="279" t="s">
        <v>385</v>
      </c>
      <c r="N819" s="279">
        <v>125</v>
      </c>
      <c r="O819" s="276">
        <v>0.32</v>
      </c>
      <c r="P819" s="280">
        <f>IFERROR(_xlfn.LET(_xlpm.boxType, K819, _xlpm.tallos, N819, _xlpm.cost, O819, _xlpm.precio, Q819,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19" s="296">
        <v>1.39</v>
      </c>
      <c r="R819" s="276" t="s">
        <v>284</v>
      </c>
      <c r="S8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19" s="276">
        <v>0.32</v>
      </c>
      <c r="U81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19" s="274">
        <v>0.79</v>
      </c>
    </row>
    <row r="820" spans="1:22" ht="15.75" thickBot="1" x14ac:dyDescent="0.3">
      <c r="A820" s="277" t="s">
        <v>85</v>
      </c>
      <c r="B820" s="278">
        <f>_xlfn.XLOOKUP(Catalogo[[#This Row],[Finca]], Fincas[Nombre], Fincas[ID])</f>
        <v>38</v>
      </c>
      <c r="C820" s="277" t="s">
        <v>646</v>
      </c>
      <c r="D820" s="277" t="s">
        <v>865</v>
      </c>
      <c r="E820" s="277"/>
      <c r="F820" s="277"/>
      <c r="G820" s="277"/>
      <c r="H820" s="277"/>
      <c r="I820" s="311" t="s">
        <v>274</v>
      </c>
      <c r="J820" s="309"/>
      <c r="K820" s="278" t="s">
        <v>93</v>
      </c>
      <c r="L82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0" s="279" t="s">
        <v>387</v>
      </c>
      <c r="N820" s="279">
        <v>250</v>
      </c>
      <c r="O820" s="276">
        <v>0.32</v>
      </c>
      <c r="P820" s="280">
        <f>IFERROR(_xlfn.LET(_xlpm.boxType, K820, _xlpm.tallos, N820, _xlpm.cost, O820, _xlpm.precio, Q820,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20" s="296">
        <v>1.39</v>
      </c>
      <c r="R820" s="276" t="s">
        <v>285</v>
      </c>
      <c r="S82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0" s="276">
        <v>0.32</v>
      </c>
      <c r="U82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20" s="274">
        <v>0.79</v>
      </c>
    </row>
    <row r="821" spans="1:22" x14ac:dyDescent="0.25">
      <c r="A821" s="281" t="s">
        <v>85</v>
      </c>
      <c r="B821" s="282">
        <f>_xlfn.XLOOKUP(Catalogo[[#This Row],[Finca]], Fincas[Nombre], Fincas[ID])</f>
        <v>38</v>
      </c>
      <c r="C821" s="281" t="s">
        <v>646</v>
      </c>
      <c r="D821" s="281" t="s">
        <v>865</v>
      </c>
      <c r="E821" s="281"/>
      <c r="F821" s="281"/>
      <c r="G821" s="281"/>
      <c r="H821" s="281"/>
      <c r="I821" s="316" t="s">
        <v>275</v>
      </c>
      <c r="J821" s="308"/>
      <c r="K821" s="282" t="s">
        <v>31</v>
      </c>
      <c r="L82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1" s="283" t="s">
        <v>383</v>
      </c>
      <c r="N821" s="283">
        <v>50</v>
      </c>
      <c r="O821" s="285">
        <v>0.36</v>
      </c>
      <c r="P821" s="284">
        <f>IFERROR(_xlfn.LET(_xlpm.boxType, K821, _xlpm.tallos, N821, _xlpm.cost, O821, _xlpm.precio, Q821,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21" s="295">
        <v>1.59</v>
      </c>
      <c r="R821" s="285" t="s">
        <v>283</v>
      </c>
      <c r="S82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1" s="285">
        <v>0.36</v>
      </c>
      <c r="U82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21" s="287">
        <v>0.99</v>
      </c>
    </row>
    <row r="822" spans="1:22" x14ac:dyDescent="0.25">
      <c r="A822" s="277" t="s">
        <v>85</v>
      </c>
      <c r="B822" s="278">
        <f>_xlfn.XLOOKUP(Catalogo[[#This Row],[Finca]], Fincas[Nombre], Fincas[ID])</f>
        <v>38</v>
      </c>
      <c r="C822" s="277" t="s">
        <v>646</v>
      </c>
      <c r="D822" s="277" t="s">
        <v>865</v>
      </c>
      <c r="E822" s="277"/>
      <c r="F822" s="277"/>
      <c r="G822" s="277"/>
      <c r="H822" s="277"/>
      <c r="I822" s="311" t="s">
        <v>275</v>
      </c>
      <c r="J822" s="309"/>
      <c r="K822" s="278" t="s">
        <v>35</v>
      </c>
      <c r="L82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2" s="279" t="s">
        <v>385</v>
      </c>
      <c r="N822" s="279">
        <v>100</v>
      </c>
      <c r="O822" s="276">
        <v>0.36</v>
      </c>
      <c r="P822" s="280">
        <f>IFERROR(_xlfn.LET(_xlpm.boxType, K822, _xlpm.tallos, N822, _xlpm.cost, O822, _xlpm.precio, Q822,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22" s="296">
        <v>1.59</v>
      </c>
      <c r="R822" s="276" t="s">
        <v>284</v>
      </c>
      <c r="S82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2" s="276">
        <v>0.36</v>
      </c>
      <c r="U82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22" s="274">
        <v>0.89</v>
      </c>
    </row>
    <row r="823" spans="1:22" ht="15.75" thickBot="1" x14ac:dyDescent="0.3">
      <c r="A823" s="288" t="s">
        <v>85</v>
      </c>
      <c r="B823" s="289">
        <f>_xlfn.XLOOKUP(Catalogo[[#This Row],[Finca]], Fincas[Nombre], Fincas[ID])</f>
        <v>38</v>
      </c>
      <c r="C823" s="288" t="s">
        <v>646</v>
      </c>
      <c r="D823" s="288" t="s">
        <v>865</v>
      </c>
      <c r="E823" s="288"/>
      <c r="F823" s="288"/>
      <c r="G823" s="288"/>
      <c r="H823" s="288"/>
      <c r="I823" s="317" t="s">
        <v>275</v>
      </c>
      <c r="J823" s="310"/>
      <c r="K823" s="289" t="s">
        <v>93</v>
      </c>
      <c r="L82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3" s="290" t="s">
        <v>387</v>
      </c>
      <c r="N823" s="290">
        <v>200</v>
      </c>
      <c r="O823" s="292">
        <v>0.36</v>
      </c>
      <c r="P823" s="291">
        <f>IFERROR(_xlfn.LET(_xlpm.boxType, K823, _xlpm.tallos, N823, _xlpm.cost, O823, _xlpm.precio, Q823,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23" s="297">
        <v>1.59</v>
      </c>
      <c r="R823" s="292" t="s">
        <v>285</v>
      </c>
      <c r="S82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3" s="292">
        <v>0.36</v>
      </c>
      <c r="U82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23" s="294">
        <v>0.89</v>
      </c>
    </row>
    <row r="824" spans="1:22" x14ac:dyDescent="0.25">
      <c r="A824" s="281" t="s">
        <v>85</v>
      </c>
      <c r="B824" s="282">
        <f>_xlfn.XLOOKUP(Catalogo[[#This Row],[Finca]], Fincas[Nombre], Fincas[ID])</f>
        <v>38</v>
      </c>
      <c r="C824" s="281" t="s">
        <v>646</v>
      </c>
      <c r="D824" s="281" t="s">
        <v>866</v>
      </c>
      <c r="E824" s="281"/>
      <c r="F824" s="281"/>
      <c r="G824" s="281"/>
      <c r="H824" s="281"/>
      <c r="I824" s="316" t="s">
        <v>273</v>
      </c>
      <c r="J824" s="308"/>
      <c r="K824" s="282" t="s">
        <v>31</v>
      </c>
      <c r="L82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4" s="283" t="s">
        <v>383</v>
      </c>
      <c r="N824" s="283">
        <v>50</v>
      </c>
      <c r="O824" s="285">
        <v>0.24</v>
      </c>
      <c r="P824" s="284">
        <f>IFERROR(_xlfn.LET(_xlpm.boxType, K824, _xlpm.tallos, N824, _xlpm.cost, O824, _xlpm.precio, Q824,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24" s="295">
        <v>1.29</v>
      </c>
      <c r="R824" s="285" t="s">
        <v>283</v>
      </c>
      <c r="S82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4" s="285">
        <v>0.24</v>
      </c>
      <c r="U82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24" s="287">
        <v>0.75</v>
      </c>
    </row>
    <row r="825" spans="1:22" x14ac:dyDescent="0.25">
      <c r="A825" s="277" t="s">
        <v>85</v>
      </c>
      <c r="B825" s="278">
        <f>_xlfn.XLOOKUP(Catalogo[[#This Row],[Finca]], Fincas[Nombre], Fincas[ID])</f>
        <v>38</v>
      </c>
      <c r="C825" s="277" t="s">
        <v>646</v>
      </c>
      <c r="D825" s="277" t="s">
        <v>866</v>
      </c>
      <c r="E825" s="277"/>
      <c r="F825" s="277"/>
      <c r="G825" s="277"/>
      <c r="H825" s="277"/>
      <c r="I825" s="311" t="s">
        <v>273</v>
      </c>
      <c r="J825" s="309"/>
      <c r="K825" s="278" t="s">
        <v>35</v>
      </c>
      <c r="L82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5" s="279" t="s">
        <v>385</v>
      </c>
      <c r="N825" s="279">
        <v>150</v>
      </c>
      <c r="O825" s="276">
        <v>0.24</v>
      </c>
      <c r="P825" s="280">
        <f>IFERROR(_xlfn.LET(_xlpm.boxType, K825, _xlpm.tallos, N825, _xlpm.cost, O825, _xlpm.precio, Q825,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25" s="296">
        <v>1.19</v>
      </c>
      <c r="R825" s="276" t="s">
        <v>284</v>
      </c>
      <c r="S82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5" s="276">
        <v>0.24</v>
      </c>
      <c r="U82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25" s="274">
        <v>0.69</v>
      </c>
    </row>
    <row r="826" spans="1:22" ht="15.75" thickBot="1" x14ac:dyDescent="0.3">
      <c r="A826" s="288" t="s">
        <v>85</v>
      </c>
      <c r="B826" s="289">
        <f>_xlfn.XLOOKUP(Catalogo[[#This Row],[Finca]], Fincas[Nombre], Fincas[ID])</f>
        <v>38</v>
      </c>
      <c r="C826" s="288" t="s">
        <v>646</v>
      </c>
      <c r="D826" s="288" t="s">
        <v>866</v>
      </c>
      <c r="E826" s="288"/>
      <c r="F826" s="288"/>
      <c r="G826" s="288"/>
      <c r="H826" s="288"/>
      <c r="I826" s="317" t="s">
        <v>273</v>
      </c>
      <c r="J826" s="310"/>
      <c r="K826" s="289" t="s">
        <v>93</v>
      </c>
      <c r="L82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6" s="290" t="s">
        <v>387</v>
      </c>
      <c r="N826" s="290">
        <v>300</v>
      </c>
      <c r="O826" s="292">
        <v>0.24</v>
      </c>
      <c r="P826" s="291">
        <f>IFERROR(_xlfn.LET(_xlpm.boxType, K826, _xlpm.tallos, N826, _xlpm.cost, O826, _xlpm.precio, Q826,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26" s="297">
        <v>1.19</v>
      </c>
      <c r="R826" s="292" t="s">
        <v>285</v>
      </c>
      <c r="S82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6" s="292">
        <v>0.24</v>
      </c>
      <c r="U82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26" s="294">
        <v>0.69</v>
      </c>
    </row>
    <row r="827" spans="1:22" x14ac:dyDescent="0.25">
      <c r="A827" s="277" t="s">
        <v>85</v>
      </c>
      <c r="B827" s="278">
        <f>_xlfn.XLOOKUP(Catalogo[[#This Row],[Finca]], Fincas[Nombre], Fincas[ID])</f>
        <v>38</v>
      </c>
      <c r="C827" s="277" t="s">
        <v>646</v>
      </c>
      <c r="D827" s="277" t="s">
        <v>866</v>
      </c>
      <c r="E827" s="277"/>
      <c r="F827" s="277"/>
      <c r="G827" s="277"/>
      <c r="H827" s="277"/>
      <c r="I827" s="311" t="s">
        <v>274</v>
      </c>
      <c r="J827" s="309"/>
      <c r="K827" s="278" t="s">
        <v>31</v>
      </c>
      <c r="L82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7" s="279" t="s">
        <v>383</v>
      </c>
      <c r="N827" s="279">
        <v>50</v>
      </c>
      <c r="O827" s="276">
        <v>0.32</v>
      </c>
      <c r="P827" s="280">
        <f>IFERROR(_xlfn.LET(_xlpm.boxType, K827, _xlpm.tallos, N827, _xlpm.cost, O827, _xlpm.precio, Q827,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27" s="296">
        <v>1.49</v>
      </c>
      <c r="R827" s="276" t="s">
        <v>283</v>
      </c>
      <c r="S82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7" s="276">
        <v>0.32</v>
      </c>
      <c r="U82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27" s="274">
        <v>0.85</v>
      </c>
    </row>
    <row r="828" spans="1:22" x14ac:dyDescent="0.25">
      <c r="A828" s="277" t="s">
        <v>85</v>
      </c>
      <c r="B828" s="278">
        <f>_xlfn.XLOOKUP(Catalogo[[#This Row],[Finca]], Fincas[Nombre], Fincas[ID])</f>
        <v>38</v>
      </c>
      <c r="C828" s="277" t="s">
        <v>646</v>
      </c>
      <c r="D828" s="277" t="s">
        <v>866</v>
      </c>
      <c r="E828" s="277"/>
      <c r="F828" s="277"/>
      <c r="G828" s="277"/>
      <c r="H828" s="277"/>
      <c r="I828" s="311" t="s">
        <v>274</v>
      </c>
      <c r="J828" s="309"/>
      <c r="K828" s="278" t="s">
        <v>35</v>
      </c>
      <c r="L82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8" s="279" t="s">
        <v>385</v>
      </c>
      <c r="N828" s="279">
        <v>125</v>
      </c>
      <c r="O828" s="276">
        <v>0.32</v>
      </c>
      <c r="P828" s="280">
        <f>IFERROR(_xlfn.LET(_xlpm.boxType, K828, _xlpm.tallos, N828, _xlpm.cost, O828, _xlpm.precio, Q828,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28" s="296">
        <v>1.39</v>
      </c>
      <c r="R828" s="276" t="s">
        <v>284</v>
      </c>
      <c r="S82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8" s="276">
        <v>0.32</v>
      </c>
      <c r="U82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28" s="274">
        <v>0.79</v>
      </c>
    </row>
    <row r="829" spans="1:22" ht="15.75" thickBot="1" x14ac:dyDescent="0.3">
      <c r="A829" s="277" t="s">
        <v>85</v>
      </c>
      <c r="B829" s="278">
        <f>_xlfn.XLOOKUP(Catalogo[[#This Row],[Finca]], Fincas[Nombre], Fincas[ID])</f>
        <v>38</v>
      </c>
      <c r="C829" s="277" t="s">
        <v>646</v>
      </c>
      <c r="D829" s="277" t="s">
        <v>866</v>
      </c>
      <c r="E829" s="277"/>
      <c r="F829" s="277"/>
      <c r="G829" s="277"/>
      <c r="H829" s="277"/>
      <c r="I829" s="311" t="s">
        <v>274</v>
      </c>
      <c r="J829" s="309"/>
      <c r="K829" s="278" t="s">
        <v>93</v>
      </c>
      <c r="L8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29" s="279" t="s">
        <v>387</v>
      </c>
      <c r="N829" s="279">
        <v>250</v>
      </c>
      <c r="O829" s="276">
        <v>0.32</v>
      </c>
      <c r="P829" s="280">
        <f>IFERROR(_xlfn.LET(_xlpm.boxType, K829, _xlpm.tallos, N829, _xlpm.cost, O829, _xlpm.precio, Q829,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29" s="296">
        <v>1.39</v>
      </c>
      <c r="R829" s="276" t="s">
        <v>285</v>
      </c>
      <c r="S8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29" s="276">
        <v>0.32</v>
      </c>
      <c r="U82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29" s="274">
        <v>0.79</v>
      </c>
    </row>
    <row r="830" spans="1:22" x14ac:dyDescent="0.25">
      <c r="A830" s="281" t="s">
        <v>85</v>
      </c>
      <c r="B830" s="282">
        <f>_xlfn.XLOOKUP(Catalogo[[#This Row],[Finca]], Fincas[Nombre], Fincas[ID])</f>
        <v>38</v>
      </c>
      <c r="C830" s="281" t="s">
        <v>646</v>
      </c>
      <c r="D830" s="281" t="s">
        <v>866</v>
      </c>
      <c r="E830" s="281"/>
      <c r="F830" s="281"/>
      <c r="G830" s="281"/>
      <c r="H830" s="281"/>
      <c r="I830" s="316" t="s">
        <v>275</v>
      </c>
      <c r="J830" s="308"/>
      <c r="K830" s="282" t="s">
        <v>31</v>
      </c>
      <c r="L83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0" s="283" t="s">
        <v>383</v>
      </c>
      <c r="N830" s="283">
        <v>50</v>
      </c>
      <c r="O830" s="285">
        <v>0.36</v>
      </c>
      <c r="P830" s="284">
        <f>IFERROR(_xlfn.LET(_xlpm.boxType, K830, _xlpm.tallos, N830, _xlpm.cost, O830, _xlpm.precio, Q830,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30" s="295">
        <v>1.59</v>
      </c>
      <c r="R830" s="285" t="s">
        <v>283</v>
      </c>
      <c r="S83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0" s="285">
        <v>0.36</v>
      </c>
      <c r="U83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30" s="287">
        <v>0.99</v>
      </c>
    </row>
    <row r="831" spans="1:22" x14ac:dyDescent="0.25">
      <c r="A831" s="277" t="s">
        <v>85</v>
      </c>
      <c r="B831" s="278">
        <f>_xlfn.XLOOKUP(Catalogo[[#This Row],[Finca]], Fincas[Nombre], Fincas[ID])</f>
        <v>38</v>
      </c>
      <c r="C831" s="277" t="s">
        <v>646</v>
      </c>
      <c r="D831" s="277" t="s">
        <v>866</v>
      </c>
      <c r="E831" s="277"/>
      <c r="F831" s="277"/>
      <c r="G831" s="277"/>
      <c r="H831" s="277"/>
      <c r="I831" s="311" t="s">
        <v>275</v>
      </c>
      <c r="J831" s="309"/>
      <c r="K831" s="278" t="s">
        <v>35</v>
      </c>
      <c r="L83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1" s="279" t="s">
        <v>385</v>
      </c>
      <c r="N831" s="279">
        <v>100</v>
      </c>
      <c r="O831" s="276">
        <v>0.36</v>
      </c>
      <c r="P831" s="280">
        <f>IFERROR(_xlfn.LET(_xlpm.boxType, K831, _xlpm.tallos, N831, _xlpm.cost, O831, _xlpm.precio, Q831,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31" s="296">
        <v>1.59</v>
      </c>
      <c r="R831" s="276" t="s">
        <v>284</v>
      </c>
      <c r="S83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1" s="276">
        <v>0.36</v>
      </c>
      <c r="U83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31" s="274">
        <v>0.89</v>
      </c>
    </row>
    <row r="832" spans="1:22" ht="15.75" thickBot="1" x14ac:dyDescent="0.3">
      <c r="A832" s="288" t="s">
        <v>85</v>
      </c>
      <c r="B832" s="289">
        <f>_xlfn.XLOOKUP(Catalogo[[#This Row],[Finca]], Fincas[Nombre], Fincas[ID])</f>
        <v>38</v>
      </c>
      <c r="C832" s="288" t="s">
        <v>646</v>
      </c>
      <c r="D832" s="288" t="s">
        <v>866</v>
      </c>
      <c r="E832" s="288"/>
      <c r="F832" s="288"/>
      <c r="G832" s="288"/>
      <c r="H832" s="288"/>
      <c r="I832" s="317" t="s">
        <v>275</v>
      </c>
      <c r="J832" s="310"/>
      <c r="K832" s="289" t="s">
        <v>93</v>
      </c>
      <c r="L83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2" s="290" t="s">
        <v>387</v>
      </c>
      <c r="N832" s="290">
        <v>200</v>
      </c>
      <c r="O832" s="292">
        <v>0.36</v>
      </c>
      <c r="P832" s="291">
        <f>IFERROR(_xlfn.LET(_xlpm.boxType, K832, _xlpm.tallos, N832, _xlpm.cost, O832, _xlpm.precio, Q832,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32" s="297">
        <v>1.59</v>
      </c>
      <c r="R832" s="292" t="s">
        <v>285</v>
      </c>
      <c r="S83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2" s="292">
        <v>0.36</v>
      </c>
      <c r="U83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32" s="294">
        <v>0.89</v>
      </c>
    </row>
    <row r="833" spans="1:22" x14ac:dyDescent="0.25">
      <c r="A833" s="281" t="s">
        <v>85</v>
      </c>
      <c r="B833" s="282">
        <f>_xlfn.XLOOKUP(Catalogo[[#This Row],[Finca]], Fincas[Nombre], Fincas[ID])</f>
        <v>38</v>
      </c>
      <c r="C833" s="281" t="s">
        <v>646</v>
      </c>
      <c r="D833" s="281" t="s">
        <v>867</v>
      </c>
      <c r="E833" s="281"/>
      <c r="F833" s="281"/>
      <c r="G833" s="281"/>
      <c r="H833" s="281"/>
      <c r="I833" s="316" t="s">
        <v>273</v>
      </c>
      <c r="J833" s="308"/>
      <c r="K833" s="282" t="s">
        <v>31</v>
      </c>
      <c r="L83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3" s="283" t="s">
        <v>383</v>
      </c>
      <c r="N833" s="283">
        <v>50</v>
      </c>
      <c r="O833" s="285">
        <v>0.24</v>
      </c>
      <c r="P833" s="284">
        <f>IFERROR(_xlfn.LET(_xlpm.boxType, K833, _xlpm.tallos, N833, _xlpm.cost, O833, _xlpm.precio, Q833,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33" s="295">
        <v>1.29</v>
      </c>
      <c r="R833" s="285" t="s">
        <v>283</v>
      </c>
      <c r="S83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3" s="285">
        <v>0.24</v>
      </c>
      <c r="U83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33" s="287">
        <v>0.75</v>
      </c>
    </row>
    <row r="834" spans="1:22" x14ac:dyDescent="0.25">
      <c r="A834" s="277" t="s">
        <v>85</v>
      </c>
      <c r="B834" s="278">
        <f>_xlfn.XLOOKUP(Catalogo[[#This Row],[Finca]], Fincas[Nombre], Fincas[ID])</f>
        <v>38</v>
      </c>
      <c r="C834" s="277" t="s">
        <v>646</v>
      </c>
      <c r="D834" s="277" t="s">
        <v>867</v>
      </c>
      <c r="E834" s="277"/>
      <c r="F834" s="277"/>
      <c r="G834" s="277"/>
      <c r="H834" s="277"/>
      <c r="I834" s="311" t="s">
        <v>273</v>
      </c>
      <c r="J834" s="309"/>
      <c r="K834" s="278" t="s">
        <v>35</v>
      </c>
      <c r="L83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4" s="279" t="s">
        <v>385</v>
      </c>
      <c r="N834" s="279">
        <v>150</v>
      </c>
      <c r="O834" s="276">
        <v>0.24</v>
      </c>
      <c r="P834" s="280">
        <f>IFERROR(_xlfn.LET(_xlpm.boxType, K834, _xlpm.tallos, N834, _xlpm.cost, O834, _xlpm.precio, Q834,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34" s="296">
        <v>1.19</v>
      </c>
      <c r="R834" s="276" t="s">
        <v>284</v>
      </c>
      <c r="S83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4" s="276">
        <v>0.24</v>
      </c>
      <c r="U83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34" s="274">
        <v>0.69</v>
      </c>
    </row>
    <row r="835" spans="1:22" ht="15.75" thickBot="1" x14ac:dyDescent="0.3">
      <c r="A835" s="288" t="s">
        <v>85</v>
      </c>
      <c r="B835" s="289">
        <f>_xlfn.XLOOKUP(Catalogo[[#This Row],[Finca]], Fincas[Nombre], Fincas[ID])</f>
        <v>38</v>
      </c>
      <c r="C835" s="288" t="s">
        <v>646</v>
      </c>
      <c r="D835" s="288" t="s">
        <v>867</v>
      </c>
      <c r="E835" s="288"/>
      <c r="F835" s="288"/>
      <c r="G835" s="288"/>
      <c r="H835" s="288"/>
      <c r="I835" s="317" t="s">
        <v>273</v>
      </c>
      <c r="J835" s="310"/>
      <c r="K835" s="289" t="s">
        <v>93</v>
      </c>
      <c r="L83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5" s="290" t="s">
        <v>387</v>
      </c>
      <c r="N835" s="290">
        <v>300</v>
      </c>
      <c r="O835" s="292">
        <v>0.24</v>
      </c>
      <c r="P835" s="291">
        <f>IFERROR(_xlfn.LET(_xlpm.boxType, K835, _xlpm.tallos, N835, _xlpm.cost, O835, _xlpm.precio, Q835,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35" s="297">
        <v>1.19</v>
      </c>
      <c r="R835" s="292" t="s">
        <v>285</v>
      </c>
      <c r="S83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5" s="292">
        <v>0.24</v>
      </c>
      <c r="U83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35" s="294">
        <v>0.69</v>
      </c>
    </row>
    <row r="836" spans="1:22" x14ac:dyDescent="0.25">
      <c r="A836" s="277" t="s">
        <v>85</v>
      </c>
      <c r="B836" s="278">
        <f>_xlfn.XLOOKUP(Catalogo[[#This Row],[Finca]], Fincas[Nombre], Fincas[ID])</f>
        <v>38</v>
      </c>
      <c r="C836" s="277" t="s">
        <v>646</v>
      </c>
      <c r="D836" s="277" t="s">
        <v>867</v>
      </c>
      <c r="E836" s="277"/>
      <c r="F836" s="277"/>
      <c r="G836" s="277"/>
      <c r="H836" s="277"/>
      <c r="I836" s="311" t="s">
        <v>274</v>
      </c>
      <c r="J836" s="309"/>
      <c r="K836" s="278" t="s">
        <v>31</v>
      </c>
      <c r="L83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6" s="279" t="s">
        <v>383</v>
      </c>
      <c r="N836" s="279">
        <v>50</v>
      </c>
      <c r="O836" s="276">
        <v>0.32</v>
      </c>
      <c r="P836" s="280">
        <f>IFERROR(_xlfn.LET(_xlpm.boxType, K836, _xlpm.tallos, N836, _xlpm.cost, O836, _xlpm.precio, Q836,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36" s="296">
        <v>1.49</v>
      </c>
      <c r="R836" s="276" t="s">
        <v>283</v>
      </c>
      <c r="S83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6" s="276">
        <v>0.32</v>
      </c>
      <c r="U83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36" s="274">
        <v>0.85</v>
      </c>
    </row>
    <row r="837" spans="1:22" x14ac:dyDescent="0.25">
      <c r="A837" s="277" t="s">
        <v>85</v>
      </c>
      <c r="B837" s="278">
        <f>_xlfn.XLOOKUP(Catalogo[[#This Row],[Finca]], Fincas[Nombre], Fincas[ID])</f>
        <v>38</v>
      </c>
      <c r="C837" s="277" t="s">
        <v>646</v>
      </c>
      <c r="D837" s="277" t="s">
        <v>867</v>
      </c>
      <c r="E837" s="277"/>
      <c r="F837" s="277"/>
      <c r="G837" s="277"/>
      <c r="H837" s="277"/>
      <c r="I837" s="311" t="s">
        <v>274</v>
      </c>
      <c r="J837" s="309"/>
      <c r="K837" s="278" t="s">
        <v>35</v>
      </c>
      <c r="L83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7" s="279" t="s">
        <v>385</v>
      </c>
      <c r="N837" s="279">
        <v>125</v>
      </c>
      <c r="O837" s="276">
        <v>0.32</v>
      </c>
      <c r="P837" s="280">
        <f>IFERROR(_xlfn.LET(_xlpm.boxType, K837, _xlpm.tallos, N837, _xlpm.cost, O837, _xlpm.precio, Q837,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37" s="296">
        <v>1.39</v>
      </c>
      <c r="R837" s="276" t="s">
        <v>284</v>
      </c>
      <c r="S83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7" s="276">
        <v>0.32</v>
      </c>
      <c r="U83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37" s="274">
        <v>0.79</v>
      </c>
    </row>
    <row r="838" spans="1:22" ht="15.75" thickBot="1" x14ac:dyDescent="0.3">
      <c r="A838" s="277" t="s">
        <v>85</v>
      </c>
      <c r="B838" s="278">
        <f>_xlfn.XLOOKUP(Catalogo[[#This Row],[Finca]], Fincas[Nombre], Fincas[ID])</f>
        <v>38</v>
      </c>
      <c r="C838" s="277" t="s">
        <v>646</v>
      </c>
      <c r="D838" s="277" t="s">
        <v>867</v>
      </c>
      <c r="E838" s="277"/>
      <c r="F838" s="277"/>
      <c r="G838" s="277"/>
      <c r="H838" s="277"/>
      <c r="I838" s="311" t="s">
        <v>274</v>
      </c>
      <c r="J838" s="309"/>
      <c r="K838" s="278" t="s">
        <v>93</v>
      </c>
      <c r="L8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8" s="279" t="s">
        <v>387</v>
      </c>
      <c r="N838" s="279">
        <v>250</v>
      </c>
      <c r="O838" s="276">
        <v>0.32</v>
      </c>
      <c r="P838" s="280">
        <f>IFERROR(_xlfn.LET(_xlpm.boxType, K838, _xlpm.tallos, N838, _xlpm.cost, O838, _xlpm.precio, Q838,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38" s="296">
        <v>1.39</v>
      </c>
      <c r="R838" s="276" t="s">
        <v>285</v>
      </c>
      <c r="S8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8" s="276">
        <v>0.32</v>
      </c>
      <c r="U83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38" s="274">
        <v>0.79</v>
      </c>
    </row>
    <row r="839" spans="1:22" x14ac:dyDescent="0.25">
      <c r="A839" s="281" t="s">
        <v>85</v>
      </c>
      <c r="B839" s="282">
        <f>_xlfn.XLOOKUP(Catalogo[[#This Row],[Finca]], Fincas[Nombre], Fincas[ID])</f>
        <v>38</v>
      </c>
      <c r="C839" s="281" t="s">
        <v>646</v>
      </c>
      <c r="D839" s="281" t="s">
        <v>867</v>
      </c>
      <c r="E839" s="281"/>
      <c r="F839" s="281"/>
      <c r="G839" s="281"/>
      <c r="H839" s="281"/>
      <c r="I839" s="316" t="s">
        <v>275</v>
      </c>
      <c r="J839" s="308"/>
      <c r="K839" s="282" t="s">
        <v>31</v>
      </c>
      <c r="L83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39" s="283" t="s">
        <v>383</v>
      </c>
      <c r="N839" s="283">
        <v>50</v>
      </c>
      <c r="O839" s="285">
        <v>0.36</v>
      </c>
      <c r="P839" s="284">
        <f>IFERROR(_xlfn.LET(_xlpm.boxType, K839, _xlpm.tallos, N839, _xlpm.cost, O839, _xlpm.precio, Q839,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39" s="295">
        <v>1.59</v>
      </c>
      <c r="R839" s="285" t="s">
        <v>283</v>
      </c>
      <c r="S83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39" s="285">
        <v>0.36</v>
      </c>
      <c r="U83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39" s="287">
        <v>0.99</v>
      </c>
    </row>
    <row r="840" spans="1:22" x14ac:dyDescent="0.25">
      <c r="A840" s="277" t="s">
        <v>85</v>
      </c>
      <c r="B840" s="278">
        <f>_xlfn.XLOOKUP(Catalogo[[#This Row],[Finca]], Fincas[Nombre], Fincas[ID])</f>
        <v>38</v>
      </c>
      <c r="C840" s="277" t="s">
        <v>646</v>
      </c>
      <c r="D840" s="277" t="s">
        <v>867</v>
      </c>
      <c r="E840" s="277"/>
      <c r="F840" s="277"/>
      <c r="G840" s="277"/>
      <c r="H840" s="277"/>
      <c r="I840" s="311" t="s">
        <v>275</v>
      </c>
      <c r="J840" s="309"/>
      <c r="K840" s="278" t="s">
        <v>35</v>
      </c>
      <c r="L84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0" s="279" t="s">
        <v>385</v>
      </c>
      <c r="N840" s="279">
        <v>100</v>
      </c>
      <c r="O840" s="276">
        <v>0.36</v>
      </c>
      <c r="P840" s="280">
        <f>IFERROR(_xlfn.LET(_xlpm.boxType, K840, _xlpm.tallos, N840, _xlpm.cost, O840, _xlpm.precio, Q840,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40" s="296">
        <v>1.59</v>
      </c>
      <c r="R840" s="276" t="s">
        <v>284</v>
      </c>
      <c r="S84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0" s="276">
        <v>0.36</v>
      </c>
      <c r="U84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40" s="274">
        <v>0.89</v>
      </c>
    </row>
    <row r="841" spans="1:22" ht="15.75" thickBot="1" x14ac:dyDescent="0.3">
      <c r="A841" s="288" t="s">
        <v>85</v>
      </c>
      <c r="B841" s="289">
        <f>_xlfn.XLOOKUP(Catalogo[[#This Row],[Finca]], Fincas[Nombre], Fincas[ID])</f>
        <v>38</v>
      </c>
      <c r="C841" s="288" t="s">
        <v>646</v>
      </c>
      <c r="D841" s="288" t="s">
        <v>867</v>
      </c>
      <c r="E841" s="288"/>
      <c r="F841" s="288"/>
      <c r="G841" s="288"/>
      <c r="H841" s="288"/>
      <c r="I841" s="317" t="s">
        <v>275</v>
      </c>
      <c r="J841" s="310"/>
      <c r="K841" s="289" t="s">
        <v>93</v>
      </c>
      <c r="L84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1" s="290" t="s">
        <v>387</v>
      </c>
      <c r="N841" s="290">
        <v>200</v>
      </c>
      <c r="O841" s="292">
        <v>0.36</v>
      </c>
      <c r="P841" s="291">
        <f>IFERROR(_xlfn.LET(_xlpm.boxType, K841, _xlpm.tallos, N841, _xlpm.cost, O841, _xlpm.precio, Q841,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41" s="297">
        <v>1.59</v>
      </c>
      <c r="R841" s="292" t="s">
        <v>285</v>
      </c>
      <c r="S84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1" s="292">
        <v>0.36</v>
      </c>
      <c r="U84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41" s="294">
        <v>0.89</v>
      </c>
    </row>
    <row r="842" spans="1:22" x14ac:dyDescent="0.25">
      <c r="A842" s="281" t="s">
        <v>85</v>
      </c>
      <c r="B842" s="282">
        <f>_xlfn.XLOOKUP(Catalogo[[#This Row],[Finca]], Fincas[Nombre], Fincas[ID])</f>
        <v>38</v>
      </c>
      <c r="C842" s="281" t="s">
        <v>646</v>
      </c>
      <c r="D842" s="281" t="s">
        <v>868</v>
      </c>
      <c r="E842" s="281"/>
      <c r="F842" s="281"/>
      <c r="G842" s="281"/>
      <c r="H842" s="281"/>
      <c r="I842" s="316" t="s">
        <v>273</v>
      </c>
      <c r="J842" s="308"/>
      <c r="K842" s="282" t="s">
        <v>31</v>
      </c>
      <c r="L84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2" s="283" t="s">
        <v>383</v>
      </c>
      <c r="N842" s="283">
        <v>50</v>
      </c>
      <c r="O842" s="285">
        <v>0.24</v>
      </c>
      <c r="P842" s="284">
        <f>IFERROR(_xlfn.LET(_xlpm.boxType, K842, _xlpm.tallos, N842, _xlpm.cost, O842, _xlpm.precio, Q842,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42" s="295">
        <v>1.29</v>
      </c>
      <c r="R842" s="285" t="s">
        <v>283</v>
      </c>
      <c r="S84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2" s="285">
        <v>0.24</v>
      </c>
      <c r="U84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42" s="287">
        <v>0.75</v>
      </c>
    </row>
    <row r="843" spans="1:22" x14ac:dyDescent="0.25">
      <c r="A843" s="277" t="s">
        <v>85</v>
      </c>
      <c r="B843" s="278">
        <f>_xlfn.XLOOKUP(Catalogo[[#This Row],[Finca]], Fincas[Nombre], Fincas[ID])</f>
        <v>38</v>
      </c>
      <c r="C843" s="277" t="s">
        <v>646</v>
      </c>
      <c r="D843" s="277" t="s">
        <v>868</v>
      </c>
      <c r="E843" s="277"/>
      <c r="F843" s="277"/>
      <c r="G843" s="277"/>
      <c r="H843" s="277"/>
      <c r="I843" s="311" t="s">
        <v>273</v>
      </c>
      <c r="J843" s="309"/>
      <c r="K843" s="278" t="s">
        <v>35</v>
      </c>
      <c r="L84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3" s="279" t="s">
        <v>385</v>
      </c>
      <c r="N843" s="279">
        <v>150</v>
      </c>
      <c r="O843" s="276">
        <v>0.24</v>
      </c>
      <c r="P843" s="280">
        <f>IFERROR(_xlfn.LET(_xlpm.boxType, K843, _xlpm.tallos, N843, _xlpm.cost, O843, _xlpm.precio, Q843,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43" s="296">
        <v>1.19</v>
      </c>
      <c r="R843" s="276" t="s">
        <v>284</v>
      </c>
      <c r="S84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3" s="276">
        <v>0.24</v>
      </c>
      <c r="U84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43" s="274">
        <v>0.69</v>
      </c>
    </row>
    <row r="844" spans="1:22" ht="15.75" thickBot="1" x14ac:dyDescent="0.3">
      <c r="A844" s="288" t="s">
        <v>85</v>
      </c>
      <c r="B844" s="289">
        <f>_xlfn.XLOOKUP(Catalogo[[#This Row],[Finca]], Fincas[Nombre], Fincas[ID])</f>
        <v>38</v>
      </c>
      <c r="C844" s="288" t="s">
        <v>646</v>
      </c>
      <c r="D844" s="288" t="s">
        <v>868</v>
      </c>
      <c r="E844" s="288"/>
      <c r="F844" s="288"/>
      <c r="G844" s="288"/>
      <c r="H844" s="288"/>
      <c r="I844" s="317" t="s">
        <v>273</v>
      </c>
      <c r="J844" s="310"/>
      <c r="K844" s="289" t="s">
        <v>93</v>
      </c>
      <c r="L84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4" s="290" t="s">
        <v>387</v>
      </c>
      <c r="N844" s="290">
        <v>300</v>
      </c>
      <c r="O844" s="292">
        <v>0.24</v>
      </c>
      <c r="P844" s="291">
        <f>IFERROR(_xlfn.LET(_xlpm.boxType, K844, _xlpm.tallos, N844, _xlpm.cost, O844, _xlpm.precio, Q844,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44" s="297">
        <v>1.19</v>
      </c>
      <c r="R844" s="292" t="s">
        <v>285</v>
      </c>
      <c r="S84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4" s="292">
        <v>0.24</v>
      </c>
      <c r="U84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44" s="294">
        <v>0.69</v>
      </c>
    </row>
    <row r="845" spans="1:22" x14ac:dyDescent="0.25">
      <c r="A845" s="277" t="s">
        <v>85</v>
      </c>
      <c r="B845" s="278">
        <f>_xlfn.XLOOKUP(Catalogo[[#This Row],[Finca]], Fincas[Nombre], Fincas[ID])</f>
        <v>38</v>
      </c>
      <c r="C845" s="277" t="s">
        <v>646</v>
      </c>
      <c r="D845" s="277" t="s">
        <v>868</v>
      </c>
      <c r="E845" s="277"/>
      <c r="F845" s="277"/>
      <c r="G845" s="277"/>
      <c r="H845" s="277"/>
      <c r="I845" s="311" t="s">
        <v>274</v>
      </c>
      <c r="J845" s="309"/>
      <c r="K845" s="278" t="s">
        <v>31</v>
      </c>
      <c r="L84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5" s="279" t="s">
        <v>383</v>
      </c>
      <c r="N845" s="279">
        <v>50</v>
      </c>
      <c r="O845" s="276">
        <v>0.32</v>
      </c>
      <c r="P845" s="280">
        <f>IFERROR(_xlfn.LET(_xlpm.boxType, K845, _xlpm.tallos, N845, _xlpm.cost, O845, _xlpm.precio, Q845,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45" s="296">
        <v>1.49</v>
      </c>
      <c r="R845" s="276" t="s">
        <v>283</v>
      </c>
      <c r="S84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5" s="276">
        <v>0.32</v>
      </c>
      <c r="U84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45" s="274">
        <v>0.85</v>
      </c>
    </row>
    <row r="846" spans="1:22" x14ac:dyDescent="0.25">
      <c r="A846" s="277" t="s">
        <v>85</v>
      </c>
      <c r="B846" s="278">
        <f>_xlfn.XLOOKUP(Catalogo[[#This Row],[Finca]], Fincas[Nombre], Fincas[ID])</f>
        <v>38</v>
      </c>
      <c r="C846" s="277" t="s">
        <v>646</v>
      </c>
      <c r="D846" s="277" t="s">
        <v>868</v>
      </c>
      <c r="E846" s="277"/>
      <c r="F846" s="277"/>
      <c r="G846" s="277"/>
      <c r="H846" s="277"/>
      <c r="I846" s="311" t="s">
        <v>274</v>
      </c>
      <c r="J846" s="309"/>
      <c r="K846" s="278" t="s">
        <v>35</v>
      </c>
      <c r="L84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6" s="279" t="s">
        <v>385</v>
      </c>
      <c r="N846" s="279">
        <v>125</v>
      </c>
      <c r="O846" s="276">
        <v>0.32</v>
      </c>
      <c r="P846" s="280">
        <f>IFERROR(_xlfn.LET(_xlpm.boxType, K846, _xlpm.tallos, N846, _xlpm.cost, O846, _xlpm.precio, Q846,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46" s="296">
        <v>1.39</v>
      </c>
      <c r="R846" s="276" t="s">
        <v>284</v>
      </c>
      <c r="S84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6" s="276">
        <v>0.32</v>
      </c>
      <c r="U84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46" s="274">
        <v>0.79</v>
      </c>
    </row>
    <row r="847" spans="1:22" ht="15.75" thickBot="1" x14ac:dyDescent="0.3">
      <c r="A847" s="277" t="s">
        <v>85</v>
      </c>
      <c r="B847" s="278">
        <f>_xlfn.XLOOKUP(Catalogo[[#This Row],[Finca]], Fincas[Nombre], Fincas[ID])</f>
        <v>38</v>
      </c>
      <c r="C847" s="277" t="s">
        <v>646</v>
      </c>
      <c r="D847" s="277" t="s">
        <v>868</v>
      </c>
      <c r="E847" s="277"/>
      <c r="F847" s="277"/>
      <c r="G847" s="277"/>
      <c r="H847" s="277"/>
      <c r="I847" s="311" t="s">
        <v>274</v>
      </c>
      <c r="J847" s="309"/>
      <c r="K847" s="278" t="s">
        <v>93</v>
      </c>
      <c r="L8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7" s="279" t="s">
        <v>387</v>
      </c>
      <c r="N847" s="279">
        <v>250</v>
      </c>
      <c r="O847" s="276">
        <v>0.32</v>
      </c>
      <c r="P847" s="280">
        <f>IFERROR(_xlfn.LET(_xlpm.boxType, K847, _xlpm.tallos, N847, _xlpm.cost, O847, _xlpm.precio, Q847,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47" s="296">
        <v>1.39</v>
      </c>
      <c r="R847" s="276" t="s">
        <v>285</v>
      </c>
      <c r="S8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7" s="276">
        <v>0.32</v>
      </c>
      <c r="U8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47" s="274">
        <v>0.79</v>
      </c>
    </row>
    <row r="848" spans="1:22" x14ac:dyDescent="0.25">
      <c r="A848" s="281" t="s">
        <v>85</v>
      </c>
      <c r="B848" s="282">
        <f>_xlfn.XLOOKUP(Catalogo[[#This Row],[Finca]], Fincas[Nombre], Fincas[ID])</f>
        <v>38</v>
      </c>
      <c r="C848" s="281" t="s">
        <v>646</v>
      </c>
      <c r="D848" s="281" t="s">
        <v>868</v>
      </c>
      <c r="E848" s="281"/>
      <c r="F848" s="281"/>
      <c r="G848" s="281"/>
      <c r="H848" s="281"/>
      <c r="I848" s="316" t="s">
        <v>275</v>
      </c>
      <c r="J848" s="308"/>
      <c r="K848" s="282" t="s">
        <v>31</v>
      </c>
      <c r="L84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8" s="283" t="s">
        <v>383</v>
      </c>
      <c r="N848" s="283">
        <v>50</v>
      </c>
      <c r="O848" s="285">
        <v>0.36</v>
      </c>
      <c r="P848" s="284">
        <f>IFERROR(_xlfn.LET(_xlpm.boxType, K848, _xlpm.tallos, N848, _xlpm.cost, O848, _xlpm.precio, Q848,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48" s="295">
        <v>1.59</v>
      </c>
      <c r="R848" s="285" t="s">
        <v>283</v>
      </c>
      <c r="S84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8" s="285">
        <v>0.36</v>
      </c>
      <c r="U84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48" s="287">
        <v>0.99</v>
      </c>
    </row>
    <row r="849" spans="1:22" x14ac:dyDescent="0.25">
      <c r="A849" s="277" t="s">
        <v>85</v>
      </c>
      <c r="B849" s="278">
        <f>_xlfn.XLOOKUP(Catalogo[[#This Row],[Finca]], Fincas[Nombre], Fincas[ID])</f>
        <v>38</v>
      </c>
      <c r="C849" s="277" t="s">
        <v>646</v>
      </c>
      <c r="D849" s="277" t="s">
        <v>868</v>
      </c>
      <c r="E849" s="277"/>
      <c r="F849" s="277"/>
      <c r="G849" s="277"/>
      <c r="H849" s="277"/>
      <c r="I849" s="311" t="s">
        <v>275</v>
      </c>
      <c r="J849" s="309"/>
      <c r="K849" s="278" t="s">
        <v>35</v>
      </c>
      <c r="L84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49" s="279" t="s">
        <v>385</v>
      </c>
      <c r="N849" s="279">
        <v>100</v>
      </c>
      <c r="O849" s="276">
        <v>0.36</v>
      </c>
      <c r="P849" s="280">
        <f>IFERROR(_xlfn.LET(_xlpm.boxType, K849, _xlpm.tallos, N849, _xlpm.cost, O849, _xlpm.precio, Q849,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49" s="296">
        <v>1.59</v>
      </c>
      <c r="R849" s="276" t="s">
        <v>284</v>
      </c>
      <c r="S84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49" s="276">
        <v>0.36</v>
      </c>
      <c r="U84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49" s="274">
        <v>0.89</v>
      </c>
    </row>
    <row r="850" spans="1:22" ht="15.75" thickBot="1" x14ac:dyDescent="0.3">
      <c r="A850" s="288" t="s">
        <v>85</v>
      </c>
      <c r="B850" s="289">
        <f>_xlfn.XLOOKUP(Catalogo[[#This Row],[Finca]], Fincas[Nombre], Fincas[ID])</f>
        <v>38</v>
      </c>
      <c r="C850" s="288" t="s">
        <v>646</v>
      </c>
      <c r="D850" s="288" t="s">
        <v>868</v>
      </c>
      <c r="E850" s="288"/>
      <c r="F850" s="288"/>
      <c r="G850" s="288"/>
      <c r="H850" s="288"/>
      <c r="I850" s="317" t="s">
        <v>275</v>
      </c>
      <c r="J850" s="310"/>
      <c r="K850" s="289" t="s">
        <v>93</v>
      </c>
      <c r="L85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0" s="290" t="s">
        <v>387</v>
      </c>
      <c r="N850" s="290">
        <v>200</v>
      </c>
      <c r="O850" s="292">
        <v>0.36</v>
      </c>
      <c r="P850" s="291">
        <f>IFERROR(_xlfn.LET(_xlpm.boxType, K850, _xlpm.tallos, N850, _xlpm.cost, O850, _xlpm.precio, Q850,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50" s="297">
        <v>1.59</v>
      </c>
      <c r="R850" s="292" t="s">
        <v>285</v>
      </c>
      <c r="S85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0" s="292">
        <v>0.36</v>
      </c>
      <c r="U85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50" s="294">
        <v>0.89</v>
      </c>
    </row>
    <row r="851" spans="1:22" x14ac:dyDescent="0.25">
      <c r="A851" s="281" t="s">
        <v>85</v>
      </c>
      <c r="B851" s="282">
        <f>_xlfn.XLOOKUP(Catalogo[[#This Row],[Finca]], Fincas[Nombre], Fincas[ID])</f>
        <v>38</v>
      </c>
      <c r="C851" s="281" t="s">
        <v>646</v>
      </c>
      <c r="D851" s="281" t="s">
        <v>869</v>
      </c>
      <c r="E851" s="281"/>
      <c r="F851" s="281"/>
      <c r="G851" s="281"/>
      <c r="H851" s="281"/>
      <c r="I851" s="316" t="s">
        <v>273</v>
      </c>
      <c r="J851" s="308"/>
      <c r="K851" s="282" t="s">
        <v>31</v>
      </c>
      <c r="L85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1" s="283" t="s">
        <v>383</v>
      </c>
      <c r="N851" s="283">
        <v>50</v>
      </c>
      <c r="O851" s="285">
        <v>0.24</v>
      </c>
      <c r="P851" s="284">
        <f>IFERROR(_xlfn.LET(_xlpm.boxType, K851, _xlpm.tallos, N851, _xlpm.cost, O851, _xlpm.precio, Q851,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51" s="295">
        <v>1.29</v>
      </c>
      <c r="R851" s="285" t="s">
        <v>283</v>
      </c>
      <c r="S85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1" s="285">
        <v>0.24</v>
      </c>
      <c r="U85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51" s="287">
        <v>0.75</v>
      </c>
    </row>
    <row r="852" spans="1:22" x14ac:dyDescent="0.25">
      <c r="A852" s="277" t="s">
        <v>85</v>
      </c>
      <c r="B852" s="278">
        <f>_xlfn.XLOOKUP(Catalogo[[#This Row],[Finca]], Fincas[Nombre], Fincas[ID])</f>
        <v>38</v>
      </c>
      <c r="C852" s="277" t="s">
        <v>646</v>
      </c>
      <c r="D852" s="277" t="s">
        <v>869</v>
      </c>
      <c r="E852" s="277"/>
      <c r="F852" s="277"/>
      <c r="G852" s="277"/>
      <c r="H852" s="277"/>
      <c r="I852" s="311" t="s">
        <v>273</v>
      </c>
      <c r="J852" s="309"/>
      <c r="K852" s="278" t="s">
        <v>35</v>
      </c>
      <c r="L85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2" s="279" t="s">
        <v>385</v>
      </c>
      <c r="N852" s="279">
        <v>150</v>
      </c>
      <c r="O852" s="276">
        <v>0.24</v>
      </c>
      <c r="P852" s="280">
        <f>IFERROR(_xlfn.LET(_xlpm.boxType, K852, _xlpm.tallos, N852, _xlpm.cost, O852, _xlpm.precio, Q852,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52" s="296">
        <v>1.19</v>
      </c>
      <c r="R852" s="276" t="s">
        <v>284</v>
      </c>
      <c r="S85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2" s="276">
        <v>0.24</v>
      </c>
      <c r="U85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52" s="274">
        <v>0.69</v>
      </c>
    </row>
    <row r="853" spans="1:22" ht="15.75" thickBot="1" x14ac:dyDescent="0.3">
      <c r="A853" s="288" t="s">
        <v>85</v>
      </c>
      <c r="B853" s="289">
        <f>_xlfn.XLOOKUP(Catalogo[[#This Row],[Finca]], Fincas[Nombre], Fincas[ID])</f>
        <v>38</v>
      </c>
      <c r="C853" s="288" t="s">
        <v>646</v>
      </c>
      <c r="D853" s="288" t="s">
        <v>869</v>
      </c>
      <c r="E853" s="288"/>
      <c r="F853" s="288"/>
      <c r="G853" s="288"/>
      <c r="H853" s="288"/>
      <c r="I853" s="317" t="s">
        <v>273</v>
      </c>
      <c r="J853" s="310"/>
      <c r="K853" s="289" t="s">
        <v>93</v>
      </c>
      <c r="L85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3" s="290" t="s">
        <v>387</v>
      </c>
      <c r="N853" s="290">
        <v>300</v>
      </c>
      <c r="O853" s="292">
        <v>0.24</v>
      </c>
      <c r="P853" s="291">
        <f>IFERROR(_xlfn.LET(_xlpm.boxType, K853, _xlpm.tallos, N853, _xlpm.cost, O853, _xlpm.precio, Q853,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53" s="297">
        <v>1.19</v>
      </c>
      <c r="R853" s="292" t="s">
        <v>285</v>
      </c>
      <c r="S85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3" s="292">
        <v>0.24</v>
      </c>
      <c r="U85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53" s="294">
        <v>0.69</v>
      </c>
    </row>
    <row r="854" spans="1:22" x14ac:dyDescent="0.25">
      <c r="A854" s="277" t="s">
        <v>85</v>
      </c>
      <c r="B854" s="278">
        <f>_xlfn.XLOOKUP(Catalogo[[#This Row],[Finca]], Fincas[Nombre], Fincas[ID])</f>
        <v>38</v>
      </c>
      <c r="C854" s="277" t="s">
        <v>646</v>
      </c>
      <c r="D854" s="277" t="s">
        <v>869</v>
      </c>
      <c r="E854" s="277"/>
      <c r="F854" s="277"/>
      <c r="G854" s="277"/>
      <c r="H854" s="277"/>
      <c r="I854" s="311" t="s">
        <v>274</v>
      </c>
      <c r="J854" s="309"/>
      <c r="K854" s="278" t="s">
        <v>31</v>
      </c>
      <c r="L85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4" s="279" t="s">
        <v>383</v>
      </c>
      <c r="N854" s="279">
        <v>50</v>
      </c>
      <c r="O854" s="276">
        <v>0.32</v>
      </c>
      <c r="P854" s="280">
        <f>IFERROR(_xlfn.LET(_xlpm.boxType, K854, _xlpm.tallos, N854, _xlpm.cost, O854, _xlpm.precio, Q854,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54" s="296">
        <v>1.49</v>
      </c>
      <c r="R854" s="276" t="s">
        <v>283</v>
      </c>
      <c r="S85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4" s="276">
        <v>0.32</v>
      </c>
      <c r="U85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54" s="274">
        <v>0.85</v>
      </c>
    </row>
    <row r="855" spans="1:22" x14ac:dyDescent="0.25">
      <c r="A855" s="277" t="s">
        <v>85</v>
      </c>
      <c r="B855" s="278">
        <f>_xlfn.XLOOKUP(Catalogo[[#This Row],[Finca]], Fincas[Nombre], Fincas[ID])</f>
        <v>38</v>
      </c>
      <c r="C855" s="277" t="s">
        <v>646</v>
      </c>
      <c r="D855" s="277" t="s">
        <v>869</v>
      </c>
      <c r="E855" s="277"/>
      <c r="F855" s="277"/>
      <c r="G855" s="277"/>
      <c r="H855" s="277"/>
      <c r="I855" s="311" t="s">
        <v>274</v>
      </c>
      <c r="J855" s="309"/>
      <c r="K855" s="278" t="s">
        <v>35</v>
      </c>
      <c r="L85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5" s="279" t="s">
        <v>385</v>
      </c>
      <c r="N855" s="279">
        <v>125</v>
      </c>
      <c r="O855" s="276">
        <v>0.32</v>
      </c>
      <c r="P855" s="280">
        <f>IFERROR(_xlfn.LET(_xlpm.boxType, K855, _xlpm.tallos, N855, _xlpm.cost, O855, _xlpm.precio, Q855,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55" s="296">
        <v>1.39</v>
      </c>
      <c r="R855" s="276" t="s">
        <v>284</v>
      </c>
      <c r="S85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5" s="276">
        <v>0.32</v>
      </c>
      <c r="U85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55" s="274">
        <v>0.79</v>
      </c>
    </row>
    <row r="856" spans="1:22" ht="15.75" thickBot="1" x14ac:dyDescent="0.3">
      <c r="A856" s="277" t="s">
        <v>85</v>
      </c>
      <c r="B856" s="278">
        <f>_xlfn.XLOOKUP(Catalogo[[#This Row],[Finca]], Fincas[Nombre], Fincas[ID])</f>
        <v>38</v>
      </c>
      <c r="C856" s="277" t="s">
        <v>646</v>
      </c>
      <c r="D856" s="277" t="s">
        <v>869</v>
      </c>
      <c r="E856" s="277"/>
      <c r="F856" s="277"/>
      <c r="G856" s="277"/>
      <c r="H856" s="277"/>
      <c r="I856" s="311" t="s">
        <v>274</v>
      </c>
      <c r="J856" s="309"/>
      <c r="K856" s="278" t="s">
        <v>93</v>
      </c>
      <c r="L85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6" s="279" t="s">
        <v>387</v>
      </c>
      <c r="N856" s="279">
        <v>250</v>
      </c>
      <c r="O856" s="276">
        <v>0.32</v>
      </c>
      <c r="P856" s="280">
        <f>IFERROR(_xlfn.LET(_xlpm.boxType, K856, _xlpm.tallos, N856, _xlpm.cost, O856, _xlpm.precio, Q856,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56" s="296">
        <v>1.39</v>
      </c>
      <c r="R856" s="276" t="s">
        <v>285</v>
      </c>
      <c r="S85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6" s="276">
        <v>0.32</v>
      </c>
      <c r="U85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56" s="274">
        <v>0.79</v>
      </c>
    </row>
    <row r="857" spans="1:22" x14ac:dyDescent="0.25">
      <c r="A857" s="281" t="s">
        <v>85</v>
      </c>
      <c r="B857" s="282">
        <f>_xlfn.XLOOKUP(Catalogo[[#This Row],[Finca]], Fincas[Nombre], Fincas[ID])</f>
        <v>38</v>
      </c>
      <c r="C857" s="281" t="s">
        <v>646</v>
      </c>
      <c r="D857" s="281" t="s">
        <v>869</v>
      </c>
      <c r="E857" s="281"/>
      <c r="F857" s="281"/>
      <c r="G857" s="281"/>
      <c r="H857" s="281"/>
      <c r="I857" s="316" t="s">
        <v>275</v>
      </c>
      <c r="J857" s="308"/>
      <c r="K857" s="282" t="s">
        <v>31</v>
      </c>
      <c r="L85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7" s="283" t="s">
        <v>383</v>
      </c>
      <c r="N857" s="283">
        <v>50</v>
      </c>
      <c r="O857" s="285">
        <v>0.36</v>
      </c>
      <c r="P857" s="284">
        <f>IFERROR(_xlfn.LET(_xlpm.boxType, K857, _xlpm.tallos, N857, _xlpm.cost, O857, _xlpm.precio, Q857,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57" s="295">
        <v>1.59</v>
      </c>
      <c r="R857" s="285" t="s">
        <v>283</v>
      </c>
      <c r="S85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7" s="285">
        <v>0.36</v>
      </c>
      <c r="U85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57" s="287">
        <v>0.99</v>
      </c>
    </row>
    <row r="858" spans="1:22" x14ac:dyDescent="0.25">
      <c r="A858" s="277" t="s">
        <v>85</v>
      </c>
      <c r="B858" s="278">
        <f>_xlfn.XLOOKUP(Catalogo[[#This Row],[Finca]], Fincas[Nombre], Fincas[ID])</f>
        <v>38</v>
      </c>
      <c r="C858" s="277" t="s">
        <v>646</v>
      </c>
      <c r="D858" s="277" t="s">
        <v>869</v>
      </c>
      <c r="E858" s="277"/>
      <c r="F858" s="277"/>
      <c r="G858" s="277"/>
      <c r="H858" s="277"/>
      <c r="I858" s="311" t="s">
        <v>275</v>
      </c>
      <c r="J858" s="309"/>
      <c r="K858" s="278" t="s">
        <v>35</v>
      </c>
      <c r="L85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8" s="279" t="s">
        <v>385</v>
      </c>
      <c r="N858" s="279">
        <v>100</v>
      </c>
      <c r="O858" s="276">
        <v>0.36</v>
      </c>
      <c r="P858" s="280">
        <f>IFERROR(_xlfn.LET(_xlpm.boxType, K858, _xlpm.tallos, N858, _xlpm.cost, O858, _xlpm.precio, Q858,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58" s="296">
        <v>1.59</v>
      </c>
      <c r="R858" s="276" t="s">
        <v>284</v>
      </c>
      <c r="S85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8" s="276">
        <v>0.36</v>
      </c>
      <c r="U85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58" s="274">
        <v>0.89</v>
      </c>
    </row>
    <row r="859" spans="1:22" ht="15.75" thickBot="1" x14ac:dyDescent="0.3">
      <c r="A859" s="288" t="s">
        <v>85</v>
      </c>
      <c r="B859" s="289">
        <f>_xlfn.XLOOKUP(Catalogo[[#This Row],[Finca]], Fincas[Nombre], Fincas[ID])</f>
        <v>38</v>
      </c>
      <c r="C859" s="288" t="s">
        <v>646</v>
      </c>
      <c r="D859" s="288" t="s">
        <v>869</v>
      </c>
      <c r="E859" s="288"/>
      <c r="F859" s="288"/>
      <c r="G859" s="288"/>
      <c r="H859" s="288"/>
      <c r="I859" s="317" t="s">
        <v>275</v>
      </c>
      <c r="J859" s="310"/>
      <c r="K859" s="289" t="s">
        <v>93</v>
      </c>
      <c r="L85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59" s="290" t="s">
        <v>387</v>
      </c>
      <c r="N859" s="290">
        <v>200</v>
      </c>
      <c r="O859" s="292">
        <v>0.36</v>
      </c>
      <c r="P859" s="291">
        <f>IFERROR(_xlfn.LET(_xlpm.boxType, K859, _xlpm.tallos, N859, _xlpm.cost, O859, _xlpm.precio, Q859,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59" s="297">
        <v>1.59</v>
      </c>
      <c r="R859" s="292" t="s">
        <v>285</v>
      </c>
      <c r="S85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59" s="292">
        <v>0.36</v>
      </c>
      <c r="U85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59" s="294">
        <v>0.89</v>
      </c>
    </row>
    <row r="860" spans="1:22" x14ac:dyDescent="0.25">
      <c r="A860" s="281" t="s">
        <v>85</v>
      </c>
      <c r="B860" s="282">
        <f>_xlfn.XLOOKUP(Catalogo[[#This Row],[Finca]], Fincas[Nombre], Fincas[ID])</f>
        <v>38</v>
      </c>
      <c r="C860" s="281" t="s">
        <v>646</v>
      </c>
      <c r="D860" s="281" t="s">
        <v>870</v>
      </c>
      <c r="E860" s="281"/>
      <c r="F860" s="281"/>
      <c r="G860" s="281"/>
      <c r="H860" s="281"/>
      <c r="I860" s="316" t="s">
        <v>273</v>
      </c>
      <c r="J860" s="308"/>
      <c r="K860" s="282" t="s">
        <v>31</v>
      </c>
      <c r="L86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0" s="283" t="s">
        <v>383</v>
      </c>
      <c r="N860" s="283">
        <v>50</v>
      </c>
      <c r="O860" s="285">
        <v>0.24</v>
      </c>
      <c r="P860" s="284">
        <f>IFERROR(_xlfn.LET(_xlpm.boxType, K860, _xlpm.tallos, N860, _xlpm.cost, O860, _xlpm.precio, Q860,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60" s="295">
        <v>1.29</v>
      </c>
      <c r="R860" s="285" t="s">
        <v>283</v>
      </c>
      <c r="S86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0" s="285">
        <v>0.24</v>
      </c>
      <c r="U86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60" s="287">
        <v>0.75</v>
      </c>
    </row>
    <row r="861" spans="1:22" x14ac:dyDescent="0.25">
      <c r="A861" s="277" t="s">
        <v>85</v>
      </c>
      <c r="B861" s="278">
        <f>_xlfn.XLOOKUP(Catalogo[[#This Row],[Finca]], Fincas[Nombre], Fincas[ID])</f>
        <v>38</v>
      </c>
      <c r="C861" s="277" t="s">
        <v>646</v>
      </c>
      <c r="D861" s="277" t="s">
        <v>870</v>
      </c>
      <c r="E861" s="277"/>
      <c r="F861" s="277"/>
      <c r="G861" s="277"/>
      <c r="H861" s="277"/>
      <c r="I861" s="311" t="s">
        <v>273</v>
      </c>
      <c r="J861" s="309"/>
      <c r="K861" s="278" t="s">
        <v>35</v>
      </c>
      <c r="L86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1" s="279" t="s">
        <v>385</v>
      </c>
      <c r="N861" s="279">
        <v>150</v>
      </c>
      <c r="O861" s="276">
        <v>0.24</v>
      </c>
      <c r="P861" s="280">
        <f>IFERROR(_xlfn.LET(_xlpm.boxType, K861, _xlpm.tallos, N861, _xlpm.cost, O861, _xlpm.precio, Q861,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61" s="296">
        <v>1.19</v>
      </c>
      <c r="R861" s="276" t="s">
        <v>284</v>
      </c>
      <c r="S86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1" s="276">
        <v>0.24</v>
      </c>
      <c r="U86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61" s="274">
        <v>0.69</v>
      </c>
    </row>
    <row r="862" spans="1:22" ht="15.75" thickBot="1" x14ac:dyDescent="0.3">
      <c r="A862" s="288" t="s">
        <v>85</v>
      </c>
      <c r="B862" s="289">
        <f>_xlfn.XLOOKUP(Catalogo[[#This Row],[Finca]], Fincas[Nombre], Fincas[ID])</f>
        <v>38</v>
      </c>
      <c r="C862" s="288" t="s">
        <v>646</v>
      </c>
      <c r="D862" s="288" t="s">
        <v>870</v>
      </c>
      <c r="E862" s="288"/>
      <c r="F862" s="288"/>
      <c r="G862" s="288"/>
      <c r="H862" s="288"/>
      <c r="I862" s="317" t="s">
        <v>273</v>
      </c>
      <c r="J862" s="310"/>
      <c r="K862" s="289" t="s">
        <v>93</v>
      </c>
      <c r="L86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2" s="290" t="s">
        <v>387</v>
      </c>
      <c r="N862" s="290">
        <v>300</v>
      </c>
      <c r="O862" s="292">
        <v>0.24</v>
      </c>
      <c r="P862" s="291">
        <f>IFERROR(_xlfn.LET(_xlpm.boxType, K862, _xlpm.tallos, N862, _xlpm.cost, O862, _xlpm.precio, Q862,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62" s="297">
        <v>1.19</v>
      </c>
      <c r="R862" s="292" t="s">
        <v>285</v>
      </c>
      <c r="S86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2" s="292">
        <v>0.24</v>
      </c>
      <c r="U86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62" s="294">
        <v>0.69</v>
      </c>
    </row>
    <row r="863" spans="1:22" x14ac:dyDescent="0.25">
      <c r="A863" s="277" t="s">
        <v>85</v>
      </c>
      <c r="B863" s="278">
        <f>_xlfn.XLOOKUP(Catalogo[[#This Row],[Finca]], Fincas[Nombre], Fincas[ID])</f>
        <v>38</v>
      </c>
      <c r="C863" s="277" t="s">
        <v>646</v>
      </c>
      <c r="D863" s="277" t="s">
        <v>870</v>
      </c>
      <c r="E863" s="277"/>
      <c r="F863" s="277"/>
      <c r="G863" s="277"/>
      <c r="H863" s="277"/>
      <c r="I863" s="311" t="s">
        <v>274</v>
      </c>
      <c r="J863" s="309"/>
      <c r="K863" s="278" t="s">
        <v>31</v>
      </c>
      <c r="L86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3" s="279" t="s">
        <v>383</v>
      </c>
      <c r="N863" s="279">
        <v>50</v>
      </c>
      <c r="O863" s="276">
        <v>0.32</v>
      </c>
      <c r="P863" s="280">
        <f>IFERROR(_xlfn.LET(_xlpm.boxType, K863, _xlpm.tallos, N863, _xlpm.cost, O863, _xlpm.precio, Q863,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63" s="296">
        <v>1.49</v>
      </c>
      <c r="R863" s="276" t="s">
        <v>283</v>
      </c>
      <c r="S86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3" s="276">
        <v>0.32</v>
      </c>
      <c r="U86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63" s="274">
        <v>0.85</v>
      </c>
    </row>
    <row r="864" spans="1:22" x14ac:dyDescent="0.25">
      <c r="A864" s="277" t="s">
        <v>85</v>
      </c>
      <c r="B864" s="278">
        <f>_xlfn.XLOOKUP(Catalogo[[#This Row],[Finca]], Fincas[Nombre], Fincas[ID])</f>
        <v>38</v>
      </c>
      <c r="C864" s="277" t="s">
        <v>646</v>
      </c>
      <c r="D864" s="277" t="s">
        <v>870</v>
      </c>
      <c r="E864" s="277"/>
      <c r="F864" s="277"/>
      <c r="G864" s="277"/>
      <c r="H864" s="277"/>
      <c r="I864" s="311" t="s">
        <v>274</v>
      </c>
      <c r="J864" s="309"/>
      <c r="K864" s="278" t="s">
        <v>35</v>
      </c>
      <c r="L86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4" s="279" t="s">
        <v>385</v>
      </c>
      <c r="N864" s="279">
        <v>125</v>
      </c>
      <c r="O864" s="276">
        <v>0.32</v>
      </c>
      <c r="P864" s="280">
        <f>IFERROR(_xlfn.LET(_xlpm.boxType, K864, _xlpm.tallos, N864, _xlpm.cost, O864, _xlpm.precio, Q864,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64" s="296">
        <v>1.39</v>
      </c>
      <c r="R864" s="276" t="s">
        <v>284</v>
      </c>
      <c r="S86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4" s="276">
        <v>0.32</v>
      </c>
      <c r="U86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64" s="274">
        <v>0.79</v>
      </c>
    </row>
    <row r="865" spans="1:22" ht="15.75" thickBot="1" x14ac:dyDescent="0.3">
      <c r="A865" s="277" t="s">
        <v>85</v>
      </c>
      <c r="B865" s="278">
        <f>_xlfn.XLOOKUP(Catalogo[[#This Row],[Finca]], Fincas[Nombre], Fincas[ID])</f>
        <v>38</v>
      </c>
      <c r="C865" s="277" t="s">
        <v>646</v>
      </c>
      <c r="D865" s="277" t="s">
        <v>870</v>
      </c>
      <c r="E865" s="277"/>
      <c r="F865" s="277"/>
      <c r="G865" s="277"/>
      <c r="H865" s="277"/>
      <c r="I865" s="311" t="s">
        <v>274</v>
      </c>
      <c r="J865" s="309"/>
      <c r="K865" s="278" t="s">
        <v>93</v>
      </c>
      <c r="L8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5" s="279" t="s">
        <v>387</v>
      </c>
      <c r="N865" s="279">
        <v>250</v>
      </c>
      <c r="O865" s="276">
        <v>0.32</v>
      </c>
      <c r="P865" s="280">
        <f>IFERROR(_xlfn.LET(_xlpm.boxType, K865, _xlpm.tallos, N865, _xlpm.cost, O865, _xlpm.precio, Q865,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65" s="296">
        <v>1.39</v>
      </c>
      <c r="R865" s="276" t="s">
        <v>285</v>
      </c>
      <c r="S8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5" s="276">
        <v>0.32</v>
      </c>
      <c r="U86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65" s="274">
        <v>0.79</v>
      </c>
    </row>
    <row r="866" spans="1:22" x14ac:dyDescent="0.25">
      <c r="A866" s="281" t="s">
        <v>85</v>
      </c>
      <c r="B866" s="282">
        <f>_xlfn.XLOOKUP(Catalogo[[#This Row],[Finca]], Fincas[Nombre], Fincas[ID])</f>
        <v>38</v>
      </c>
      <c r="C866" s="281" t="s">
        <v>646</v>
      </c>
      <c r="D866" s="281" t="s">
        <v>870</v>
      </c>
      <c r="E866" s="281"/>
      <c r="F866" s="281"/>
      <c r="G866" s="281"/>
      <c r="H866" s="281"/>
      <c r="I866" s="316" t="s">
        <v>275</v>
      </c>
      <c r="J866" s="308"/>
      <c r="K866" s="282" t="s">
        <v>31</v>
      </c>
      <c r="L86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6" s="283" t="s">
        <v>383</v>
      </c>
      <c r="N866" s="283">
        <v>50</v>
      </c>
      <c r="O866" s="285">
        <v>0.36</v>
      </c>
      <c r="P866" s="284">
        <f>IFERROR(_xlfn.LET(_xlpm.boxType, K866, _xlpm.tallos, N866, _xlpm.cost, O866, _xlpm.precio, Q866,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66" s="295">
        <v>1.59</v>
      </c>
      <c r="R866" s="285" t="s">
        <v>283</v>
      </c>
      <c r="S86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6" s="285">
        <v>0.36</v>
      </c>
      <c r="U86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66" s="287">
        <v>0.99</v>
      </c>
    </row>
    <row r="867" spans="1:22" x14ac:dyDescent="0.25">
      <c r="A867" s="277" t="s">
        <v>85</v>
      </c>
      <c r="B867" s="278">
        <f>_xlfn.XLOOKUP(Catalogo[[#This Row],[Finca]], Fincas[Nombre], Fincas[ID])</f>
        <v>38</v>
      </c>
      <c r="C867" s="277" t="s">
        <v>646</v>
      </c>
      <c r="D867" s="277" t="s">
        <v>870</v>
      </c>
      <c r="E867" s="277"/>
      <c r="F867" s="277"/>
      <c r="G867" s="277"/>
      <c r="H867" s="277"/>
      <c r="I867" s="311" t="s">
        <v>275</v>
      </c>
      <c r="J867" s="309"/>
      <c r="K867" s="278" t="s">
        <v>35</v>
      </c>
      <c r="L8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7" s="279" t="s">
        <v>385</v>
      </c>
      <c r="N867" s="279">
        <v>100</v>
      </c>
      <c r="O867" s="276">
        <v>0.36</v>
      </c>
      <c r="P867" s="280">
        <f>IFERROR(_xlfn.LET(_xlpm.boxType, K867, _xlpm.tallos, N867, _xlpm.cost, O867, _xlpm.precio, Q867,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67" s="296">
        <v>1.59</v>
      </c>
      <c r="R867" s="276" t="s">
        <v>284</v>
      </c>
      <c r="S8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7" s="276">
        <v>0.36</v>
      </c>
      <c r="U86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67" s="274">
        <v>0.89</v>
      </c>
    </row>
    <row r="868" spans="1:22" ht="15.75" thickBot="1" x14ac:dyDescent="0.3">
      <c r="A868" s="288" t="s">
        <v>85</v>
      </c>
      <c r="B868" s="289">
        <f>_xlfn.XLOOKUP(Catalogo[[#This Row],[Finca]], Fincas[Nombre], Fincas[ID])</f>
        <v>38</v>
      </c>
      <c r="C868" s="288" t="s">
        <v>646</v>
      </c>
      <c r="D868" s="288" t="s">
        <v>870</v>
      </c>
      <c r="E868" s="288"/>
      <c r="F868" s="288"/>
      <c r="G868" s="288"/>
      <c r="H868" s="288"/>
      <c r="I868" s="317" t="s">
        <v>275</v>
      </c>
      <c r="J868" s="310"/>
      <c r="K868" s="289" t="s">
        <v>93</v>
      </c>
      <c r="L86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8" s="290" t="s">
        <v>387</v>
      </c>
      <c r="N868" s="290">
        <v>200</v>
      </c>
      <c r="O868" s="292">
        <v>0.36</v>
      </c>
      <c r="P868" s="291">
        <f>IFERROR(_xlfn.LET(_xlpm.boxType, K868, _xlpm.tallos, N868, _xlpm.cost, O868, _xlpm.precio, Q868,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68" s="297">
        <v>1.59</v>
      </c>
      <c r="R868" s="292" t="s">
        <v>285</v>
      </c>
      <c r="S86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8" s="292">
        <v>0.36</v>
      </c>
      <c r="U86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68" s="294">
        <v>0.89</v>
      </c>
    </row>
    <row r="869" spans="1:22" x14ac:dyDescent="0.25">
      <c r="A869" s="281" t="s">
        <v>85</v>
      </c>
      <c r="B869" s="282">
        <f>_xlfn.XLOOKUP(Catalogo[[#This Row],[Finca]], Fincas[Nombre], Fincas[ID])</f>
        <v>38</v>
      </c>
      <c r="C869" s="281" t="s">
        <v>646</v>
      </c>
      <c r="D869" s="281" t="s">
        <v>871</v>
      </c>
      <c r="E869" s="281"/>
      <c r="F869" s="281"/>
      <c r="G869" s="281"/>
      <c r="H869" s="281"/>
      <c r="I869" s="316" t="s">
        <v>273</v>
      </c>
      <c r="J869" s="308"/>
      <c r="K869" s="282" t="s">
        <v>31</v>
      </c>
      <c r="L86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69" s="283" t="s">
        <v>383</v>
      </c>
      <c r="N869" s="283">
        <v>50</v>
      </c>
      <c r="O869" s="285">
        <v>0.24</v>
      </c>
      <c r="P869" s="284">
        <f>IFERROR(_xlfn.LET(_xlpm.boxType, K869, _xlpm.tallos, N869, _xlpm.cost, O869, _xlpm.precio, Q869,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69" s="295">
        <v>1.29</v>
      </c>
      <c r="R869" s="285" t="s">
        <v>283</v>
      </c>
      <c r="S86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69" s="285">
        <v>0.24</v>
      </c>
      <c r="U86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69" s="287">
        <v>0.75</v>
      </c>
    </row>
    <row r="870" spans="1:22" x14ac:dyDescent="0.25">
      <c r="A870" s="277" t="s">
        <v>85</v>
      </c>
      <c r="B870" s="278">
        <f>_xlfn.XLOOKUP(Catalogo[[#This Row],[Finca]], Fincas[Nombre], Fincas[ID])</f>
        <v>38</v>
      </c>
      <c r="C870" s="277" t="s">
        <v>646</v>
      </c>
      <c r="D870" s="277" t="s">
        <v>871</v>
      </c>
      <c r="E870" s="277"/>
      <c r="F870" s="277"/>
      <c r="G870" s="277"/>
      <c r="H870" s="277"/>
      <c r="I870" s="311" t="s">
        <v>273</v>
      </c>
      <c r="J870" s="309"/>
      <c r="K870" s="278" t="s">
        <v>35</v>
      </c>
      <c r="L87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0" s="279" t="s">
        <v>385</v>
      </c>
      <c r="N870" s="279">
        <v>150</v>
      </c>
      <c r="O870" s="276">
        <v>0.24</v>
      </c>
      <c r="P870" s="280">
        <f>IFERROR(_xlfn.LET(_xlpm.boxType, K870, _xlpm.tallos, N870, _xlpm.cost, O870, _xlpm.precio, Q870,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70" s="296">
        <v>1.19</v>
      </c>
      <c r="R870" s="276" t="s">
        <v>284</v>
      </c>
      <c r="S87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0" s="276">
        <v>0.24</v>
      </c>
      <c r="U87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70" s="274">
        <v>0.69</v>
      </c>
    </row>
    <row r="871" spans="1:22" ht="15.75" thickBot="1" x14ac:dyDescent="0.3">
      <c r="A871" s="288" t="s">
        <v>85</v>
      </c>
      <c r="B871" s="289">
        <f>_xlfn.XLOOKUP(Catalogo[[#This Row],[Finca]], Fincas[Nombre], Fincas[ID])</f>
        <v>38</v>
      </c>
      <c r="C871" s="288" t="s">
        <v>646</v>
      </c>
      <c r="D871" s="288" t="s">
        <v>871</v>
      </c>
      <c r="E871" s="288"/>
      <c r="F871" s="288"/>
      <c r="G871" s="288"/>
      <c r="H871" s="288"/>
      <c r="I871" s="317" t="s">
        <v>273</v>
      </c>
      <c r="J871" s="310"/>
      <c r="K871" s="289" t="s">
        <v>93</v>
      </c>
      <c r="L871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1" s="290" t="s">
        <v>387</v>
      </c>
      <c r="N871" s="290">
        <v>300</v>
      </c>
      <c r="O871" s="292">
        <v>0.24</v>
      </c>
      <c r="P871" s="291">
        <f>IFERROR(_xlfn.LET(_xlpm.boxType, K871, _xlpm.tallos, N871, _xlpm.cost, O871, _xlpm.precio, Q871,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71" s="297">
        <v>1.19</v>
      </c>
      <c r="R871" s="292" t="s">
        <v>285</v>
      </c>
      <c r="S871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1" s="292">
        <v>0.24</v>
      </c>
      <c r="U871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71" s="294">
        <v>0.69</v>
      </c>
    </row>
    <row r="872" spans="1:22" x14ac:dyDescent="0.25">
      <c r="A872" s="277" t="s">
        <v>85</v>
      </c>
      <c r="B872" s="278">
        <f>_xlfn.XLOOKUP(Catalogo[[#This Row],[Finca]], Fincas[Nombre], Fincas[ID])</f>
        <v>38</v>
      </c>
      <c r="C872" s="277" t="s">
        <v>646</v>
      </c>
      <c r="D872" s="277" t="s">
        <v>871</v>
      </c>
      <c r="E872" s="277"/>
      <c r="F872" s="277"/>
      <c r="G872" s="277"/>
      <c r="H872" s="277"/>
      <c r="I872" s="311" t="s">
        <v>274</v>
      </c>
      <c r="J872" s="309"/>
      <c r="K872" s="278" t="s">
        <v>31</v>
      </c>
      <c r="L87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2" s="279" t="s">
        <v>383</v>
      </c>
      <c r="N872" s="279">
        <v>50</v>
      </c>
      <c r="O872" s="276">
        <v>0.32</v>
      </c>
      <c r="P872" s="280">
        <f>IFERROR(_xlfn.LET(_xlpm.boxType, K872, _xlpm.tallos, N872, _xlpm.cost, O872, _xlpm.precio, Q872,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72" s="296">
        <v>1.49</v>
      </c>
      <c r="R872" s="276" t="s">
        <v>283</v>
      </c>
      <c r="S87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2" s="276">
        <v>0.32</v>
      </c>
      <c r="U87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72" s="274">
        <v>0.85</v>
      </c>
    </row>
    <row r="873" spans="1:22" x14ac:dyDescent="0.25">
      <c r="A873" s="277" t="s">
        <v>85</v>
      </c>
      <c r="B873" s="278">
        <f>_xlfn.XLOOKUP(Catalogo[[#This Row],[Finca]], Fincas[Nombre], Fincas[ID])</f>
        <v>38</v>
      </c>
      <c r="C873" s="277" t="s">
        <v>646</v>
      </c>
      <c r="D873" s="277" t="s">
        <v>871</v>
      </c>
      <c r="E873" s="277"/>
      <c r="F873" s="277"/>
      <c r="G873" s="277"/>
      <c r="H873" s="277"/>
      <c r="I873" s="311" t="s">
        <v>274</v>
      </c>
      <c r="J873" s="309"/>
      <c r="K873" s="278" t="s">
        <v>35</v>
      </c>
      <c r="L87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3" s="279" t="s">
        <v>385</v>
      </c>
      <c r="N873" s="279">
        <v>125</v>
      </c>
      <c r="O873" s="276">
        <v>0.32</v>
      </c>
      <c r="P873" s="280">
        <f>IFERROR(_xlfn.LET(_xlpm.boxType, K873, _xlpm.tallos, N873, _xlpm.cost, O873, _xlpm.precio, Q873,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73" s="296">
        <v>1.39</v>
      </c>
      <c r="R873" s="276" t="s">
        <v>284</v>
      </c>
      <c r="S87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3" s="276">
        <v>0.32</v>
      </c>
      <c r="U87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73" s="274">
        <v>0.79</v>
      </c>
    </row>
    <row r="874" spans="1:22" ht="15.75" thickBot="1" x14ac:dyDescent="0.3">
      <c r="A874" s="277" t="s">
        <v>85</v>
      </c>
      <c r="B874" s="278">
        <f>_xlfn.XLOOKUP(Catalogo[[#This Row],[Finca]], Fincas[Nombre], Fincas[ID])</f>
        <v>38</v>
      </c>
      <c r="C874" s="277" t="s">
        <v>646</v>
      </c>
      <c r="D874" s="277" t="s">
        <v>871</v>
      </c>
      <c r="E874" s="277"/>
      <c r="F874" s="277"/>
      <c r="G874" s="277"/>
      <c r="H874" s="277"/>
      <c r="I874" s="311" t="s">
        <v>274</v>
      </c>
      <c r="J874" s="309"/>
      <c r="K874" s="278" t="s">
        <v>93</v>
      </c>
      <c r="L87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4" s="279" t="s">
        <v>387</v>
      </c>
      <c r="N874" s="279">
        <v>250</v>
      </c>
      <c r="O874" s="276">
        <v>0.32</v>
      </c>
      <c r="P874" s="280">
        <f>IFERROR(_xlfn.LET(_xlpm.boxType, K874, _xlpm.tallos, N874, _xlpm.cost, O874, _xlpm.precio, Q874,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74" s="296">
        <v>1.39</v>
      </c>
      <c r="R874" s="276" t="s">
        <v>285</v>
      </c>
      <c r="S87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4" s="276">
        <v>0.32</v>
      </c>
      <c r="U87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74" s="274">
        <v>0.79</v>
      </c>
    </row>
    <row r="875" spans="1:22" x14ac:dyDescent="0.25">
      <c r="A875" s="281" t="s">
        <v>85</v>
      </c>
      <c r="B875" s="282">
        <f>_xlfn.XLOOKUP(Catalogo[[#This Row],[Finca]], Fincas[Nombre], Fincas[ID])</f>
        <v>38</v>
      </c>
      <c r="C875" s="281" t="s">
        <v>646</v>
      </c>
      <c r="D875" s="281" t="s">
        <v>871</v>
      </c>
      <c r="E875" s="281"/>
      <c r="F875" s="281"/>
      <c r="G875" s="281"/>
      <c r="H875" s="281"/>
      <c r="I875" s="316" t="s">
        <v>275</v>
      </c>
      <c r="J875" s="308"/>
      <c r="K875" s="282" t="s">
        <v>31</v>
      </c>
      <c r="L87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5" s="283" t="s">
        <v>383</v>
      </c>
      <c r="N875" s="283">
        <v>50</v>
      </c>
      <c r="O875" s="285">
        <v>0.36</v>
      </c>
      <c r="P875" s="284">
        <f>IFERROR(_xlfn.LET(_xlpm.boxType, K875, _xlpm.tallos, N875, _xlpm.cost, O875, _xlpm.precio, Q875,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75" s="295">
        <v>1.59</v>
      </c>
      <c r="R875" s="285" t="s">
        <v>283</v>
      </c>
      <c r="S87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5" s="285">
        <v>0.36</v>
      </c>
      <c r="U87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75" s="287">
        <v>0.99</v>
      </c>
    </row>
    <row r="876" spans="1:22" x14ac:dyDescent="0.25">
      <c r="A876" s="277" t="s">
        <v>85</v>
      </c>
      <c r="B876" s="278">
        <f>_xlfn.XLOOKUP(Catalogo[[#This Row],[Finca]], Fincas[Nombre], Fincas[ID])</f>
        <v>38</v>
      </c>
      <c r="C876" s="277" t="s">
        <v>646</v>
      </c>
      <c r="D876" s="277" t="s">
        <v>871</v>
      </c>
      <c r="E876" s="277"/>
      <c r="F876" s="277"/>
      <c r="G876" s="277"/>
      <c r="H876" s="277"/>
      <c r="I876" s="311" t="s">
        <v>275</v>
      </c>
      <c r="J876" s="309"/>
      <c r="K876" s="278" t="s">
        <v>35</v>
      </c>
      <c r="L87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6" s="279" t="s">
        <v>385</v>
      </c>
      <c r="N876" s="279">
        <v>100</v>
      </c>
      <c r="O876" s="276">
        <v>0.36</v>
      </c>
      <c r="P876" s="280">
        <f>IFERROR(_xlfn.LET(_xlpm.boxType, K876, _xlpm.tallos, N876, _xlpm.cost, O876, _xlpm.precio, Q876,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76" s="296">
        <v>1.59</v>
      </c>
      <c r="R876" s="276" t="s">
        <v>284</v>
      </c>
      <c r="S87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6" s="276">
        <v>0.36</v>
      </c>
      <c r="U87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76" s="274">
        <v>0.89</v>
      </c>
    </row>
    <row r="877" spans="1:22" ht="15.75" thickBot="1" x14ac:dyDescent="0.3">
      <c r="A877" s="288" t="s">
        <v>85</v>
      </c>
      <c r="B877" s="289">
        <f>_xlfn.XLOOKUP(Catalogo[[#This Row],[Finca]], Fincas[Nombre], Fincas[ID])</f>
        <v>38</v>
      </c>
      <c r="C877" s="288" t="s">
        <v>646</v>
      </c>
      <c r="D877" s="288" t="s">
        <v>871</v>
      </c>
      <c r="E877" s="288"/>
      <c r="F877" s="288"/>
      <c r="G877" s="288"/>
      <c r="H877" s="288"/>
      <c r="I877" s="317" t="s">
        <v>275</v>
      </c>
      <c r="J877" s="310"/>
      <c r="K877" s="289" t="s">
        <v>93</v>
      </c>
      <c r="L87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7" s="290" t="s">
        <v>387</v>
      </c>
      <c r="N877" s="290">
        <v>200</v>
      </c>
      <c r="O877" s="292">
        <v>0.36</v>
      </c>
      <c r="P877" s="291">
        <f>IFERROR(_xlfn.LET(_xlpm.boxType, K877, _xlpm.tallos, N877, _xlpm.cost, O877, _xlpm.precio, Q877,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77" s="297">
        <v>1.59</v>
      </c>
      <c r="R877" s="292" t="s">
        <v>285</v>
      </c>
      <c r="S87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7" s="292">
        <v>0.36</v>
      </c>
      <c r="U87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77" s="294">
        <v>0.89</v>
      </c>
    </row>
    <row r="878" spans="1:22" x14ac:dyDescent="0.25">
      <c r="A878" s="281" t="s">
        <v>85</v>
      </c>
      <c r="B878" s="282">
        <f>_xlfn.XLOOKUP(Catalogo[[#This Row],[Finca]], Fincas[Nombre], Fincas[ID])</f>
        <v>38</v>
      </c>
      <c r="C878" s="281" t="s">
        <v>646</v>
      </c>
      <c r="D878" s="281" t="s">
        <v>872</v>
      </c>
      <c r="E878" s="281"/>
      <c r="F878" s="281"/>
      <c r="G878" s="281"/>
      <c r="H878" s="281"/>
      <c r="I878" s="316" t="s">
        <v>273</v>
      </c>
      <c r="J878" s="308"/>
      <c r="K878" s="282" t="s">
        <v>31</v>
      </c>
      <c r="L878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8" s="283" t="s">
        <v>383</v>
      </c>
      <c r="N878" s="283">
        <v>50</v>
      </c>
      <c r="O878" s="285">
        <v>0.24</v>
      </c>
      <c r="P878" s="284">
        <f>IFERROR(_xlfn.LET(_xlpm.boxType, K878, _xlpm.tallos, N878, _xlpm.cost, O878, _xlpm.precio, Q878,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78" s="295">
        <v>1.29</v>
      </c>
      <c r="R878" s="285" t="s">
        <v>283</v>
      </c>
      <c r="S878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8" s="285">
        <v>0.24</v>
      </c>
      <c r="U878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78" s="287">
        <v>0.75</v>
      </c>
    </row>
    <row r="879" spans="1:22" x14ac:dyDescent="0.25">
      <c r="A879" s="277" t="s">
        <v>85</v>
      </c>
      <c r="B879" s="278">
        <f>_xlfn.XLOOKUP(Catalogo[[#This Row],[Finca]], Fincas[Nombre], Fincas[ID])</f>
        <v>38</v>
      </c>
      <c r="C879" s="277" t="s">
        <v>646</v>
      </c>
      <c r="D879" s="277" t="s">
        <v>872</v>
      </c>
      <c r="E879" s="277"/>
      <c r="F879" s="277"/>
      <c r="G879" s="277"/>
      <c r="H879" s="277"/>
      <c r="I879" s="311" t="s">
        <v>273</v>
      </c>
      <c r="J879" s="309"/>
      <c r="K879" s="278" t="s">
        <v>35</v>
      </c>
      <c r="L87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79" s="279" t="s">
        <v>385</v>
      </c>
      <c r="N879" s="279">
        <v>150</v>
      </c>
      <c r="O879" s="276">
        <v>0.24</v>
      </c>
      <c r="P879" s="280">
        <f>IFERROR(_xlfn.LET(_xlpm.boxType, K879, _xlpm.tallos, N879, _xlpm.cost, O879, _xlpm.precio, Q879,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79" s="296">
        <v>1.19</v>
      </c>
      <c r="R879" s="276" t="s">
        <v>284</v>
      </c>
      <c r="S87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79" s="276">
        <v>0.24</v>
      </c>
      <c r="U87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79" s="274">
        <v>0.69</v>
      </c>
    </row>
    <row r="880" spans="1:22" ht="15.75" thickBot="1" x14ac:dyDescent="0.3">
      <c r="A880" s="288" t="s">
        <v>85</v>
      </c>
      <c r="B880" s="289">
        <f>_xlfn.XLOOKUP(Catalogo[[#This Row],[Finca]], Fincas[Nombre], Fincas[ID])</f>
        <v>38</v>
      </c>
      <c r="C880" s="288" t="s">
        <v>646</v>
      </c>
      <c r="D880" s="288" t="s">
        <v>872</v>
      </c>
      <c r="E880" s="288"/>
      <c r="F880" s="288"/>
      <c r="G880" s="288"/>
      <c r="H880" s="288"/>
      <c r="I880" s="317" t="s">
        <v>273</v>
      </c>
      <c r="J880" s="310"/>
      <c r="K880" s="289" t="s">
        <v>93</v>
      </c>
      <c r="L88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0" s="290" t="s">
        <v>387</v>
      </c>
      <c r="N880" s="290">
        <v>300</v>
      </c>
      <c r="O880" s="292">
        <v>0.24</v>
      </c>
      <c r="P880" s="291">
        <f>IFERROR(_xlfn.LET(_xlpm.boxType, K880, _xlpm.tallos, N880, _xlpm.cost, O880, _xlpm.precio, Q880,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80" s="297">
        <v>1.19</v>
      </c>
      <c r="R880" s="292" t="s">
        <v>285</v>
      </c>
      <c r="S88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0" s="292">
        <v>0.24</v>
      </c>
      <c r="U88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80" s="294">
        <v>0.69</v>
      </c>
    </row>
    <row r="881" spans="1:22" x14ac:dyDescent="0.25">
      <c r="A881" s="277" t="s">
        <v>85</v>
      </c>
      <c r="B881" s="278">
        <f>_xlfn.XLOOKUP(Catalogo[[#This Row],[Finca]], Fincas[Nombre], Fincas[ID])</f>
        <v>38</v>
      </c>
      <c r="C881" s="277" t="s">
        <v>646</v>
      </c>
      <c r="D881" s="277" t="s">
        <v>872</v>
      </c>
      <c r="E881" s="277"/>
      <c r="F881" s="277"/>
      <c r="G881" s="277"/>
      <c r="H881" s="277"/>
      <c r="I881" s="311" t="s">
        <v>274</v>
      </c>
      <c r="J881" s="309"/>
      <c r="K881" s="278" t="s">
        <v>31</v>
      </c>
      <c r="L88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1" s="279" t="s">
        <v>383</v>
      </c>
      <c r="N881" s="279">
        <v>50</v>
      </c>
      <c r="O881" s="276">
        <v>0.32</v>
      </c>
      <c r="P881" s="280">
        <f>IFERROR(_xlfn.LET(_xlpm.boxType, K881, _xlpm.tallos, N881, _xlpm.cost, O881, _xlpm.precio, Q881,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81" s="296">
        <v>1.49</v>
      </c>
      <c r="R881" s="276" t="s">
        <v>283</v>
      </c>
      <c r="S88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1" s="276">
        <v>0.32</v>
      </c>
      <c r="U88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81" s="274">
        <v>0.85</v>
      </c>
    </row>
    <row r="882" spans="1:22" x14ac:dyDescent="0.25">
      <c r="A882" s="277" t="s">
        <v>85</v>
      </c>
      <c r="B882" s="278">
        <f>_xlfn.XLOOKUP(Catalogo[[#This Row],[Finca]], Fincas[Nombre], Fincas[ID])</f>
        <v>38</v>
      </c>
      <c r="C882" s="277" t="s">
        <v>646</v>
      </c>
      <c r="D882" s="277" t="s">
        <v>872</v>
      </c>
      <c r="E882" s="277"/>
      <c r="F882" s="277"/>
      <c r="G882" s="277"/>
      <c r="H882" s="277"/>
      <c r="I882" s="311" t="s">
        <v>274</v>
      </c>
      <c r="J882" s="309"/>
      <c r="K882" s="278" t="s">
        <v>35</v>
      </c>
      <c r="L88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2" s="279" t="s">
        <v>385</v>
      </c>
      <c r="N882" s="279">
        <v>125</v>
      </c>
      <c r="O882" s="276">
        <v>0.32</v>
      </c>
      <c r="P882" s="280">
        <f>IFERROR(_xlfn.LET(_xlpm.boxType, K882, _xlpm.tallos, N882, _xlpm.cost, O882, _xlpm.precio, Q882,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82" s="296">
        <v>1.39</v>
      </c>
      <c r="R882" s="276" t="s">
        <v>284</v>
      </c>
      <c r="S88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2" s="276">
        <v>0.32</v>
      </c>
      <c r="U88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82" s="274">
        <v>0.79</v>
      </c>
    </row>
    <row r="883" spans="1:22" ht="15.75" thickBot="1" x14ac:dyDescent="0.3">
      <c r="A883" s="277" t="s">
        <v>85</v>
      </c>
      <c r="B883" s="278">
        <f>_xlfn.XLOOKUP(Catalogo[[#This Row],[Finca]], Fincas[Nombre], Fincas[ID])</f>
        <v>38</v>
      </c>
      <c r="C883" s="277" t="s">
        <v>646</v>
      </c>
      <c r="D883" s="277" t="s">
        <v>872</v>
      </c>
      <c r="E883" s="277"/>
      <c r="F883" s="277"/>
      <c r="G883" s="277"/>
      <c r="H883" s="277"/>
      <c r="I883" s="311" t="s">
        <v>274</v>
      </c>
      <c r="J883" s="309"/>
      <c r="K883" s="278" t="s">
        <v>93</v>
      </c>
      <c r="L88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3" s="279" t="s">
        <v>387</v>
      </c>
      <c r="N883" s="279">
        <v>250</v>
      </c>
      <c r="O883" s="276">
        <v>0.32</v>
      </c>
      <c r="P883" s="280">
        <f>IFERROR(_xlfn.LET(_xlpm.boxType, K883, _xlpm.tallos, N883, _xlpm.cost, O883, _xlpm.precio, Q883,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83" s="296">
        <v>1.39</v>
      </c>
      <c r="R883" s="276" t="s">
        <v>285</v>
      </c>
      <c r="S88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3" s="276">
        <v>0.32</v>
      </c>
      <c r="U88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83" s="274">
        <v>0.79</v>
      </c>
    </row>
    <row r="884" spans="1:22" x14ac:dyDescent="0.25">
      <c r="A884" s="281" t="s">
        <v>85</v>
      </c>
      <c r="B884" s="282">
        <f>_xlfn.XLOOKUP(Catalogo[[#This Row],[Finca]], Fincas[Nombre], Fincas[ID])</f>
        <v>38</v>
      </c>
      <c r="C884" s="281" t="s">
        <v>646</v>
      </c>
      <c r="D884" s="281" t="s">
        <v>872</v>
      </c>
      <c r="E884" s="281"/>
      <c r="F884" s="281"/>
      <c r="G884" s="281"/>
      <c r="H884" s="281"/>
      <c r="I884" s="316" t="s">
        <v>275</v>
      </c>
      <c r="J884" s="308"/>
      <c r="K884" s="282" t="s">
        <v>31</v>
      </c>
      <c r="L88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4" s="283" t="s">
        <v>383</v>
      </c>
      <c r="N884" s="283">
        <v>50</v>
      </c>
      <c r="O884" s="285">
        <v>0.36</v>
      </c>
      <c r="P884" s="284">
        <f>IFERROR(_xlfn.LET(_xlpm.boxType, K884, _xlpm.tallos, N884, _xlpm.cost, O884, _xlpm.precio, Q884,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84" s="295">
        <v>1.59</v>
      </c>
      <c r="R884" s="285" t="s">
        <v>283</v>
      </c>
      <c r="S88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4" s="285">
        <v>0.36</v>
      </c>
      <c r="U88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84" s="287">
        <v>0.99</v>
      </c>
    </row>
    <row r="885" spans="1:22" x14ac:dyDescent="0.25">
      <c r="A885" s="277" t="s">
        <v>85</v>
      </c>
      <c r="B885" s="278">
        <f>_xlfn.XLOOKUP(Catalogo[[#This Row],[Finca]], Fincas[Nombre], Fincas[ID])</f>
        <v>38</v>
      </c>
      <c r="C885" s="277" t="s">
        <v>646</v>
      </c>
      <c r="D885" s="277" t="s">
        <v>872</v>
      </c>
      <c r="E885" s="277"/>
      <c r="F885" s="277"/>
      <c r="G885" s="277"/>
      <c r="H885" s="277"/>
      <c r="I885" s="311" t="s">
        <v>275</v>
      </c>
      <c r="J885" s="309"/>
      <c r="K885" s="278" t="s">
        <v>35</v>
      </c>
      <c r="L88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5" s="279" t="s">
        <v>385</v>
      </c>
      <c r="N885" s="279">
        <v>100</v>
      </c>
      <c r="O885" s="276">
        <v>0.36</v>
      </c>
      <c r="P885" s="280">
        <f>IFERROR(_xlfn.LET(_xlpm.boxType, K885, _xlpm.tallos, N885, _xlpm.cost, O885, _xlpm.precio, Q885,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85" s="296">
        <v>1.59</v>
      </c>
      <c r="R885" s="276" t="s">
        <v>284</v>
      </c>
      <c r="S88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5" s="276">
        <v>0.36</v>
      </c>
      <c r="U88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85" s="274">
        <v>0.89</v>
      </c>
    </row>
    <row r="886" spans="1:22" ht="15.75" thickBot="1" x14ac:dyDescent="0.3">
      <c r="A886" s="288" t="s">
        <v>85</v>
      </c>
      <c r="B886" s="289">
        <f>_xlfn.XLOOKUP(Catalogo[[#This Row],[Finca]], Fincas[Nombre], Fincas[ID])</f>
        <v>38</v>
      </c>
      <c r="C886" s="288" t="s">
        <v>646</v>
      </c>
      <c r="D886" s="288" t="s">
        <v>872</v>
      </c>
      <c r="E886" s="288"/>
      <c r="F886" s="288"/>
      <c r="G886" s="288"/>
      <c r="H886" s="288"/>
      <c r="I886" s="317" t="s">
        <v>275</v>
      </c>
      <c r="J886" s="310"/>
      <c r="K886" s="289" t="s">
        <v>93</v>
      </c>
      <c r="L88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6" s="290" t="s">
        <v>387</v>
      </c>
      <c r="N886" s="290">
        <v>200</v>
      </c>
      <c r="O886" s="292">
        <v>0.36</v>
      </c>
      <c r="P886" s="291">
        <f>IFERROR(_xlfn.LET(_xlpm.boxType, K886, _xlpm.tallos, N886, _xlpm.cost, O886, _xlpm.precio, Q886,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86" s="297">
        <v>1.59</v>
      </c>
      <c r="R886" s="292" t="s">
        <v>285</v>
      </c>
      <c r="S88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6" s="292">
        <v>0.36</v>
      </c>
      <c r="U88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86" s="294">
        <v>0.89</v>
      </c>
    </row>
    <row r="887" spans="1:22" x14ac:dyDescent="0.25">
      <c r="A887" s="281" t="s">
        <v>85</v>
      </c>
      <c r="B887" s="282">
        <f>_xlfn.XLOOKUP(Catalogo[[#This Row],[Finca]], Fincas[Nombre], Fincas[ID])</f>
        <v>38</v>
      </c>
      <c r="C887" s="281" t="s">
        <v>646</v>
      </c>
      <c r="D887" s="281" t="s">
        <v>873</v>
      </c>
      <c r="E887" s="281"/>
      <c r="F887" s="281"/>
      <c r="G887" s="281"/>
      <c r="H887" s="281"/>
      <c r="I887" s="316" t="s">
        <v>273</v>
      </c>
      <c r="J887" s="308"/>
      <c r="K887" s="282" t="s">
        <v>31</v>
      </c>
      <c r="L88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7" s="283" t="s">
        <v>383</v>
      </c>
      <c r="N887" s="283">
        <v>50</v>
      </c>
      <c r="O887" s="285">
        <v>0.24</v>
      </c>
      <c r="P887" s="284">
        <f>IFERROR(_xlfn.LET(_xlpm.boxType, K887, _xlpm.tallos, N887, _xlpm.cost, O887, _xlpm.precio, Q887,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87" s="295">
        <v>1.29</v>
      </c>
      <c r="R887" s="285" t="s">
        <v>283</v>
      </c>
      <c r="S88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7" s="285">
        <v>0.24</v>
      </c>
      <c r="U88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87" s="287">
        <v>0.75</v>
      </c>
    </row>
    <row r="888" spans="1:22" x14ac:dyDescent="0.25">
      <c r="A888" s="277" t="s">
        <v>85</v>
      </c>
      <c r="B888" s="278">
        <f>_xlfn.XLOOKUP(Catalogo[[#This Row],[Finca]], Fincas[Nombre], Fincas[ID])</f>
        <v>38</v>
      </c>
      <c r="C888" s="277" t="s">
        <v>646</v>
      </c>
      <c r="D888" s="277" t="s">
        <v>873</v>
      </c>
      <c r="E888" s="277"/>
      <c r="F888" s="277"/>
      <c r="G888" s="277"/>
      <c r="H888" s="277"/>
      <c r="I888" s="311" t="s">
        <v>273</v>
      </c>
      <c r="J888" s="309"/>
      <c r="K888" s="278" t="s">
        <v>35</v>
      </c>
      <c r="L88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8" s="279" t="s">
        <v>385</v>
      </c>
      <c r="N888" s="279">
        <v>150</v>
      </c>
      <c r="O888" s="276">
        <v>0.24</v>
      </c>
      <c r="P888" s="280">
        <f>IFERROR(_xlfn.LET(_xlpm.boxType, K888, _xlpm.tallos, N888, _xlpm.cost, O888, _xlpm.precio, Q888,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88" s="296">
        <v>1.19</v>
      </c>
      <c r="R888" s="276" t="s">
        <v>284</v>
      </c>
      <c r="S88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8" s="276">
        <v>0.24</v>
      </c>
      <c r="U88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88" s="274">
        <v>0.69</v>
      </c>
    </row>
    <row r="889" spans="1:22" ht="15.75" thickBot="1" x14ac:dyDescent="0.3">
      <c r="A889" s="288" t="s">
        <v>85</v>
      </c>
      <c r="B889" s="289">
        <f>_xlfn.XLOOKUP(Catalogo[[#This Row],[Finca]], Fincas[Nombre], Fincas[ID])</f>
        <v>38</v>
      </c>
      <c r="C889" s="288" t="s">
        <v>646</v>
      </c>
      <c r="D889" s="288" t="s">
        <v>873</v>
      </c>
      <c r="E889" s="288"/>
      <c r="F889" s="288"/>
      <c r="G889" s="288"/>
      <c r="H889" s="288"/>
      <c r="I889" s="317" t="s">
        <v>273</v>
      </c>
      <c r="J889" s="310"/>
      <c r="K889" s="289" t="s">
        <v>93</v>
      </c>
      <c r="L889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89" s="290" t="s">
        <v>387</v>
      </c>
      <c r="N889" s="290">
        <v>300</v>
      </c>
      <c r="O889" s="292">
        <v>0.24</v>
      </c>
      <c r="P889" s="291">
        <f>IFERROR(_xlfn.LET(_xlpm.boxType, K889, _xlpm.tallos, N889, _xlpm.cost, O889, _xlpm.precio, Q889,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89" s="297">
        <v>1.19</v>
      </c>
      <c r="R889" s="292" t="s">
        <v>285</v>
      </c>
      <c r="S889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89" s="292">
        <v>0.24</v>
      </c>
      <c r="U889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89" s="294">
        <v>0.69</v>
      </c>
    </row>
    <row r="890" spans="1:22" x14ac:dyDescent="0.25">
      <c r="A890" s="277" t="s">
        <v>85</v>
      </c>
      <c r="B890" s="278">
        <f>_xlfn.XLOOKUP(Catalogo[[#This Row],[Finca]], Fincas[Nombre], Fincas[ID])</f>
        <v>38</v>
      </c>
      <c r="C890" s="277" t="s">
        <v>646</v>
      </c>
      <c r="D890" s="277" t="s">
        <v>873</v>
      </c>
      <c r="E890" s="277"/>
      <c r="F890" s="277"/>
      <c r="G890" s="277"/>
      <c r="H890" s="277"/>
      <c r="I890" s="311" t="s">
        <v>274</v>
      </c>
      <c r="J890" s="309"/>
      <c r="K890" s="278" t="s">
        <v>31</v>
      </c>
      <c r="L89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0" s="279" t="s">
        <v>383</v>
      </c>
      <c r="N890" s="279">
        <v>50</v>
      </c>
      <c r="O890" s="276">
        <v>0.32</v>
      </c>
      <c r="P890" s="280">
        <f>IFERROR(_xlfn.LET(_xlpm.boxType, K890, _xlpm.tallos, N890, _xlpm.cost, O890, _xlpm.precio, Q890,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90" s="296">
        <v>1.49</v>
      </c>
      <c r="R890" s="276" t="s">
        <v>283</v>
      </c>
      <c r="S89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0" s="276">
        <v>0.32</v>
      </c>
      <c r="U89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90" s="274">
        <v>0.85</v>
      </c>
    </row>
    <row r="891" spans="1:22" x14ac:dyDescent="0.25">
      <c r="A891" s="277" t="s">
        <v>85</v>
      </c>
      <c r="B891" s="278">
        <f>_xlfn.XLOOKUP(Catalogo[[#This Row],[Finca]], Fincas[Nombre], Fincas[ID])</f>
        <v>38</v>
      </c>
      <c r="C891" s="277" t="s">
        <v>646</v>
      </c>
      <c r="D891" s="277" t="s">
        <v>873</v>
      </c>
      <c r="E891" s="277"/>
      <c r="F891" s="277"/>
      <c r="G891" s="277"/>
      <c r="H891" s="277"/>
      <c r="I891" s="311" t="s">
        <v>274</v>
      </c>
      <c r="J891" s="309"/>
      <c r="K891" s="278" t="s">
        <v>35</v>
      </c>
      <c r="L89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1" s="279" t="s">
        <v>385</v>
      </c>
      <c r="N891" s="279">
        <v>125</v>
      </c>
      <c r="O891" s="276">
        <v>0.32</v>
      </c>
      <c r="P891" s="280">
        <f>IFERROR(_xlfn.LET(_xlpm.boxType, K891, _xlpm.tallos, N891, _xlpm.cost, O891, _xlpm.precio, Q891,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891" s="296">
        <v>1.39</v>
      </c>
      <c r="R891" s="276" t="s">
        <v>284</v>
      </c>
      <c r="S89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1" s="276">
        <v>0.32</v>
      </c>
      <c r="U89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91" s="274">
        <v>0.79</v>
      </c>
    </row>
    <row r="892" spans="1:22" ht="15.75" thickBot="1" x14ac:dyDescent="0.3">
      <c r="A892" s="277" t="s">
        <v>85</v>
      </c>
      <c r="B892" s="278">
        <f>_xlfn.XLOOKUP(Catalogo[[#This Row],[Finca]], Fincas[Nombre], Fincas[ID])</f>
        <v>38</v>
      </c>
      <c r="C892" s="277" t="s">
        <v>646</v>
      </c>
      <c r="D892" s="277" t="s">
        <v>873</v>
      </c>
      <c r="E892" s="277"/>
      <c r="F892" s="277"/>
      <c r="G892" s="277"/>
      <c r="H892" s="277"/>
      <c r="I892" s="311" t="s">
        <v>274</v>
      </c>
      <c r="J892" s="309"/>
      <c r="K892" s="278" t="s">
        <v>93</v>
      </c>
      <c r="L89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2" s="279" t="s">
        <v>387</v>
      </c>
      <c r="N892" s="279">
        <v>250</v>
      </c>
      <c r="O892" s="276">
        <v>0.32</v>
      </c>
      <c r="P892" s="280">
        <f>IFERROR(_xlfn.LET(_xlpm.boxType, K892, _xlpm.tallos, N892, _xlpm.cost, O892, _xlpm.precio, Q892,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892" s="296">
        <v>1.39</v>
      </c>
      <c r="R892" s="276" t="s">
        <v>285</v>
      </c>
      <c r="S89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2" s="276">
        <v>0.32</v>
      </c>
      <c r="U89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892" s="274">
        <v>0.79</v>
      </c>
    </row>
    <row r="893" spans="1:22" x14ac:dyDescent="0.25">
      <c r="A893" s="281" t="s">
        <v>85</v>
      </c>
      <c r="B893" s="282">
        <f>_xlfn.XLOOKUP(Catalogo[[#This Row],[Finca]], Fincas[Nombre], Fincas[ID])</f>
        <v>38</v>
      </c>
      <c r="C893" s="281" t="s">
        <v>646</v>
      </c>
      <c r="D893" s="281" t="s">
        <v>873</v>
      </c>
      <c r="E893" s="281"/>
      <c r="F893" s="281"/>
      <c r="G893" s="281"/>
      <c r="H893" s="281"/>
      <c r="I893" s="316" t="s">
        <v>275</v>
      </c>
      <c r="J893" s="308"/>
      <c r="K893" s="282" t="s">
        <v>31</v>
      </c>
      <c r="L89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3" s="283" t="s">
        <v>383</v>
      </c>
      <c r="N893" s="283">
        <v>50</v>
      </c>
      <c r="O893" s="285">
        <v>0.36</v>
      </c>
      <c r="P893" s="284">
        <f>IFERROR(_xlfn.LET(_xlpm.boxType, K893, _xlpm.tallos, N893, _xlpm.cost, O893, _xlpm.precio, Q893,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93" s="295">
        <v>1.59</v>
      </c>
      <c r="R893" s="285" t="s">
        <v>283</v>
      </c>
      <c r="S89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3" s="285">
        <v>0.36</v>
      </c>
      <c r="U89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893" s="287">
        <v>0.99</v>
      </c>
    </row>
    <row r="894" spans="1:22" x14ac:dyDescent="0.25">
      <c r="A894" s="277" t="s">
        <v>85</v>
      </c>
      <c r="B894" s="278">
        <f>_xlfn.XLOOKUP(Catalogo[[#This Row],[Finca]], Fincas[Nombre], Fincas[ID])</f>
        <v>38</v>
      </c>
      <c r="C894" s="277" t="s">
        <v>646</v>
      </c>
      <c r="D894" s="277" t="s">
        <v>873</v>
      </c>
      <c r="E894" s="277"/>
      <c r="F894" s="277"/>
      <c r="G894" s="277"/>
      <c r="H894" s="277"/>
      <c r="I894" s="311" t="s">
        <v>275</v>
      </c>
      <c r="J894" s="309"/>
      <c r="K894" s="278" t="s">
        <v>35</v>
      </c>
      <c r="L89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4" s="279" t="s">
        <v>385</v>
      </c>
      <c r="N894" s="279">
        <v>100</v>
      </c>
      <c r="O894" s="276">
        <v>0.36</v>
      </c>
      <c r="P894" s="280">
        <f>IFERROR(_xlfn.LET(_xlpm.boxType, K894, _xlpm.tallos, N894, _xlpm.cost, O894, _xlpm.precio, Q894,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894" s="296">
        <v>1.59</v>
      </c>
      <c r="R894" s="276" t="s">
        <v>284</v>
      </c>
      <c r="S89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4" s="276">
        <v>0.36</v>
      </c>
      <c r="U89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94" s="274">
        <v>0.89</v>
      </c>
    </row>
    <row r="895" spans="1:22" ht="15.75" thickBot="1" x14ac:dyDescent="0.3">
      <c r="A895" s="288" t="s">
        <v>85</v>
      </c>
      <c r="B895" s="289">
        <f>_xlfn.XLOOKUP(Catalogo[[#This Row],[Finca]], Fincas[Nombre], Fincas[ID])</f>
        <v>38</v>
      </c>
      <c r="C895" s="288" t="s">
        <v>646</v>
      </c>
      <c r="D895" s="288" t="s">
        <v>873</v>
      </c>
      <c r="E895" s="288"/>
      <c r="F895" s="288"/>
      <c r="G895" s="288"/>
      <c r="H895" s="288"/>
      <c r="I895" s="317" t="s">
        <v>275</v>
      </c>
      <c r="J895" s="310"/>
      <c r="K895" s="289" t="s">
        <v>93</v>
      </c>
      <c r="L895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5" s="290" t="s">
        <v>387</v>
      </c>
      <c r="N895" s="290">
        <v>200</v>
      </c>
      <c r="O895" s="292">
        <v>0.36</v>
      </c>
      <c r="P895" s="291">
        <f>IFERROR(_xlfn.LET(_xlpm.boxType, K895, _xlpm.tallos, N895, _xlpm.cost, O895, _xlpm.precio, Q895,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895" s="297">
        <v>1.59</v>
      </c>
      <c r="R895" s="292" t="s">
        <v>285</v>
      </c>
      <c r="S895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5" s="292">
        <v>0.36</v>
      </c>
      <c r="U895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895" s="294">
        <v>0.89</v>
      </c>
    </row>
    <row r="896" spans="1:22" x14ac:dyDescent="0.25">
      <c r="A896" s="281" t="s">
        <v>85</v>
      </c>
      <c r="B896" s="282">
        <f>_xlfn.XLOOKUP(Catalogo[[#This Row],[Finca]], Fincas[Nombre], Fincas[ID])</f>
        <v>38</v>
      </c>
      <c r="C896" s="281" t="s">
        <v>646</v>
      </c>
      <c r="D896" s="281" t="s">
        <v>874</v>
      </c>
      <c r="E896" s="281"/>
      <c r="F896" s="281"/>
      <c r="G896" s="281"/>
      <c r="H896" s="281"/>
      <c r="I896" s="316" t="s">
        <v>273</v>
      </c>
      <c r="J896" s="308"/>
      <c r="K896" s="282" t="s">
        <v>31</v>
      </c>
      <c r="L896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6" s="283" t="s">
        <v>383</v>
      </c>
      <c r="N896" s="283">
        <v>50</v>
      </c>
      <c r="O896" s="285">
        <v>0.24</v>
      </c>
      <c r="P896" s="284">
        <f>IFERROR(_xlfn.LET(_xlpm.boxType, K896, _xlpm.tallos, N896, _xlpm.cost, O896, _xlpm.precio, Q896,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896" s="295">
        <v>1.29</v>
      </c>
      <c r="R896" s="285" t="s">
        <v>283</v>
      </c>
      <c r="S896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6" s="285">
        <v>0.24</v>
      </c>
      <c r="U896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896" s="287">
        <v>0.75</v>
      </c>
    </row>
    <row r="897" spans="1:22" x14ac:dyDescent="0.25">
      <c r="A897" s="277" t="s">
        <v>85</v>
      </c>
      <c r="B897" s="278">
        <f>_xlfn.XLOOKUP(Catalogo[[#This Row],[Finca]], Fincas[Nombre], Fincas[ID])</f>
        <v>38</v>
      </c>
      <c r="C897" s="277" t="s">
        <v>646</v>
      </c>
      <c r="D897" s="277" t="s">
        <v>874</v>
      </c>
      <c r="E897" s="277"/>
      <c r="F897" s="277"/>
      <c r="G897" s="277"/>
      <c r="H897" s="277"/>
      <c r="I897" s="311" t="s">
        <v>273</v>
      </c>
      <c r="J897" s="309"/>
      <c r="K897" s="278" t="s">
        <v>35</v>
      </c>
      <c r="L89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7" s="279" t="s">
        <v>385</v>
      </c>
      <c r="N897" s="279">
        <v>150</v>
      </c>
      <c r="O897" s="276">
        <v>0.24</v>
      </c>
      <c r="P897" s="280">
        <f>IFERROR(_xlfn.LET(_xlpm.boxType, K897, _xlpm.tallos, N897, _xlpm.cost, O897, _xlpm.precio, Q897,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897" s="296">
        <v>1.19</v>
      </c>
      <c r="R897" s="276" t="s">
        <v>284</v>
      </c>
      <c r="S89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7" s="276">
        <v>0.24</v>
      </c>
      <c r="U89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97" s="274">
        <v>0.69</v>
      </c>
    </row>
    <row r="898" spans="1:22" ht="15.75" thickBot="1" x14ac:dyDescent="0.3">
      <c r="A898" s="288" t="s">
        <v>85</v>
      </c>
      <c r="B898" s="289">
        <f>_xlfn.XLOOKUP(Catalogo[[#This Row],[Finca]], Fincas[Nombre], Fincas[ID])</f>
        <v>38</v>
      </c>
      <c r="C898" s="288" t="s">
        <v>646</v>
      </c>
      <c r="D898" s="288" t="s">
        <v>874</v>
      </c>
      <c r="E898" s="288"/>
      <c r="F898" s="288"/>
      <c r="G898" s="288"/>
      <c r="H898" s="288"/>
      <c r="I898" s="317" t="s">
        <v>273</v>
      </c>
      <c r="J898" s="310"/>
      <c r="K898" s="289" t="s">
        <v>93</v>
      </c>
      <c r="L89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8" s="290" t="s">
        <v>387</v>
      </c>
      <c r="N898" s="290">
        <v>300</v>
      </c>
      <c r="O898" s="292">
        <v>0.24</v>
      </c>
      <c r="P898" s="291">
        <f>IFERROR(_xlfn.LET(_xlpm.boxType, K898, _xlpm.tallos, N898, _xlpm.cost, O898, _xlpm.precio, Q898,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898" s="297">
        <v>1.19</v>
      </c>
      <c r="R898" s="292" t="s">
        <v>285</v>
      </c>
      <c r="S89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8" s="292">
        <v>0.24</v>
      </c>
      <c r="U89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898" s="294">
        <v>0.69</v>
      </c>
    </row>
    <row r="899" spans="1:22" x14ac:dyDescent="0.25">
      <c r="A899" s="277" t="s">
        <v>85</v>
      </c>
      <c r="B899" s="278">
        <f>_xlfn.XLOOKUP(Catalogo[[#This Row],[Finca]], Fincas[Nombre], Fincas[ID])</f>
        <v>38</v>
      </c>
      <c r="C899" s="277" t="s">
        <v>646</v>
      </c>
      <c r="D899" s="277" t="s">
        <v>874</v>
      </c>
      <c r="E899" s="277"/>
      <c r="F899" s="277"/>
      <c r="G899" s="277"/>
      <c r="H899" s="277"/>
      <c r="I899" s="311" t="s">
        <v>274</v>
      </c>
      <c r="J899" s="309"/>
      <c r="K899" s="278" t="s">
        <v>31</v>
      </c>
      <c r="L89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899" s="279" t="s">
        <v>383</v>
      </c>
      <c r="N899" s="279">
        <v>50</v>
      </c>
      <c r="O899" s="276">
        <v>0.32</v>
      </c>
      <c r="P899" s="280">
        <f>IFERROR(_xlfn.LET(_xlpm.boxType, K899, _xlpm.tallos, N899, _xlpm.cost, O899, _xlpm.precio, Q899,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899" s="296">
        <v>1.49</v>
      </c>
      <c r="R899" s="276" t="s">
        <v>283</v>
      </c>
      <c r="S89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899" s="276">
        <v>0.32</v>
      </c>
      <c r="U89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899" s="274">
        <v>0.85</v>
      </c>
    </row>
    <row r="900" spans="1:22" x14ac:dyDescent="0.25">
      <c r="A900" s="277" t="s">
        <v>85</v>
      </c>
      <c r="B900" s="278">
        <f>_xlfn.XLOOKUP(Catalogo[[#This Row],[Finca]], Fincas[Nombre], Fincas[ID])</f>
        <v>38</v>
      </c>
      <c r="C900" s="277" t="s">
        <v>646</v>
      </c>
      <c r="D900" s="277" t="s">
        <v>874</v>
      </c>
      <c r="E900" s="277"/>
      <c r="F900" s="277"/>
      <c r="G900" s="277"/>
      <c r="H900" s="277"/>
      <c r="I900" s="311" t="s">
        <v>274</v>
      </c>
      <c r="J900" s="309"/>
      <c r="K900" s="278" t="s">
        <v>35</v>
      </c>
      <c r="L90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0" s="279" t="s">
        <v>385</v>
      </c>
      <c r="N900" s="279">
        <v>125</v>
      </c>
      <c r="O900" s="276">
        <v>0.32</v>
      </c>
      <c r="P900" s="280">
        <f>IFERROR(_xlfn.LET(_xlpm.boxType, K900, _xlpm.tallos, N900, _xlpm.cost, O900, _xlpm.precio, Q900,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900" s="296">
        <v>1.39</v>
      </c>
      <c r="R900" s="276" t="s">
        <v>284</v>
      </c>
      <c r="S90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0" s="276">
        <v>0.32</v>
      </c>
      <c r="U90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00" s="274">
        <v>0.79</v>
      </c>
    </row>
    <row r="901" spans="1:22" ht="15.75" thickBot="1" x14ac:dyDescent="0.3">
      <c r="A901" s="277" t="s">
        <v>85</v>
      </c>
      <c r="B901" s="278">
        <f>_xlfn.XLOOKUP(Catalogo[[#This Row],[Finca]], Fincas[Nombre], Fincas[ID])</f>
        <v>38</v>
      </c>
      <c r="C901" s="277" t="s">
        <v>646</v>
      </c>
      <c r="D901" s="277" t="s">
        <v>874</v>
      </c>
      <c r="E901" s="277"/>
      <c r="F901" s="277"/>
      <c r="G901" s="277"/>
      <c r="H901" s="277"/>
      <c r="I901" s="311" t="s">
        <v>274</v>
      </c>
      <c r="J901" s="309"/>
      <c r="K901" s="278" t="s">
        <v>93</v>
      </c>
      <c r="L90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1" s="279" t="s">
        <v>387</v>
      </c>
      <c r="N901" s="279">
        <v>250</v>
      </c>
      <c r="O901" s="276">
        <v>0.32</v>
      </c>
      <c r="P901" s="280">
        <f>IFERROR(_xlfn.LET(_xlpm.boxType, K901, _xlpm.tallos, N901, _xlpm.cost, O901, _xlpm.precio, Q901,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901" s="296">
        <v>1.39</v>
      </c>
      <c r="R901" s="276" t="s">
        <v>285</v>
      </c>
      <c r="S90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1" s="276">
        <v>0.32</v>
      </c>
      <c r="U90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01" s="274">
        <v>0.79</v>
      </c>
    </row>
    <row r="902" spans="1:22" x14ac:dyDescent="0.25">
      <c r="A902" s="281" t="s">
        <v>85</v>
      </c>
      <c r="B902" s="282">
        <f>_xlfn.XLOOKUP(Catalogo[[#This Row],[Finca]], Fincas[Nombre], Fincas[ID])</f>
        <v>38</v>
      </c>
      <c r="C902" s="281" t="s">
        <v>646</v>
      </c>
      <c r="D902" s="281" t="s">
        <v>874</v>
      </c>
      <c r="E902" s="281"/>
      <c r="F902" s="281"/>
      <c r="G902" s="281"/>
      <c r="H902" s="281"/>
      <c r="I902" s="316" t="s">
        <v>275</v>
      </c>
      <c r="J902" s="308"/>
      <c r="K902" s="282" t="s">
        <v>31</v>
      </c>
      <c r="L902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2" s="283" t="s">
        <v>383</v>
      </c>
      <c r="N902" s="283">
        <v>50</v>
      </c>
      <c r="O902" s="285">
        <v>0.36</v>
      </c>
      <c r="P902" s="284">
        <f>IFERROR(_xlfn.LET(_xlpm.boxType, K902, _xlpm.tallos, N902, _xlpm.cost, O902, _xlpm.precio, Q902,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02" s="295">
        <v>1.59</v>
      </c>
      <c r="R902" s="285" t="s">
        <v>283</v>
      </c>
      <c r="S902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2" s="285">
        <v>0.36</v>
      </c>
      <c r="U902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902" s="287">
        <v>0.99</v>
      </c>
    </row>
    <row r="903" spans="1:22" x14ac:dyDescent="0.25">
      <c r="A903" s="277" t="s">
        <v>85</v>
      </c>
      <c r="B903" s="278">
        <f>_xlfn.XLOOKUP(Catalogo[[#This Row],[Finca]], Fincas[Nombre], Fincas[ID])</f>
        <v>38</v>
      </c>
      <c r="C903" s="277" t="s">
        <v>646</v>
      </c>
      <c r="D903" s="277" t="s">
        <v>874</v>
      </c>
      <c r="E903" s="277"/>
      <c r="F903" s="277"/>
      <c r="G903" s="277"/>
      <c r="H903" s="277"/>
      <c r="I903" s="311" t="s">
        <v>275</v>
      </c>
      <c r="J903" s="309"/>
      <c r="K903" s="278" t="s">
        <v>35</v>
      </c>
      <c r="L90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3" s="279" t="s">
        <v>385</v>
      </c>
      <c r="N903" s="279">
        <v>100</v>
      </c>
      <c r="O903" s="276">
        <v>0.36</v>
      </c>
      <c r="P903" s="280">
        <f>IFERROR(_xlfn.LET(_xlpm.boxType, K903, _xlpm.tallos, N903, _xlpm.cost, O903, _xlpm.precio, Q903,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903" s="296">
        <v>1.59</v>
      </c>
      <c r="R903" s="276" t="s">
        <v>284</v>
      </c>
      <c r="S90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3" s="276">
        <v>0.36</v>
      </c>
      <c r="U90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03" s="274">
        <v>0.89</v>
      </c>
    </row>
    <row r="904" spans="1:22" ht="15.75" thickBot="1" x14ac:dyDescent="0.3">
      <c r="A904" s="288" t="s">
        <v>85</v>
      </c>
      <c r="B904" s="289">
        <f>_xlfn.XLOOKUP(Catalogo[[#This Row],[Finca]], Fincas[Nombre], Fincas[ID])</f>
        <v>38</v>
      </c>
      <c r="C904" s="288" t="s">
        <v>646</v>
      </c>
      <c r="D904" s="288" t="s">
        <v>874</v>
      </c>
      <c r="E904" s="288"/>
      <c r="F904" s="288"/>
      <c r="G904" s="288"/>
      <c r="H904" s="288"/>
      <c r="I904" s="317" t="s">
        <v>275</v>
      </c>
      <c r="J904" s="310"/>
      <c r="K904" s="289" t="s">
        <v>93</v>
      </c>
      <c r="L90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4" s="290" t="s">
        <v>387</v>
      </c>
      <c r="N904" s="290">
        <v>200</v>
      </c>
      <c r="O904" s="292">
        <v>0.36</v>
      </c>
      <c r="P904" s="291">
        <f>IFERROR(_xlfn.LET(_xlpm.boxType, K904, _xlpm.tallos, N904, _xlpm.cost, O904, _xlpm.precio, Q904,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04" s="297">
        <v>1.59</v>
      </c>
      <c r="R904" s="292" t="s">
        <v>285</v>
      </c>
      <c r="S90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4" s="292">
        <v>0.36</v>
      </c>
      <c r="U90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04" s="294">
        <v>0.89</v>
      </c>
    </row>
    <row r="905" spans="1:22" x14ac:dyDescent="0.25">
      <c r="A905" s="281" t="s">
        <v>85</v>
      </c>
      <c r="B905" s="282">
        <f>_xlfn.XLOOKUP(Catalogo[[#This Row],[Finca]], Fincas[Nombre], Fincas[ID])</f>
        <v>38</v>
      </c>
      <c r="C905" s="281" t="s">
        <v>646</v>
      </c>
      <c r="D905" s="281" t="s">
        <v>875</v>
      </c>
      <c r="E905" s="281"/>
      <c r="F905" s="281"/>
      <c r="G905" s="281"/>
      <c r="H905" s="281"/>
      <c r="I905" s="316" t="s">
        <v>273</v>
      </c>
      <c r="J905" s="308"/>
      <c r="K905" s="282" t="s">
        <v>31</v>
      </c>
      <c r="L90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5" s="283" t="s">
        <v>383</v>
      </c>
      <c r="N905" s="283">
        <v>50</v>
      </c>
      <c r="O905" s="285">
        <v>0.24</v>
      </c>
      <c r="P905" s="284">
        <f>IFERROR(_xlfn.LET(_xlpm.boxType, K905, _xlpm.tallos, N905, _xlpm.cost, O905, _xlpm.precio, Q905,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905" s="295">
        <v>1.29</v>
      </c>
      <c r="R905" s="285" t="s">
        <v>283</v>
      </c>
      <c r="S90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5" s="285">
        <v>0.24</v>
      </c>
      <c r="U90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905" s="287">
        <v>0.75</v>
      </c>
    </row>
    <row r="906" spans="1:22" x14ac:dyDescent="0.25">
      <c r="A906" s="277" t="s">
        <v>85</v>
      </c>
      <c r="B906" s="278">
        <f>_xlfn.XLOOKUP(Catalogo[[#This Row],[Finca]], Fincas[Nombre], Fincas[ID])</f>
        <v>38</v>
      </c>
      <c r="C906" s="277" t="s">
        <v>646</v>
      </c>
      <c r="D906" s="277" t="s">
        <v>875</v>
      </c>
      <c r="E906" s="277"/>
      <c r="F906" s="277"/>
      <c r="G906" s="277"/>
      <c r="H906" s="277"/>
      <c r="I906" s="311" t="s">
        <v>273</v>
      </c>
      <c r="J906" s="309"/>
      <c r="K906" s="278" t="s">
        <v>35</v>
      </c>
      <c r="L90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6" s="279" t="s">
        <v>385</v>
      </c>
      <c r="N906" s="279">
        <v>150</v>
      </c>
      <c r="O906" s="276">
        <v>0.24</v>
      </c>
      <c r="P906" s="280">
        <f>IFERROR(_xlfn.LET(_xlpm.boxType, K906, _xlpm.tallos, N906, _xlpm.cost, O906, _xlpm.precio, Q906,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906" s="296">
        <v>1.19</v>
      </c>
      <c r="R906" s="276" t="s">
        <v>284</v>
      </c>
      <c r="S90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6" s="276">
        <v>0.24</v>
      </c>
      <c r="U90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06" s="274">
        <v>0.69</v>
      </c>
    </row>
    <row r="907" spans="1:22" ht="15.75" thickBot="1" x14ac:dyDescent="0.3">
      <c r="A907" s="288" t="s">
        <v>85</v>
      </c>
      <c r="B907" s="289">
        <f>_xlfn.XLOOKUP(Catalogo[[#This Row],[Finca]], Fincas[Nombre], Fincas[ID])</f>
        <v>38</v>
      </c>
      <c r="C907" s="288" t="s">
        <v>646</v>
      </c>
      <c r="D907" s="288" t="s">
        <v>875</v>
      </c>
      <c r="E907" s="288"/>
      <c r="F907" s="288"/>
      <c r="G907" s="288"/>
      <c r="H907" s="288"/>
      <c r="I907" s="317" t="s">
        <v>273</v>
      </c>
      <c r="J907" s="310"/>
      <c r="K907" s="289" t="s">
        <v>93</v>
      </c>
      <c r="L907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7" s="290" t="s">
        <v>387</v>
      </c>
      <c r="N907" s="290">
        <v>300</v>
      </c>
      <c r="O907" s="292">
        <v>0.24</v>
      </c>
      <c r="P907" s="291">
        <f>IFERROR(_xlfn.LET(_xlpm.boxType, K907, _xlpm.tallos, N907, _xlpm.cost, O907, _xlpm.precio, Q907,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907" s="297">
        <v>1.19</v>
      </c>
      <c r="R907" s="292" t="s">
        <v>285</v>
      </c>
      <c r="S907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7" s="292">
        <v>0.24</v>
      </c>
      <c r="U907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07" s="294">
        <v>0.69</v>
      </c>
    </row>
    <row r="908" spans="1:22" x14ac:dyDescent="0.25">
      <c r="A908" s="277" t="s">
        <v>85</v>
      </c>
      <c r="B908" s="278">
        <f>_xlfn.XLOOKUP(Catalogo[[#This Row],[Finca]], Fincas[Nombre], Fincas[ID])</f>
        <v>38</v>
      </c>
      <c r="C908" s="277" t="s">
        <v>646</v>
      </c>
      <c r="D908" s="277" t="s">
        <v>875</v>
      </c>
      <c r="E908" s="277"/>
      <c r="F908" s="277"/>
      <c r="G908" s="277"/>
      <c r="H908" s="277"/>
      <c r="I908" s="311" t="s">
        <v>274</v>
      </c>
      <c r="J908" s="309"/>
      <c r="K908" s="278" t="s">
        <v>31</v>
      </c>
      <c r="L90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8" s="279" t="s">
        <v>383</v>
      </c>
      <c r="N908" s="279">
        <v>50</v>
      </c>
      <c r="O908" s="276">
        <v>0.32</v>
      </c>
      <c r="P908" s="280">
        <f>IFERROR(_xlfn.LET(_xlpm.boxType, K908, _xlpm.tallos, N908, _xlpm.cost, O908, _xlpm.precio, Q908,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908" s="296">
        <v>1.49</v>
      </c>
      <c r="R908" s="276" t="s">
        <v>283</v>
      </c>
      <c r="S90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8" s="276">
        <v>0.32</v>
      </c>
      <c r="U90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908" s="274">
        <v>0.85</v>
      </c>
    </row>
    <row r="909" spans="1:22" x14ac:dyDescent="0.25">
      <c r="A909" s="277" t="s">
        <v>85</v>
      </c>
      <c r="B909" s="278">
        <f>_xlfn.XLOOKUP(Catalogo[[#This Row],[Finca]], Fincas[Nombre], Fincas[ID])</f>
        <v>38</v>
      </c>
      <c r="C909" s="277" t="s">
        <v>646</v>
      </c>
      <c r="D909" s="277" t="s">
        <v>875</v>
      </c>
      <c r="E909" s="277"/>
      <c r="F909" s="277"/>
      <c r="G909" s="277"/>
      <c r="H909" s="277"/>
      <c r="I909" s="311" t="s">
        <v>274</v>
      </c>
      <c r="J909" s="309"/>
      <c r="K909" s="278" t="s">
        <v>35</v>
      </c>
      <c r="L90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09" s="279" t="s">
        <v>385</v>
      </c>
      <c r="N909" s="279">
        <v>125</v>
      </c>
      <c r="O909" s="276">
        <v>0.32</v>
      </c>
      <c r="P909" s="280">
        <f>IFERROR(_xlfn.LET(_xlpm.boxType, K909, _xlpm.tallos, N909, _xlpm.cost, O909, _xlpm.precio, Q909,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909" s="296">
        <v>1.39</v>
      </c>
      <c r="R909" s="276" t="s">
        <v>284</v>
      </c>
      <c r="S90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09" s="276">
        <v>0.32</v>
      </c>
      <c r="U90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09" s="274">
        <v>0.79</v>
      </c>
    </row>
    <row r="910" spans="1:22" ht="15.75" thickBot="1" x14ac:dyDescent="0.3">
      <c r="A910" s="277" t="s">
        <v>85</v>
      </c>
      <c r="B910" s="278">
        <f>_xlfn.XLOOKUP(Catalogo[[#This Row],[Finca]], Fincas[Nombre], Fincas[ID])</f>
        <v>38</v>
      </c>
      <c r="C910" s="277" t="s">
        <v>646</v>
      </c>
      <c r="D910" s="277" t="s">
        <v>875</v>
      </c>
      <c r="E910" s="277"/>
      <c r="F910" s="277"/>
      <c r="G910" s="277"/>
      <c r="H910" s="277"/>
      <c r="I910" s="311" t="s">
        <v>274</v>
      </c>
      <c r="J910" s="309"/>
      <c r="K910" s="278" t="s">
        <v>93</v>
      </c>
      <c r="L91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0" s="279" t="s">
        <v>387</v>
      </c>
      <c r="N910" s="279">
        <v>250</v>
      </c>
      <c r="O910" s="276">
        <v>0.32</v>
      </c>
      <c r="P910" s="280">
        <f>IFERROR(_xlfn.LET(_xlpm.boxType, K910, _xlpm.tallos, N910, _xlpm.cost, O910, _xlpm.precio, Q910,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910" s="296">
        <v>1.39</v>
      </c>
      <c r="R910" s="276" t="s">
        <v>285</v>
      </c>
      <c r="S91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0" s="276">
        <v>0.32</v>
      </c>
      <c r="U91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10" s="274">
        <v>0.79</v>
      </c>
    </row>
    <row r="911" spans="1:22" x14ac:dyDescent="0.25">
      <c r="A911" s="281" t="s">
        <v>85</v>
      </c>
      <c r="B911" s="282">
        <f>_xlfn.XLOOKUP(Catalogo[[#This Row],[Finca]], Fincas[Nombre], Fincas[ID])</f>
        <v>38</v>
      </c>
      <c r="C911" s="281" t="s">
        <v>646</v>
      </c>
      <c r="D911" s="281" t="s">
        <v>875</v>
      </c>
      <c r="E911" s="281"/>
      <c r="F911" s="281"/>
      <c r="G911" s="281"/>
      <c r="H911" s="281"/>
      <c r="I911" s="316" t="s">
        <v>275</v>
      </c>
      <c r="J911" s="308"/>
      <c r="K911" s="282" t="s">
        <v>31</v>
      </c>
      <c r="L91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1" s="283" t="s">
        <v>383</v>
      </c>
      <c r="N911" s="283">
        <v>50</v>
      </c>
      <c r="O911" s="285">
        <v>0.36</v>
      </c>
      <c r="P911" s="284">
        <f>IFERROR(_xlfn.LET(_xlpm.boxType, K911, _xlpm.tallos, N911, _xlpm.cost, O911, _xlpm.precio, Q911,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11" s="295">
        <v>1.59</v>
      </c>
      <c r="R911" s="285" t="s">
        <v>283</v>
      </c>
      <c r="S91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1" s="285">
        <v>0.36</v>
      </c>
      <c r="U91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911" s="287">
        <v>0.99</v>
      </c>
    </row>
    <row r="912" spans="1:22" x14ac:dyDescent="0.25">
      <c r="A912" s="277" t="s">
        <v>85</v>
      </c>
      <c r="B912" s="278">
        <f>_xlfn.XLOOKUP(Catalogo[[#This Row],[Finca]], Fincas[Nombre], Fincas[ID])</f>
        <v>38</v>
      </c>
      <c r="C912" s="277" t="s">
        <v>646</v>
      </c>
      <c r="D912" s="277" t="s">
        <v>875</v>
      </c>
      <c r="E912" s="277"/>
      <c r="F912" s="277"/>
      <c r="G912" s="277"/>
      <c r="H912" s="277"/>
      <c r="I912" s="311" t="s">
        <v>275</v>
      </c>
      <c r="J912" s="309"/>
      <c r="K912" s="278" t="s">
        <v>35</v>
      </c>
      <c r="L91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2" s="279" t="s">
        <v>385</v>
      </c>
      <c r="N912" s="279">
        <v>100</v>
      </c>
      <c r="O912" s="276">
        <v>0.36</v>
      </c>
      <c r="P912" s="280">
        <f>IFERROR(_xlfn.LET(_xlpm.boxType, K912, _xlpm.tallos, N912, _xlpm.cost, O912, _xlpm.precio, Q912,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912" s="296">
        <v>1.59</v>
      </c>
      <c r="R912" s="276" t="s">
        <v>284</v>
      </c>
      <c r="S91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2" s="276">
        <v>0.36</v>
      </c>
      <c r="U91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12" s="274">
        <v>0.89</v>
      </c>
    </row>
    <row r="913" spans="1:22" ht="15.75" thickBot="1" x14ac:dyDescent="0.3">
      <c r="A913" s="288" t="s">
        <v>85</v>
      </c>
      <c r="B913" s="289">
        <f>_xlfn.XLOOKUP(Catalogo[[#This Row],[Finca]], Fincas[Nombre], Fincas[ID])</f>
        <v>38</v>
      </c>
      <c r="C913" s="288" t="s">
        <v>646</v>
      </c>
      <c r="D913" s="288" t="s">
        <v>875</v>
      </c>
      <c r="E913" s="288"/>
      <c r="F913" s="288"/>
      <c r="G913" s="288"/>
      <c r="H913" s="288"/>
      <c r="I913" s="317" t="s">
        <v>275</v>
      </c>
      <c r="J913" s="310"/>
      <c r="K913" s="289" t="s">
        <v>93</v>
      </c>
      <c r="L913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3" s="290" t="s">
        <v>387</v>
      </c>
      <c r="N913" s="290">
        <v>200</v>
      </c>
      <c r="O913" s="292">
        <v>0.36</v>
      </c>
      <c r="P913" s="291">
        <f>IFERROR(_xlfn.LET(_xlpm.boxType, K913, _xlpm.tallos, N913, _xlpm.cost, O913, _xlpm.precio, Q913,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13" s="297">
        <v>1.59</v>
      </c>
      <c r="R913" s="292" t="s">
        <v>285</v>
      </c>
      <c r="S913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3" s="292">
        <v>0.36</v>
      </c>
      <c r="U913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13" s="294">
        <v>0.89</v>
      </c>
    </row>
    <row r="914" spans="1:22" x14ac:dyDescent="0.25">
      <c r="A914" s="281" t="s">
        <v>85</v>
      </c>
      <c r="B914" s="282">
        <f>_xlfn.XLOOKUP(Catalogo[[#This Row],[Finca]], Fincas[Nombre], Fincas[ID])</f>
        <v>38</v>
      </c>
      <c r="C914" s="281" t="s">
        <v>646</v>
      </c>
      <c r="D914" s="281" t="s">
        <v>876</v>
      </c>
      <c r="E914" s="281"/>
      <c r="F914" s="281"/>
      <c r="G914" s="281"/>
      <c r="H914" s="281"/>
      <c r="I914" s="316" t="s">
        <v>273</v>
      </c>
      <c r="J914" s="308"/>
      <c r="K914" s="282" t="s">
        <v>31</v>
      </c>
      <c r="L914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4" s="283" t="s">
        <v>383</v>
      </c>
      <c r="N914" s="283">
        <v>50</v>
      </c>
      <c r="O914" s="285">
        <v>0.24</v>
      </c>
      <c r="P914" s="284">
        <f>IFERROR(_xlfn.LET(_xlpm.boxType, K914, _xlpm.tallos, N914, _xlpm.cost, O914, _xlpm.precio, Q914,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0.18443152454780354</v>
      </c>
      <c r="Q914" s="295">
        <v>1.29</v>
      </c>
      <c r="R914" s="285" t="s">
        <v>283</v>
      </c>
      <c r="S914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4" s="285">
        <v>0.24</v>
      </c>
      <c r="U914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0.25773195876288657</v>
      </c>
      <c r="V914" s="287">
        <v>0.75</v>
      </c>
    </row>
    <row r="915" spans="1:22" x14ac:dyDescent="0.25">
      <c r="A915" s="277" t="s">
        <v>85</v>
      </c>
      <c r="B915" s="278">
        <f>_xlfn.XLOOKUP(Catalogo[[#This Row],[Finca]], Fincas[Nombre], Fincas[ID])</f>
        <v>38</v>
      </c>
      <c r="C915" s="277" t="s">
        <v>646</v>
      </c>
      <c r="D915" s="277" t="s">
        <v>876</v>
      </c>
      <c r="E915" s="277"/>
      <c r="F915" s="277"/>
      <c r="G915" s="277"/>
      <c r="H915" s="277"/>
      <c r="I915" s="311" t="s">
        <v>273</v>
      </c>
      <c r="J915" s="309"/>
      <c r="K915" s="278" t="s">
        <v>35</v>
      </c>
      <c r="L91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5" s="279" t="s">
        <v>385</v>
      </c>
      <c r="N915" s="279">
        <v>150</v>
      </c>
      <c r="O915" s="276">
        <v>0.24</v>
      </c>
      <c r="P915" s="280">
        <f>IFERROR(_xlfn.LET(_xlpm.boxType, K915, _xlpm.tallos, N915, _xlpm.cost, O915, _xlpm.precio, Q915,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0.36974789915966377</v>
      </c>
      <c r="Q915" s="296">
        <v>1.19</v>
      </c>
      <c r="R915" s="276" t="s">
        <v>284</v>
      </c>
      <c r="S91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5" s="276">
        <v>0.24</v>
      </c>
      <c r="U91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15" s="274">
        <v>0.69</v>
      </c>
    </row>
    <row r="916" spans="1:22" ht="15.75" thickBot="1" x14ac:dyDescent="0.3">
      <c r="A916" s="288" t="s">
        <v>85</v>
      </c>
      <c r="B916" s="289">
        <f>_xlfn.XLOOKUP(Catalogo[[#This Row],[Finca]], Fincas[Nombre], Fincas[ID])</f>
        <v>38</v>
      </c>
      <c r="C916" s="288" t="s">
        <v>646</v>
      </c>
      <c r="D916" s="288" t="s">
        <v>876</v>
      </c>
      <c r="E916" s="288"/>
      <c r="F916" s="288"/>
      <c r="G916" s="288"/>
      <c r="H916" s="288"/>
      <c r="I916" s="317" t="s">
        <v>273</v>
      </c>
      <c r="J916" s="310"/>
      <c r="K916" s="289" t="s">
        <v>93</v>
      </c>
      <c r="L91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6" s="290" t="s">
        <v>387</v>
      </c>
      <c r="N916" s="290">
        <v>300</v>
      </c>
      <c r="O916" s="292">
        <v>0.24</v>
      </c>
      <c r="P916" s="291">
        <f>IFERROR(_xlfn.LET(_xlpm.boxType, K916, _xlpm.tallos, N916, _xlpm.cost, O916, _xlpm.precio, Q916,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0.3259803921568627</v>
      </c>
      <c r="Q916" s="297">
        <v>1.19</v>
      </c>
      <c r="R916" s="292" t="s">
        <v>285</v>
      </c>
      <c r="S91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6" s="292">
        <v>0.24</v>
      </c>
      <c r="U91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0.34259674286568043</v>
      </c>
      <c r="V916" s="294">
        <v>0.69</v>
      </c>
    </row>
    <row r="917" spans="1:22" x14ac:dyDescent="0.25">
      <c r="A917" s="277" t="s">
        <v>85</v>
      </c>
      <c r="B917" s="278">
        <f>_xlfn.XLOOKUP(Catalogo[[#This Row],[Finca]], Fincas[Nombre], Fincas[ID])</f>
        <v>38</v>
      </c>
      <c r="C917" s="277" t="s">
        <v>646</v>
      </c>
      <c r="D917" s="277" t="s">
        <v>876</v>
      </c>
      <c r="E917" s="277"/>
      <c r="F917" s="277"/>
      <c r="G917" s="277"/>
      <c r="H917" s="277"/>
      <c r="I917" s="311" t="s">
        <v>274</v>
      </c>
      <c r="J917" s="309"/>
      <c r="K917" s="278" t="s">
        <v>31</v>
      </c>
      <c r="L91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7" s="279" t="s">
        <v>383</v>
      </c>
      <c r="N917" s="279">
        <v>50</v>
      </c>
      <c r="O917" s="276">
        <v>0.32</v>
      </c>
      <c r="P917" s="280">
        <f>IFERROR(_xlfn.LET(_xlpm.boxType, K917, _xlpm.tallos, N917, _xlpm.cost, O917, _xlpm.precio, Q917,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0.22399328859060408</v>
      </c>
      <c r="Q917" s="296">
        <v>1.49</v>
      </c>
      <c r="R917" s="276" t="s">
        <v>283</v>
      </c>
      <c r="S91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7" s="276">
        <v>0.32</v>
      </c>
      <c r="U91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0.2722862340812614</v>
      </c>
      <c r="V917" s="274">
        <v>0.85</v>
      </c>
    </row>
    <row r="918" spans="1:22" x14ac:dyDescent="0.25">
      <c r="A918" s="277" t="s">
        <v>85</v>
      </c>
      <c r="B918" s="278">
        <f>_xlfn.XLOOKUP(Catalogo[[#This Row],[Finca]], Fincas[Nombre], Fincas[ID])</f>
        <v>38</v>
      </c>
      <c r="C918" s="277" t="s">
        <v>646</v>
      </c>
      <c r="D918" s="277" t="s">
        <v>876</v>
      </c>
      <c r="E918" s="277"/>
      <c r="F918" s="277"/>
      <c r="G918" s="277"/>
      <c r="H918" s="277"/>
      <c r="I918" s="311" t="s">
        <v>274</v>
      </c>
      <c r="J918" s="309"/>
      <c r="K918" s="278" t="s">
        <v>35</v>
      </c>
      <c r="L91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8" s="279" t="s">
        <v>385</v>
      </c>
      <c r="N918" s="279">
        <v>125</v>
      </c>
      <c r="O918" s="276">
        <v>0.32</v>
      </c>
      <c r="P918" s="280">
        <f>IFERROR(_xlfn.LET(_xlpm.boxType, K918, _xlpm.tallos, N918, _xlpm.cost, O918, _xlpm.precio, Q918,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0.31804556354916058</v>
      </c>
      <c r="Q918" s="296">
        <v>1.39</v>
      </c>
      <c r="R918" s="276" t="s">
        <v>284</v>
      </c>
      <c r="S91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8" s="276">
        <v>0.32</v>
      </c>
      <c r="U91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18" s="274">
        <v>0.79</v>
      </c>
    </row>
    <row r="919" spans="1:22" ht="15.75" thickBot="1" x14ac:dyDescent="0.3">
      <c r="A919" s="277" t="s">
        <v>85</v>
      </c>
      <c r="B919" s="278">
        <f>_xlfn.XLOOKUP(Catalogo[[#This Row],[Finca]], Fincas[Nombre], Fincas[ID])</f>
        <v>38</v>
      </c>
      <c r="C919" s="277" t="s">
        <v>646</v>
      </c>
      <c r="D919" s="277" t="s">
        <v>876</v>
      </c>
      <c r="E919" s="277"/>
      <c r="F919" s="277"/>
      <c r="G919" s="277"/>
      <c r="H919" s="277"/>
      <c r="I919" s="311" t="s">
        <v>274</v>
      </c>
      <c r="J919" s="309"/>
      <c r="K919" s="278" t="s">
        <v>93</v>
      </c>
      <c r="L91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19" s="279" t="s">
        <v>387</v>
      </c>
      <c r="N919" s="279">
        <v>250</v>
      </c>
      <c r="O919" s="276">
        <v>0.32</v>
      </c>
      <c r="P919" s="280">
        <f>IFERROR(_xlfn.LET(_xlpm.boxType, K919, _xlpm.tallos, N919, _xlpm.cost, O919, _xlpm.precio, Q919,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0.28057553956834524</v>
      </c>
      <c r="Q919" s="296">
        <v>1.39</v>
      </c>
      <c r="R919" s="276" t="s">
        <v>285</v>
      </c>
      <c r="S91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19" s="276">
        <v>0.32</v>
      </c>
      <c r="U91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0.28226543129322712</v>
      </c>
      <c r="V919" s="274">
        <v>0.79</v>
      </c>
    </row>
    <row r="920" spans="1:22" x14ac:dyDescent="0.25">
      <c r="A920" s="281" t="s">
        <v>85</v>
      </c>
      <c r="B920" s="282">
        <f>_xlfn.XLOOKUP(Catalogo[[#This Row],[Finca]], Fincas[Nombre], Fincas[ID])</f>
        <v>38</v>
      </c>
      <c r="C920" s="281" t="s">
        <v>646</v>
      </c>
      <c r="D920" s="281" t="s">
        <v>876</v>
      </c>
      <c r="E920" s="281"/>
      <c r="F920" s="281"/>
      <c r="G920" s="281"/>
      <c r="H920" s="281"/>
      <c r="I920" s="316" t="s">
        <v>275</v>
      </c>
      <c r="J920" s="308"/>
      <c r="K920" s="282" t="s">
        <v>31</v>
      </c>
      <c r="L920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20" s="283" t="s">
        <v>383</v>
      </c>
      <c r="N920" s="283">
        <v>50</v>
      </c>
      <c r="O920" s="285">
        <v>0.36</v>
      </c>
      <c r="P920" s="284">
        <f>IFERROR(_xlfn.LET(_xlpm.boxType, K920, _xlpm.tallos, N920, _xlpm.cost, O920, _xlpm.precio, Q920,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20" s="295">
        <v>1.59</v>
      </c>
      <c r="R920" s="285" t="s">
        <v>283</v>
      </c>
      <c r="S920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20" s="285">
        <v>0.36</v>
      </c>
      <c r="U920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0.3439550140581068</v>
      </c>
      <c r="V920" s="287">
        <v>0.99</v>
      </c>
    </row>
    <row r="921" spans="1:22" x14ac:dyDescent="0.25">
      <c r="A921" s="277" t="s">
        <v>85</v>
      </c>
      <c r="B921" s="278">
        <f>_xlfn.XLOOKUP(Catalogo[[#This Row],[Finca]], Fincas[Nombre], Fincas[ID])</f>
        <v>38</v>
      </c>
      <c r="C921" s="277" t="s">
        <v>646</v>
      </c>
      <c r="D921" s="277" t="s">
        <v>876</v>
      </c>
      <c r="E921" s="277"/>
      <c r="F921" s="277"/>
      <c r="G921" s="277"/>
      <c r="H921" s="277"/>
      <c r="I921" s="311" t="s">
        <v>275</v>
      </c>
      <c r="J921" s="309"/>
      <c r="K921" s="278" t="s">
        <v>35</v>
      </c>
      <c r="L92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21" s="279" t="s">
        <v>385</v>
      </c>
      <c r="N921" s="279">
        <v>100</v>
      </c>
      <c r="O921" s="276">
        <v>0.36</v>
      </c>
      <c r="P921" s="280">
        <f>IFERROR(_xlfn.LET(_xlpm.boxType, K921, _xlpm.tallos, N921, _xlpm.cost, O921, _xlpm.precio, Q921,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0.29245283018867918</v>
      </c>
      <c r="Q921" s="296">
        <v>1.59</v>
      </c>
      <c r="R921" s="276" t="s">
        <v>284</v>
      </c>
      <c r="S92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21" s="276">
        <v>0.36</v>
      </c>
      <c r="U92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21" s="274">
        <v>0.89</v>
      </c>
    </row>
    <row r="922" spans="1:22" ht="15.75" thickBot="1" x14ac:dyDescent="0.3">
      <c r="A922" s="288" t="s">
        <v>85</v>
      </c>
      <c r="B922" s="289">
        <f>_xlfn.XLOOKUP(Catalogo[[#This Row],[Finca]], Fincas[Nombre], Fincas[ID])</f>
        <v>38</v>
      </c>
      <c r="C922" s="288" t="s">
        <v>646</v>
      </c>
      <c r="D922" s="288" t="s">
        <v>876</v>
      </c>
      <c r="E922" s="288"/>
      <c r="F922" s="288"/>
      <c r="G922" s="288"/>
      <c r="H922" s="288"/>
      <c r="I922" s="317" t="s">
        <v>275</v>
      </c>
      <c r="J922" s="310"/>
      <c r="K922" s="289" t="s">
        <v>93</v>
      </c>
      <c r="L92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22" s="290" t="s">
        <v>387</v>
      </c>
      <c r="N922" s="290">
        <v>200</v>
      </c>
      <c r="O922" s="292">
        <v>0.36</v>
      </c>
      <c r="P922" s="291">
        <f>IFERROR(_xlfn.LET(_xlpm.boxType, K922, _xlpm.tallos, N922, _xlpm.cost, O922, _xlpm.precio, Q922,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0.24659329140461217</v>
      </c>
      <c r="Q922" s="297">
        <v>1.59</v>
      </c>
      <c r="R922" s="292" t="s">
        <v>285</v>
      </c>
      <c r="S92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22" s="292">
        <v>0.36</v>
      </c>
      <c r="U92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0.24707517664774692</v>
      </c>
      <c r="V922" s="294">
        <v>0.89</v>
      </c>
    </row>
    <row r="923" spans="1:22" x14ac:dyDescent="0.25">
      <c r="A923" s="277"/>
      <c r="B923" s="278">
        <f>_xlfn.XLOOKUP(Catalogo[[#This Row],[Finca]], Fincas[Nombre], Fincas[ID])</f>
        <v>0</v>
      </c>
      <c r="C923" s="277"/>
      <c r="D923" s="277"/>
      <c r="E923" s="277"/>
      <c r="F923" s="277"/>
      <c r="G923" s="277"/>
      <c r="H923" s="277"/>
      <c r="I923" s="311"/>
      <c r="J923" s="309"/>
      <c r="K923" s="278"/>
      <c r="L92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3" s="279"/>
      <c r="N923" s="279"/>
      <c r="O923" s="276"/>
      <c r="P923" s="280" t="str">
        <f>IFERROR(_xlfn.LET(_xlpm.boxType, K923, _xlpm.tallos, N923, _xlpm.cost, O923, _xlpm.precio, Q923,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3" s="296"/>
      <c r="R923" s="276"/>
      <c r="S92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3" s="276"/>
      <c r="U923" s="69"/>
    </row>
    <row r="924" spans="1:22" x14ac:dyDescent="0.25">
      <c r="A924" s="277"/>
      <c r="B924" s="278">
        <f>_xlfn.XLOOKUP(Catalogo[[#This Row],[Finca]], Fincas[Nombre], Fincas[ID])</f>
        <v>0</v>
      </c>
      <c r="C924" s="277"/>
      <c r="D924" s="277"/>
      <c r="E924" s="277"/>
      <c r="F924" s="277"/>
      <c r="G924" s="277"/>
      <c r="H924" s="277"/>
      <c r="I924" s="311"/>
      <c r="J924" s="309"/>
      <c r="K924" s="278"/>
      <c r="L92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4" s="279"/>
      <c r="N924" s="279"/>
      <c r="O924" s="276"/>
      <c r="P924" s="280" t="str">
        <f>IFERROR(_xlfn.LET(_xlpm.boxType, K924, _xlpm.tallos, N924, _xlpm.cost, O924, _xlpm.precio, Q924,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4" s="296"/>
      <c r="R924" s="276"/>
      <c r="S92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4" s="276"/>
      <c r="U924" s="69"/>
    </row>
    <row r="925" spans="1:22" x14ac:dyDescent="0.25">
      <c r="A925" s="277"/>
      <c r="B925" s="278">
        <f>_xlfn.XLOOKUP(Catalogo[[#This Row],[Finca]], Fincas[Nombre], Fincas[ID])</f>
        <v>0</v>
      </c>
      <c r="C925" s="277"/>
      <c r="D925" s="277"/>
      <c r="E925" s="277"/>
      <c r="F925" s="277"/>
      <c r="G925" s="277"/>
      <c r="H925" s="277"/>
      <c r="I925" s="311"/>
      <c r="J925" s="309"/>
      <c r="K925" s="278"/>
      <c r="L92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5" s="279"/>
      <c r="N925" s="279"/>
      <c r="O925" s="276"/>
      <c r="P925" s="280" t="str">
        <f>IFERROR(_xlfn.LET(_xlpm.boxType, K925, _xlpm.tallos, N925, _xlpm.cost, O925, _xlpm.precio, Q925,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5" s="296"/>
      <c r="R925" s="276"/>
      <c r="S92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5" s="276"/>
      <c r="U925" s="69"/>
    </row>
    <row r="926" spans="1:22" x14ac:dyDescent="0.25">
      <c r="A926" s="277"/>
      <c r="B926" s="278">
        <f>_xlfn.XLOOKUP(Catalogo[[#This Row],[Finca]], Fincas[Nombre], Fincas[ID])</f>
        <v>0</v>
      </c>
      <c r="C926" s="277"/>
      <c r="D926" s="277"/>
      <c r="E926" s="277"/>
      <c r="F926" s="277"/>
      <c r="G926" s="277"/>
      <c r="H926" s="277"/>
      <c r="I926" s="311"/>
      <c r="J926" s="309"/>
      <c r="K926" s="278"/>
      <c r="L92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6" s="279"/>
      <c r="N926" s="279"/>
      <c r="O926" s="276"/>
      <c r="P926" s="280" t="str">
        <f>IFERROR(_xlfn.LET(_xlpm.boxType, K926, _xlpm.tallos, N926, _xlpm.cost, O926, _xlpm.precio, Q926,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6" s="296"/>
      <c r="R926" s="276"/>
      <c r="S92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6" s="276"/>
      <c r="U926" s="69"/>
    </row>
    <row r="927" spans="1:22" x14ac:dyDescent="0.25">
      <c r="A927" s="277"/>
      <c r="B927" s="278">
        <f>_xlfn.XLOOKUP(Catalogo[[#This Row],[Finca]], Fincas[Nombre], Fincas[ID])</f>
        <v>0</v>
      </c>
      <c r="C927" s="277"/>
      <c r="D927" s="277"/>
      <c r="E927" s="277"/>
      <c r="F927" s="277"/>
      <c r="G927" s="277"/>
      <c r="H927" s="277"/>
      <c r="I927" s="311"/>
      <c r="J927" s="309"/>
      <c r="K927" s="278"/>
      <c r="L92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7" s="279"/>
      <c r="N927" s="279"/>
      <c r="O927" s="276"/>
      <c r="P927" s="280" t="str">
        <f>IFERROR(_xlfn.LET(_xlpm.boxType, K927, _xlpm.tallos, N927, _xlpm.cost, O927, _xlpm.precio, Q927,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7" s="296"/>
      <c r="R927" s="276"/>
      <c r="S92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7" s="276"/>
      <c r="U927" s="69"/>
    </row>
    <row r="928" spans="1:22" x14ac:dyDescent="0.25">
      <c r="A928" s="277"/>
      <c r="B928" s="278">
        <f>_xlfn.XLOOKUP(Catalogo[[#This Row],[Finca]], Fincas[Nombre], Fincas[ID])</f>
        <v>0</v>
      </c>
      <c r="C928" s="277"/>
      <c r="D928" s="277"/>
      <c r="E928" s="277"/>
      <c r="F928" s="277"/>
      <c r="G928" s="277"/>
      <c r="H928" s="277"/>
      <c r="I928" s="311"/>
      <c r="J928" s="309"/>
      <c r="K928" s="278"/>
      <c r="L92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8" s="279"/>
      <c r="N928" s="279"/>
      <c r="O928" s="276"/>
      <c r="P928" s="280" t="str">
        <f>IFERROR(_xlfn.LET(_xlpm.boxType, K928, _xlpm.tallos, N928, _xlpm.cost, O928, _xlpm.precio, Q928,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8" s="296"/>
      <c r="R928" s="276"/>
      <c r="S92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8" s="276"/>
      <c r="U928" s="69"/>
    </row>
    <row r="929" spans="1:22" x14ac:dyDescent="0.25">
      <c r="A929" s="277"/>
      <c r="B929" s="278">
        <f>_xlfn.XLOOKUP(Catalogo[[#This Row],[Finca]], Fincas[Nombre], Fincas[ID])</f>
        <v>0</v>
      </c>
      <c r="C929" s="277"/>
      <c r="D929" s="277"/>
      <c r="E929" s="277"/>
      <c r="F929" s="277"/>
      <c r="G929" s="277"/>
      <c r="H929" s="277"/>
      <c r="I929" s="311"/>
      <c r="J929" s="309"/>
      <c r="K929" s="278"/>
      <c r="L92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29" s="279"/>
      <c r="N929" s="279"/>
      <c r="O929" s="276"/>
      <c r="P929" s="280" t="str">
        <f>IFERROR(_xlfn.LET(_xlpm.boxType, K929, _xlpm.tallos, N929, _xlpm.cost, O929, _xlpm.precio, Q929,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29" s="296"/>
      <c r="R929" s="276"/>
      <c r="S92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29" s="276"/>
      <c r="U929" s="69"/>
    </row>
    <row r="930" spans="1:22" x14ac:dyDescent="0.25">
      <c r="A930" s="277"/>
      <c r="B930" s="278">
        <f>_xlfn.XLOOKUP(Catalogo[[#This Row],[Finca]], Fincas[Nombre], Fincas[ID])</f>
        <v>0</v>
      </c>
      <c r="C930" s="277"/>
      <c r="D930" s="277"/>
      <c r="E930" s="277"/>
      <c r="F930" s="277"/>
      <c r="G930" s="277"/>
      <c r="H930" s="277"/>
      <c r="I930" s="311"/>
      <c r="J930" s="309"/>
      <c r="K930" s="278"/>
      <c r="L93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0" s="279"/>
      <c r="N930" s="279"/>
      <c r="O930" s="276"/>
      <c r="P930" s="280" t="str">
        <f>IFERROR(_xlfn.LET(_xlpm.boxType, K930, _xlpm.tallos, N930, _xlpm.cost, O930, _xlpm.precio, Q930,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0" s="296"/>
      <c r="R930" s="276"/>
      <c r="S93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0" s="276"/>
      <c r="U930" s="69"/>
    </row>
    <row r="931" spans="1:22" x14ac:dyDescent="0.25">
      <c r="A931" s="277"/>
      <c r="B931" s="278">
        <f>_xlfn.XLOOKUP(Catalogo[[#This Row],[Finca]], Fincas[Nombre], Fincas[ID])</f>
        <v>0</v>
      </c>
      <c r="C931" s="277"/>
      <c r="D931" s="277"/>
      <c r="E931" s="277"/>
      <c r="F931" s="277"/>
      <c r="G931" s="277"/>
      <c r="H931" s="277"/>
      <c r="I931" s="311"/>
      <c r="J931" s="309"/>
      <c r="K931" s="278"/>
      <c r="L93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1" s="279"/>
      <c r="N931" s="279"/>
      <c r="O931" s="276"/>
      <c r="P931" s="280" t="str">
        <f>IFERROR(_xlfn.LET(_xlpm.boxType, K931, _xlpm.tallos, N931, _xlpm.cost, O931, _xlpm.precio, Q931,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1" s="296"/>
      <c r="R931" s="276"/>
      <c r="S93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1" s="276"/>
      <c r="U931" s="69"/>
    </row>
    <row r="932" spans="1:22" x14ac:dyDescent="0.25">
      <c r="A932" s="277"/>
      <c r="B932" s="278">
        <f>_xlfn.XLOOKUP(Catalogo[[#This Row],[Finca]], Fincas[Nombre], Fincas[ID])</f>
        <v>0</v>
      </c>
      <c r="C932" s="277"/>
      <c r="D932" s="277"/>
      <c r="E932" s="277"/>
      <c r="F932" s="277"/>
      <c r="G932" s="277"/>
      <c r="H932" s="277"/>
      <c r="I932" s="311"/>
      <c r="J932" s="309"/>
      <c r="K932" s="278"/>
      <c r="L93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2" s="279"/>
      <c r="N932" s="279"/>
      <c r="O932" s="276"/>
      <c r="P932" s="280" t="str">
        <f>IFERROR(_xlfn.LET(_xlpm.boxType, K932, _xlpm.tallos, N932, _xlpm.cost, O932, _xlpm.precio, Q932,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2" s="296"/>
      <c r="R932" s="276"/>
      <c r="S93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2" s="276"/>
      <c r="U932" s="69"/>
    </row>
    <row r="933" spans="1:22" x14ac:dyDescent="0.25">
      <c r="A933" s="277"/>
      <c r="B933" s="278">
        <f>_xlfn.XLOOKUP(Catalogo[[#This Row],[Finca]], Fincas[Nombre], Fincas[ID])</f>
        <v>0</v>
      </c>
      <c r="C933" s="277"/>
      <c r="D933" s="277"/>
      <c r="E933" s="277"/>
      <c r="F933" s="277"/>
      <c r="G933" s="277"/>
      <c r="H933" s="277"/>
      <c r="I933" s="311"/>
      <c r="J933" s="309"/>
      <c r="K933" s="278"/>
      <c r="L93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3" s="279"/>
      <c r="N933" s="279"/>
      <c r="O933" s="276"/>
      <c r="P933" s="280" t="str">
        <f>IFERROR(_xlfn.LET(_xlpm.boxType, K933, _xlpm.tallos, N933, _xlpm.cost, O933, _xlpm.precio, Q933,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3" s="296"/>
      <c r="R933" s="276"/>
      <c r="S93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3" s="276"/>
      <c r="U933" s="69"/>
    </row>
    <row r="934" spans="1:22" x14ac:dyDescent="0.25">
      <c r="A934" s="277"/>
      <c r="B934" s="278">
        <f>_xlfn.XLOOKUP(Catalogo[[#This Row],[Finca]], Fincas[Nombre], Fincas[ID])</f>
        <v>0</v>
      </c>
      <c r="C934" s="277"/>
      <c r="D934" s="277"/>
      <c r="E934" s="277"/>
      <c r="F934" s="277"/>
      <c r="G934" s="277"/>
      <c r="H934" s="277"/>
      <c r="I934" s="311"/>
      <c r="J934" s="309"/>
      <c r="K934" s="278"/>
      <c r="L93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4" s="279"/>
      <c r="N934" s="279"/>
      <c r="O934" s="276"/>
      <c r="P934" s="280" t="str">
        <f>IFERROR(_xlfn.LET(_xlpm.boxType, K934, _xlpm.tallos, N934, _xlpm.cost, O934, _xlpm.precio, Q934,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4" s="296"/>
      <c r="R934" s="276"/>
      <c r="S93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4" s="276"/>
      <c r="U934" s="69"/>
    </row>
    <row r="935" spans="1:22" x14ac:dyDescent="0.25">
      <c r="A935" s="277"/>
      <c r="B935" s="278">
        <f>_xlfn.XLOOKUP(Catalogo[[#This Row],[Finca]], Fincas[Nombre], Fincas[ID])</f>
        <v>0</v>
      </c>
      <c r="C935" s="277"/>
      <c r="D935" s="277"/>
      <c r="E935" s="277"/>
      <c r="F935" s="277"/>
      <c r="G935" s="277"/>
      <c r="H935" s="277"/>
      <c r="I935" s="311"/>
      <c r="J935" s="309"/>
      <c r="K935" s="278"/>
      <c r="L93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5" s="279"/>
      <c r="N935" s="279"/>
      <c r="O935" s="276"/>
      <c r="P935" s="280" t="str">
        <f>IFERROR(_xlfn.LET(_xlpm.boxType, K935, _xlpm.tallos, N935, _xlpm.cost, O935, _xlpm.precio, Q935,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5" s="296"/>
      <c r="R935" s="276"/>
      <c r="S93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5" s="276"/>
      <c r="U935" s="69"/>
    </row>
    <row r="936" spans="1:22" x14ac:dyDescent="0.25">
      <c r="A936" s="277"/>
      <c r="B936" s="278">
        <f>_xlfn.XLOOKUP(Catalogo[[#This Row],[Finca]], Fincas[Nombre], Fincas[ID])</f>
        <v>0</v>
      </c>
      <c r="C936" s="277"/>
      <c r="D936" s="277"/>
      <c r="E936" s="277"/>
      <c r="F936" s="277"/>
      <c r="G936" s="277"/>
      <c r="H936" s="277"/>
      <c r="I936" s="311"/>
      <c r="J936" s="309"/>
      <c r="K936" s="278"/>
      <c r="L93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6" s="279"/>
      <c r="N936" s="279"/>
      <c r="O936" s="276"/>
      <c r="P936" s="280" t="str">
        <f>IFERROR(_xlfn.LET(_xlpm.boxType, K936, _xlpm.tallos, N936, _xlpm.cost, O936, _xlpm.precio, Q936,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6" s="296"/>
      <c r="R936" s="276"/>
      <c r="S93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6" s="276"/>
      <c r="U936" s="69"/>
    </row>
    <row r="937" spans="1:22" x14ac:dyDescent="0.25">
      <c r="A937" s="277"/>
      <c r="B937" s="278">
        <f>_xlfn.XLOOKUP(Catalogo[[#This Row],[Finca]], Fincas[Nombre], Fincas[ID])</f>
        <v>0</v>
      </c>
      <c r="C937" s="277"/>
      <c r="D937" s="277"/>
      <c r="E937" s="277"/>
      <c r="F937" s="277"/>
      <c r="G937" s="277"/>
      <c r="H937" s="277"/>
      <c r="I937" s="311"/>
      <c r="J937" s="309"/>
      <c r="K937" s="278"/>
      <c r="L93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7" s="279"/>
      <c r="N937" s="279"/>
      <c r="O937" s="276"/>
      <c r="P937" s="280" t="str">
        <f>IFERROR(_xlfn.LET(_xlpm.boxType, K937, _xlpm.tallos, N937, _xlpm.cost, O937, _xlpm.precio, Q937,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7" s="296"/>
      <c r="R937" s="276"/>
      <c r="S93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7" s="276"/>
      <c r="U937" s="69"/>
    </row>
    <row r="938" spans="1:22" x14ac:dyDescent="0.25">
      <c r="A938" s="277"/>
      <c r="B938" s="278">
        <f>_xlfn.XLOOKUP(Catalogo[[#This Row],[Finca]], Fincas[Nombre], Fincas[ID])</f>
        <v>0</v>
      </c>
      <c r="C938" s="277"/>
      <c r="D938" s="277"/>
      <c r="E938" s="277"/>
      <c r="F938" s="277"/>
      <c r="G938" s="277"/>
      <c r="H938" s="277"/>
      <c r="I938" s="311"/>
      <c r="J938" s="309"/>
      <c r="K938" s="278"/>
      <c r="L93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8" s="279"/>
      <c r="N938" s="279"/>
      <c r="O938" s="276"/>
      <c r="P938" s="280" t="str">
        <f>IFERROR(_xlfn.LET(_xlpm.boxType, K938, _xlpm.tallos, N938, _xlpm.cost, O938, _xlpm.precio, Q938,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8" s="296"/>
      <c r="R938" s="276"/>
      <c r="S93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8" s="276"/>
      <c r="U938" s="69"/>
    </row>
    <row r="939" spans="1:22" x14ac:dyDescent="0.25">
      <c r="A939" s="277"/>
      <c r="B939" s="278">
        <f>_xlfn.XLOOKUP(Catalogo[[#This Row],[Finca]], Fincas[Nombre], Fincas[ID])</f>
        <v>0</v>
      </c>
      <c r="C939" s="277"/>
      <c r="D939" s="277"/>
      <c r="E939" s="277"/>
      <c r="F939" s="277"/>
      <c r="G939" s="277"/>
      <c r="H939" s="277"/>
      <c r="I939" s="311"/>
      <c r="J939" s="309"/>
      <c r="K939" s="278"/>
      <c r="L93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39" s="279"/>
      <c r="N939" s="279"/>
      <c r="O939" s="276"/>
      <c r="P939" s="280" t="str">
        <f>IFERROR(_xlfn.LET(_xlpm.boxType, K939, _xlpm.tallos, N939, _xlpm.cost, O939, _xlpm.precio, Q939,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39" s="296"/>
      <c r="R939" s="276"/>
      <c r="S93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39" s="276"/>
      <c r="U939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940" spans="1:22" ht="15.75" thickBot="1" x14ac:dyDescent="0.3">
      <c r="A940" s="277"/>
      <c r="B940" s="278">
        <f>_xlfn.XLOOKUP(Catalogo[[#This Row],[Finca]], Fincas[Nombre], Fincas[ID])</f>
        <v>0</v>
      </c>
      <c r="C940" s="277"/>
      <c r="D940" s="277"/>
      <c r="E940" s="277"/>
      <c r="F940" s="277"/>
      <c r="G940" s="277"/>
      <c r="H940" s="277"/>
      <c r="I940" s="311"/>
      <c r="J940" s="309"/>
      <c r="K940" s="278"/>
      <c r="L94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40" s="279"/>
      <c r="N940" s="279"/>
      <c r="O940" s="276"/>
      <c r="P940" s="280" t="str">
        <f>IFERROR(_xlfn.LET(_xlpm.boxType, K940, _xlpm.tallos, N940, _xlpm.cost, O940, _xlpm.precio, Q940,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40" s="296"/>
      <c r="R940" s="276"/>
      <c r="S94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40" s="276"/>
      <c r="U940" s="69" t="str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/>
      </c>
    </row>
    <row r="941" spans="1:22" x14ac:dyDescent="0.25">
      <c r="A941" s="281" t="s">
        <v>245</v>
      </c>
      <c r="B941" s="282">
        <f>_xlfn.XLOOKUP(Catalogo[[#This Row],[Finca]], Fincas[Nombre], Fincas[ID])</f>
        <v>61</v>
      </c>
      <c r="C941" s="281" t="s">
        <v>635</v>
      </c>
      <c r="D941" s="281" t="s">
        <v>877</v>
      </c>
      <c r="E941" s="281"/>
      <c r="F941" s="281" t="s">
        <v>503</v>
      </c>
      <c r="G941" s="281"/>
      <c r="H941" s="281"/>
      <c r="I941" s="316" t="s">
        <v>275</v>
      </c>
      <c r="J941" s="308"/>
      <c r="K941" s="282" t="s">
        <v>31</v>
      </c>
      <c r="L94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1" s="283" t="s">
        <v>472</v>
      </c>
      <c r="N941" s="283">
        <v>100</v>
      </c>
      <c r="O941" s="285">
        <v>0.47</v>
      </c>
      <c r="P941" s="284">
        <f>IFERROR(_xlfn.LET(_xlpm.boxType, K941, _xlpm.tallos, N941, _xlpm.cost, O941, _xlpm.precio, Q941,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41" s="295">
        <v>1.49</v>
      </c>
      <c r="R941" s="285" t="s">
        <v>283</v>
      </c>
      <c r="S94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1" s="285">
        <v>0.47</v>
      </c>
      <c r="U94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41" s="287">
        <v>0.82</v>
      </c>
    </row>
    <row r="942" spans="1:22" x14ac:dyDescent="0.25">
      <c r="A942" s="277" t="s">
        <v>245</v>
      </c>
      <c r="B942" s="278">
        <f>_xlfn.XLOOKUP(Catalogo[[#This Row],[Finca]], Fincas[Nombre], Fincas[ID])</f>
        <v>61</v>
      </c>
      <c r="C942" s="277" t="s">
        <v>635</v>
      </c>
      <c r="D942" s="277" t="s">
        <v>877</v>
      </c>
      <c r="E942" s="277"/>
      <c r="F942" s="277" t="s">
        <v>503</v>
      </c>
      <c r="G942" s="277"/>
      <c r="H942" s="277"/>
      <c r="I942" s="311" t="s">
        <v>276</v>
      </c>
      <c r="J942" s="309"/>
      <c r="K942" s="278" t="s">
        <v>31</v>
      </c>
      <c r="L94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2" s="279" t="s">
        <v>472</v>
      </c>
      <c r="N942" s="279">
        <v>60</v>
      </c>
      <c r="O942" s="276">
        <v>0.47</v>
      </c>
      <c r="P942" s="280">
        <f>IFERROR(_xlfn.LET(_xlpm.boxType, K942, _xlpm.tallos, N942, _xlpm.cost, O942, _xlpm.precio, Q942,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42" s="296">
        <v>1.59</v>
      </c>
      <c r="R942" s="276" t="s">
        <v>283</v>
      </c>
      <c r="S94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2" s="276">
        <v>0.47</v>
      </c>
      <c r="U94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42" s="274">
        <v>0.92</v>
      </c>
    </row>
    <row r="943" spans="1:22" x14ac:dyDescent="0.25">
      <c r="A943" s="277" t="s">
        <v>245</v>
      </c>
      <c r="B943" s="278">
        <f>_xlfn.XLOOKUP(Catalogo[[#This Row],[Finca]], Fincas[Nombre], Fincas[ID])</f>
        <v>61</v>
      </c>
      <c r="C943" s="277" t="s">
        <v>635</v>
      </c>
      <c r="D943" s="277" t="s">
        <v>877</v>
      </c>
      <c r="E943" s="277"/>
      <c r="F943" s="277" t="s">
        <v>503</v>
      </c>
      <c r="G943" s="277"/>
      <c r="H943" s="277"/>
      <c r="I943" s="311" t="s">
        <v>275</v>
      </c>
      <c r="J943" s="309"/>
      <c r="K943" s="278" t="s">
        <v>35</v>
      </c>
      <c r="L94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3" s="279" t="s">
        <v>473</v>
      </c>
      <c r="N943" s="279">
        <v>150</v>
      </c>
      <c r="O943" s="276">
        <v>0.47</v>
      </c>
      <c r="P943" s="280">
        <f>IFERROR(_xlfn.LET(_xlpm.boxType, K943, _xlpm.tallos, N943, _xlpm.cost, O943, _xlpm.precio, Q943,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43" s="296">
        <v>1.49</v>
      </c>
      <c r="R943" s="276" t="s">
        <v>284</v>
      </c>
      <c r="S94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3" s="276">
        <v>0.47</v>
      </c>
      <c r="U94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43" s="274">
        <v>0.82</v>
      </c>
    </row>
    <row r="944" spans="1:22" ht="15.75" thickBot="1" x14ac:dyDescent="0.3">
      <c r="A944" s="288" t="s">
        <v>245</v>
      </c>
      <c r="B944" s="289">
        <f>_xlfn.XLOOKUP(Catalogo[[#This Row],[Finca]], Fincas[Nombre], Fincas[ID])</f>
        <v>61</v>
      </c>
      <c r="C944" s="288" t="s">
        <v>635</v>
      </c>
      <c r="D944" s="288" t="s">
        <v>877</v>
      </c>
      <c r="E944" s="288"/>
      <c r="F944" s="288" t="s">
        <v>503</v>
      </c>
      <c r="G944" s="288"/>
      <c r="H944" s="288"/>
      <c r="I944" s="317" t="s">
        <v>276</v>
      </c>
      <c r="J944" s="310"/>
      <c r="K944" s="289" t="s">
        <v>35</v>
      </c>
      <c r="L94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4" s="290" t="s">
        <v>473</v>
      </c>
      <c r="N944" s="290">
        <v>120</v>
      </c>
      <c r="O944" s="292">
        <v>0.47</v>
      </c>
      <c r="P944" s="291">
        <f>IFERROR(_xlfn.LET(_xlpm.boxType, K944, _xlpm.tallos, N944, _xlpm.cost, O944, _xlpm.precio, Q944,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44" s="297">
        <v>1.59</v>
      </c>
      <c r="R944" s="292" t="s">
        <v>284</v>
      </c>
      <c r="S94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4" s="292">
        <v>0.47</v>
      </c>
      <c r="U94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44" s="294">
        <v>0.92</v>
      </c>
    </row>
    <row r="945" spans="1:22" x14ac:dyDescent="0.25">
      <c r="A945" s="281" t="s">
        <v>245</v>
      </c>
      <c r="B945" s="282">
        <f>_xlfn.XLOOKUP(Catalogo[[#This Row],[Finca]], Fincas[Nombre], Fincas[ID])</f>
        <v>61</v>
      </c>
      <c r="C945" s="281" t="s">
        <v>635</v>
      </c>
      <c r="D945" s="281" t="s">
        <v>878</v>
      </c>
      <c r="E945" s="281"/>
      <c r="F945" s="281" t="s">
        <v>612</v>
      </c>
      <c r="G945" s="281"/>
      <c r="H945" s="281"/>
      <c r="I945" s="316" t="s">
        <v>275</v>
      </c>
      <c r="J945" s="308"/>
      <c r="K945" s="282" t="s">
        <v>31</v>
      </c>
      <c r="L945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5" s="283" t="s">
        <v>472</v>
      </c>
      <c r="N945" s="283">
        <v>100</v>
      </c>
      <c r="O945" s="285">
        <v>0.47</v>
      </c>
      <c r="P945" s="284">
        <f>IFERROR(_xlfn.LET(_xlpm.boxType, K945, _xlpm.tallos, N945, _xlpm.cost, O945, _xlpm.precio, Q945,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45" s="295">
        <v>1.49</v>
      </c>
      <c r="R945" s="285" t="s">
        <v>283</v>
      </c>
      <c r="S945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5" s="285">
        <v>0.47</v>
      </c>
      <c r="U945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45" s="287">
        <v>0.82</v>
      </c>
    </row>
    <row r="946" spans="1:22" x14ac:dyDescent="0.25">
      <c r="A946" s="277" t="s">
        <v>245</v>
      </c>
      <c r="B946" s="278">
        <f>_xlfn.XLOOKUP(Catalogo[[#This Row],[Finca]], Fincas[Nombre], Fincas[ID])</f>
        <v>61</v>
      </c>
      <c r="C946" s="277" t="s">
        <v>635</v>
      </c>
      <c r="D946" s="277" t="s">
        <v>878</v>
      </c>
      <c r="E946" s="277"/>
      <c r="F946" s="277" t="s">
        <v>612</v>
      </c>
      <c r="G946" s="277"/>
      <c r="H946" s="277"/>
      <c r="I946" s="311" t="s">
        <v>276</v>
      </c>
      <c r="J946" s="309"/>
      <c r="K946" s="278" t="s">
        <v>31</v>
      </c>
      <c r="L946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6" s="279" t="s">
        <v>472</v>
      </c>
      <c r="N946" s="279">
        <v>60</v>
      </c>
      <c r="O946" s="276">
        <v>0.47</v>
      </c>
      <c r="P946" s="280">
        <f>IFERROR(_xlfn.LET(_xlpm.boxType, K946, _xlpm.tallos, N946, _xlpm.cost, O946, _xlpm.precio, Q946,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46" s="296">
        <v>1.59</v>
      </c>
      <c r="R946" s="276" t="s">
        <v>283</v>
      </c>
      <c r="S946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6" s="276">
        <v>0.47</v>
      </c>
      <c r="U946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46" s="274">
        <v>0.92</v>
      </c>
    </row>
    <row r="947" spans="1:22" x14ac:dyDescent="0.25">
      <c r="A947" s="277" t="s">
        <v>245</v>
      </c>
      <c r="B947" s="278">
        <f>_xlfn.XLOOKUP(Catalogo[[#This Row],[Finca]], Fincas[Nombre], Fincas[ID])</f>
        <v>61</v>
      </c>
      <c r="C947" s="277" t="s">
        <v>635</v>
      </c>
      <c r="D947" s="277" t="s">
        <v>878</v>
      </c>
      <c r="E947" s="277"/>
      <c r="F947" s="277" t="s">
        <v>612</v>
      </c>
      <c r="G947" s="277"/>
      <c r="H947" s="277"/>
      <c r="I947" s="311" t="s">
        <v>275</v>
      </c>
      <c r="J947" s="309"/>
      <c r="K947" s="278" t="s">
        <v>35</v>
      </c>
      <c r="L94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7" s="279" t="s">
        <v>473</v>
      </c>
      <c r="N947" s="279">
        <v>150</v>
      </c>
      <c r="O947" s="276">
        <v>0.47</v>
      </c>
      <c r="P947" s="280">
        <f>IFERROR(_xlfn.LET(_xlpm.boxType, K947, _xlpm.tallos, N947, _xlpm.cost, O947, _xlpm.precio, Q947,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47" s="296">
        <v>1.49</v>
      </c>
      <c r="R947" s="276" t="s">
        <v>284</v>
      </c>
      <c r="S94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7" s="276">
        <v>0.47</v>
      </c>
      <c r="U94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47" s="274">
        <v>0.82</v>
      </c>
    </row>
    <row r="948" spans="1:22" ht="15.75" thickBot="1" x14ac:dyDescent="0.3">
      <c r="A948" s="288" t="s">
        <v>245</v>
      </c>
      <c r="B948" s="289">
        <f>_xlfn.XLOOKUP(Catalogo[[#This Row],[Finca]], Fincas[Nombre], Fincas[ID])</f>
        <v>61</v>
      </c>
      <c r="C948" s="288" t="s">
        <v>635</v>
      </c>
      <c r="D948" s="288" t="s">
        <v>878</v>
      </c>
      <c r="E948" s="288"/>
      <c r="F948" s="288" t="s">
        <v>612</v>
      </c>
      <c r="G948" s="288"/>
      <c r="H948" s="288"/>
      <c r="I948" s="317" t="s">
        <v>276</v>
      </c>
      <c r="J948" s="310"/>
      <c r="K948" s="289" t="s">
        <v>35</v>
      </c>
      <c r="L94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8" s="290" t="s">
        <v>473</v>
      </c>
      <c r="N948" s="290">
        <v>120</v>
      </c>
      <c r="O948" s="292">
        <v>0.47</v>
      </c>
      <c r="P948" s="291">
        <f>IFERROR(_xlfn.LET(_xlpm.boxType, K948, _xlpm.tallos, N948, _xlpm.cost, O948, _xlpm.precio, Q948,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48" s="297">
        <v>1.59</v>
      </c>
      <c r="R948" s="292" t="s">
        <v>284</v>
      </c>
      <c r="S94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8" s="292">
        <v>0.47</v>
      </c>
      <c r="U94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48" s="294">
        <v>0.92</v>
      </c>
    </row>
    <row r="949" spans="1:22" x14ac:dyDescent="0.25">
      <c r="A949" s="281" t="s">
        <v>245</v>
      </c>
      <c r="B949" s="282">
        <f>_xlfn.XLOOKUP(Catalogo[[#This Row],[Finca]], Fincas[Nombre], Fincas[ID])</f>
        <v>61</v>
      </c>
      <c r="C949" s="281" t="s">
        <v>635</v>
      </c>
      <c r="D949" s="281" t="s">
        <v>879</v>
      </c>
      <c r="E949" s="281"/>
      <c r="F949" s="281" t="s">
        <v>541</v>
      </c>
      <c r="G949" s="281"/>
      <c r="H949" s="281"/>
      <c r="I949" s="316" t="s">
        <v>275</v>
      </c>
      <c r="J949" s="308"/>
      <c r="K949" s="282" t="s">
        <v>31</v>
      </c>
      <c r="L949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49" s="283" t="s">
        <v>472</v>
      </c>
      <c r="N949" s="283">
        <v>100</v>
      </c>
      <c r="O949" s="285">
        <v>0.47</v>
      </c>
      <c r="P949" s="284">
        <f>IFERROR(_xlfn.LET(_xlpm.boxType, K949, _xlpm.tallos, N949, _xlpm.cost, O949, _xlpm.precio, Q949,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49" s="295">
        <v>1.49</v>
      </c>
      <c r="R949" s="285" t="s">
        <v>283</v>
      </c>
      <c r="S949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49" s="285">
        <v>0.47</v>
      </c>
      <c r="U949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49" s="287">
        <v>0.82</v>
      </c>
    </row>
    <row r="950" spans="1:22" x14ac:dyDescent="0.25">
      <c r="A950" s="277" t="s">
        <v>245</v>
      </c>
      <c r="B950" s="278">
        <f>_xlfn.XLOOKUP(Catalogo[[#This Row],[Finca]], Fincas[Nombre], Fincas[ID])</f>
        <v>61</v>
      </c>
      <c r="C950" s="277" t="s">
        <v>635</v>
      </c>
      <c r="D950" s="277" t="s">
        <v>879</v>
      </c>
      <c r="E950" s="277"/>
      <c r="F950" s="277" t="s">
        <v>541</v>
      </c>
      <c r="G950" s="277"/>
      <c r="H950" s="277"/>
      <c r="I950" s="311" t="s">
        <v>276</v>
      </c>
      <c r="J950" s="309"/>
      <c r="K950" s="278" t="s">
        <v>31</v>
      </c>
      <c r="L95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0" s="279" t="s">
        <v>472</v>
      </c>
      <c r="N950" s="279">
        <v>60</v>
      </c>
      <c r="O950" s="276">
        <v>0.47</v>
      </c>
      <c r="P950" s="280">
        <f>IFERROR(_xlfn.LET(_xlpm.boxType, K950, _xlpm.tallos, N950, _xlpm.cost, O950, _xlpm.precio, Q950,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50" s="296">
        <v>1.59</v>
      </c>
      <c r="R950" s="276" t="s">
        <v>283</v>
      </c>
      <c r="S95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0" s="276">
        <v>0.47</v>
      </c>
      <c r="U950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50" s="274">
        <v>0.92</v>
      </c>
    </row>
    <row r="951" spans="1:22" x14ac:dyDescent="0.25">
      <c r="A951" s="277" t="s">
        <v>245</v>
      </c>
      <c r="B951" s="278">
        <f>_xlfn.XLOOKUP(Catalogo[[#This Row],[Finca]], Fincas[Nombre], Fincas[ID])</f>
        <v>61</v>
      </c>
      <c r="C951" s="277" t="s">
        <v>635</v>
      </c>
      <c r="D951" s="277" t="s">
        <v>879</v>
      </c>
      <c r="E951" s="277"/>
      <c r="F951" s="277" t="s">
        <v>541</v>
      </c>
      <c r="G951" s="277"/>
      <c r="H951" s="277"/>
      <c r="I951" s="311" t="s">
        <v>275</v>
      </c>
      <c r="J951" s="309"/>
      <c r="K951" s="278" t="s">
        <v>35</v>
      </c>
      <c r="L95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1" s="279" t="s">
        <v>473</v>
      </c>
      <c r="N951" s="279">
        <v>150</v>
      </c>
      <c r="O951" s="276">
        <v>0.47</v>
      </c>
      <c r="P951" s="280">
        <f>IFERROR(_xlfn.LET(_xlpm.boxType, K951, _xlpm.tallos, N951, _xlpm.cost, O951, _xlpm.precio, Q951,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51" s="296">
        <v>1.49</v>
      </c>
      <c r="R951" s="276" t="s">
        <v>284</v>
      </c>
      <c r="S95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1" s="276">
        <v>0.47</v>
      </c>
      <c r="U95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51" s="274">
        <v>0.82</v>
      </c>
    </row>
    <row r="952" spans="1:22" ht="15.75" thickBot="1" x14ac:dyDescent="0.3">
      <c r="A952" s="288" t="s">
        <v>245</v>
      </c>
      <c r="B952" s="289">
        <f>_xlfn.XLOOKUP(Catalogo[[#This Row],[Finca]], Fincas[Nombre], Fincas[ID])</f>
        <v>61</v>
      </c>
      <c r="C952" s="288" t="s">
        <v>635</v>
      </c>
      <c r="D952" s="288" t="s">
        <v>879</v>
      </c>
      <c r="E952" s="288"/>
      <c r="F952" s="288" t="s">
        <v>541</v>
      </c>
      <c r="G952" s="288"/>
      <c r="H952" s="288"/>
      <c r="I952" s="317" t="s">
        <v>276</v>
      </c>
      <c r="J952" s="310"/>
      <c r="K952" s="289" t="s">
        <v>35</v>
      </c>
      <c r="L95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2" s="290" t="s">
        <v>473</v>
      </c>
      <c r="N952" s="290">
        <v>120</v>
      </c>
      <c r="O952" s="292">
        <v>0.47</v>
      </c>
      <c r="P952" s="291">
        <f>IFERROR(_xlfn.LET(_xlpm.boxType, K952, _xlpm.tallos, N952, _xlpm.cost, O952, _xlpm.precio, Q952,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52" s="297">
        <v>1.59</v>
      </c>
      <c r="R952" s="292" t="s">
        <v>284</v>
      </c>
      <c r="S95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2" s="292">
        <v>0.47</v>
      </c>
      <c r="U95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52" s="294">
        <v>0.92</v>
      </c>
    </row>
    <row r="953" spans="1:22" x14ac:dyDescent="0.25">
      <c r="A953" s="281" t="s">
        <v>245</v>
      </c>
      <c r="B953" s="282">
        <f>_xlfn.XLOOKUP(Catalogo[[#This Row],[Finca]], Fincas[Nombre], Fincas[ID])</f>
        <v>61</v>
      </c>
      <c r="C953" s="281" t="s">
        <v>635</v>
      </c>
      <c r="D953" s="281" t="s">
        <v>880</v>
      </c>
      <c r="E953" s="281"/>
      <c r="F953" s="281" t="s">
        <v>583</v>
      </c>
      <c r="G953" s="281"/>
      <c r="H953" s="281"/>
      <c r="I953" s="316" t="s">
        <v>275</v>
      </c>
      <c r="J953" s="308"/>
      <c r="K953" s="282" t="s">
        <v>31</v>
      </c>
      <c r="L953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3" s="283" t="s">
        <v>472</v>
      </c>
      <c r="N953" s="283">
        <v>100</v>
      </c>
      <c r="O953" s="285">
        <v>0.47</v>
      </c>
      <c r="P953" s="284">
        <f>IFERROR(_xlfn.LET(_xlpm.boxType, K953, _xlpm.tallos, N953, _xlpm.cost, O953, _xlpm.precio, Q953,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53" s="295">
        <v>1.49</v>
      </c>
      <c r="R953" s="285" t="s">
        <v>283</v>
      </c>
      <c r="S953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3" s="285">
        <v>0.47</v>
      </c>
      <c r="U953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53" s="287">
        <v>0.82</v>
      </c>
    </row>
    <row r="954" spans="1:22" x14ac:dyDescent="0.25">
      <c r="A954" s="277" t="s">
        <v>245</v>
      </c>
      <c r="B954" s="278">
        <f>_xlfn.XLOOKUP(Catalogo[[#This Row],[Finca]], Fincas[Nombre], Fincas[ID])</f>
        <v>61</v>
      </c>
      <c r="C954" s="277" t="s">
        <v>635</v>
      </c>
      <c r="D954" s="277" t="s">
        <v>880</v>
      </c>
      <c r="E954" s="277"/>
      <c r="F954" s="277" t="s">
        <v>583</v>
      </c>
      <c r="G954" s="277"/>
      <c r="H954" s="277"/>
      <c r="I954" s="311" t="s">
        <v>276</v>
      </c>
      <c r="J954" s="309"/>
      <c r="K954" s="278" t="s">
        <v>31</v>
      </c>
      <c r="L954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4" s="279" t="s">
        <v>472</v>
      </c>
      <c r="N954" s="279">
        <v>60</v>
      </c>
      <c r="O954" s="276">
        <v>0.47</v>
      </c>
      <c r="P954" s="280">
        <f>IFERROR(_xlfn.LET(_xlpm.boxType, K954, _xlpm.tallos, N954, _xlpm.cost, O954, _xlpm.precio, Q954,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54" s="296">
        <v>1.59</v>
      </c>
      <c r="R954" s="276" t="s">
        <v>283</v>
      </c>
      <c r="S954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4" s="276">
        <v>0.47</v>
      </c>
      <c r="U954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54" s="274">
        <v>0.92</v>
      </c>
    </row>
    <row r="955" spans="1:22" x14ac:dyDescent="0.25">
      <c r="A955" s="277" t="s">
        <v>245</v>
      </c>
      <c r="B955" s="278">
        <f>_xlfn.XLOOKUP(Catalogo[[#This Row],[Finca]], Fincas[Nombre], Fincas[ID])</f>
        <v>61</v>
      </c>
      <c r="C955" s="277" t="s">
        <v>635</v>
      </c>
      <c r="D955" s="277" t="s">
        <v>880</v>
      </c>
      <c r="E955" s="277"/>
      <c r="F955" s="277" t="s">
        <v>583</v>
      </c>
      <c r="G955" s="277"/>
      <c r="H955" s="277"/>
      <c r="I955" s="311" t="s">
        <v>275</v>
      </c>
      <c r="J955" s="309"/>
      <c r="K955" s="278" t="s">
        <v>35</v>
      </c>
      <c r="L95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5" s="279" t="s">
        <v>473</v>
      </c>
      <c r="N955" s="279">
        <v>150</v>
      </c>
      <c r="O955" s="276">
        <v>0.47</v>
      </c>
      <c r="P955" s="280">
        <f>IFERROR(_xlfn.LET(_xlpm.boxType, K955, _xlpm.tallos, N955, _xlpm.cost, O955, _xlpm.precio, Q955,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55" s="296">
        <v>1.49</v>
      </c>
      <c r="R955" s="276" t="s">
        <v>284</v>
      </c>
      <c r="S95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5" s="276">
        <v>0.47</v>
      </c>
      <c r="U95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55" s="274">
        <v>0.82</v>
      </c>
    </row>
    <row r="956" spans="1:22" ht="15.75" thickBot="1" x14ac:dyDescent="0.3">
      <c r="A956" s="288" t="s">
        <v>245</v>
      </c>
      <c r="B956" s="289">
        <f>_xlfn.XLOOKUP(Catalogo[[#This Row],[Finca]], Fincas[Nombre], Fincas[ID])</f>
        <v>61</v>
      </c>
      <c r="C956" s="288" t="s">
        <v>635</v>
      </c>
      <c r="D956" s="288" t="s">
        <v>880</v>
      </c>
      <c r="E956" s="288"/>
      <c r="F956" s="288" t="s">
        <v>583</v>
      </c>
      <c r="G956" s="288"/>
      <c r="H956" s="288"/>
      <c r="I956" s="317" t="s">
        <v>276</v>
      </c>
      <c r="J956" s="310"/>
      <c r="K956" s="289" t="s">
        <v>35</v>
      </c>
      <c r="L95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6" s="290" t="s">
        <v>473</v>
      </c>
      <c r="N956" s="290">
        <v>120</v>
      </c>
      <c r="O956" s="292">
        <v>0.47</v>
      </c>
      <c r="P956" s="291">
        <f>IFERROR(_xlfn.LET(_xlpm.boxType, K956, _xlpm.tallos, N956, _xlpm.cost, O956, _xlpm.precio, Q956,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56" s="297">
        <v>1.59</v>
      </c>
      <c r="R956" s="292" t="s">
        <v>284</v>
      </c>
      <c r="S95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6" s="292">
        <v>0.47</v>
      </c>
      <c r="U95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56" s="294">
        <v>0.92</v>
      </c>
    </row>
    <row r="957" spans="1:22" x14ac:dyDescent="0.25">
      <c r="A957" s="281" t="s">
        <v>245</v>
      </c>
      <c r="B957" s="282">
        <f>_xlfn.XLOOKUP(Catalogo[[#This Row],[Finca]], Fincas[Nombre], Fincas[ID])</f>
        <v>61</v>
      </c>
      <c r="C957" s="281" t="s">
        <v>635</v>
      </c>
      <c r="D957" s="281" t="s">
        <v>881</v>
      </c>
      <c r="E957" s="281"/>
      <c r="F957" s="281" t="s">
        <v>526</v>
      </c>
      <c r="G957" s="281"/>
      <c r="H957" s="281"/>
      <c r="I957" s="316" t="s">
        <v>275</v>
      </c>
      <c r="J957" s="308"/>
      <c r="K957" s="282" t="s">
        <v>31</v>
      </c>
      <c r="L957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7" s="283" t="s">
        <v>472</v>
      </c>
      <c r="N957" s="283">
        <v>100</v>
      </c>
      <c r="O957" s="285">
        <v>0.47</v>
      </c>
      <c r="P957" s="284">
        <f>IFERROR(_xlfn.LET(_xlpm.boxType, K957, _xlpm.tallos, N957, _xlpm.cost, O957, _xlpm.precio, Q957,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57" s="295">
        <v>1.49</v>
      </c>
      <c r="R957" s="285" t="s">
        <v>283</v>
      </c>
      <c r="S957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7" s="285">
        <v>0.47</v>
      </c>
      <c r="U957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57" s="287">
        <v>0.82</v>
      </c>
    </row>
    <row r="958" spans="1:22" x14ac:dyDescent="0.25">
      <c r="A958" s="277" t="s">
        <v>245</v>
      </c>
      <c r="B958" s="278">
        <f>_xlfn.XLOOKUP(Catalogo[[#This Row],[Finca]], Fincas[Nombre], Fincas[ID])</f>
        <v>61</v>
      </c>
      <c r="C958" s="277" t="s">
        <v>635</v>
      </c>
      <c r="D958" s="277" t="s">
        <v>881</v>
      </c>
      <c r="E958" s="277"/>
      <c r="F958" s="277" t="s">
        <v>526</v>
      </c>
      <c r="G958" s="277"/>
      <c r="H958" s="277"/>
      <c r="I958" s="311" t="s">
        <v>276</v>
      </c>
      <c r="J958" s="309"/>
      <c r="K958" s="278" t="s">
        <v>31</v>
      </c>
      <c r="L95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8" s="279" t="s">
        <v>472</v>
      </c>
      <c r="N958" s="279">
        <v>60</v>
      </c>
      <c r="O958" s="276">
        <v>0.47</v>
      </c>
      <c r="P958" s="280">
        <f>IFERROR(_xlfn.LET(_xlpm.boxType, K958, _xlpm.tallos, N958, _xlpm.cost, O958, _xlpm.precio, Q958,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58" s="296">
        <v>1.59</v>
      </c>
      <c r="R958" s="276" t="s">
        <v>283</v>
      </c>
      <c r="S95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8" s="276">
        <v>0.47</v>
      </c>
      <c r="U958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58" s="274">
        <v>0.92</v>
      </c>
    </row>
    <row r="959" spans="1:22" x14ac:dyDescent="0.25">
      <c r="A959" s="277" t="s">
        <v>245</v>
      </c>
      <c r="B959" s="278">
        <f>_xlfn.XLOOKUP(Catalogo[[#This Row],[Finca]], Fincas[Nombre], Fincas[ID])</f>
        <v>61</v>
      </c>
      <c r="C959" s="277" t="s">
        <v>635</v>
      </c>
      <c r="D959" s="277" t="s">
        <v>881</v>
      </c>
      <c r="E959" s="277"/>
      <c r="F959" s="277" t="s">
        <v>526</v>
      </c>
      <c r="G959" s="277"/>
      <c r="H959" s="277"/>
      <c r="I959" s="311" t="s">
        <v>275</v>
      </c>
      <c r="J959" s="309"/>
      <c r="K959" s="278" t="s">
        <v>35</v>
      </c>
      <c r="L95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59" s="279" t="s">
        <v>473</v>
      </c>
      <c r="N959" s="279">
        <v>150</v>
      </c>
      <c r="O959" s="276">
        <v>0.47</v>
      </c>
      <c r="P959" s="280">
        <f>IFERROR(_xlfn.LET(_xlpm.boxType, K959, _xlpm.tallos, N959, _xlpm.cost, O959, _xlpm.precio, Q959,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59" s="296">
        <v>1.49</v>
      </c>
      <c r="R959" s="276" t="s">
        <v>284</v>
      </c>
      <c r="S95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59" s="276">
        <v>0.47</v>
      </c>
      <c r="U95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59" s="274">
        <v>0.82</v>
      </c>
    </row>
    <row r="960" spans="1:22" ht="15.75" thickBot="1" x14ac:dyDescent="0.3">
      <c r="A960" s="288" t="s">
        <v>245</v>
      </c>
      <c r="B960" s="289">
        <f>_xlfn.XLOOKUP(Catalogo[[#This Row],[Finca]], Fincas[Nombre], Fincas[ID])</f>
        <v>61</v>
      </c>
      <c r="C960" s="288" t="s">
        <v>635</v>
      </c>
      <c r="D960" s="288" t="s">
        <v>881</v>
      </c>
      <c r="E960" s="288"/>
      <c r="F960" s="288" t="s">
        <v>526</v>
      </c>
      <c r="G960" s="288"/>
      <c r="H960" s="288"/>
      <c r="I960" s="317" t="s">
        <v>276</v>
      </c>
      <c r="J960" s="310"/>
      <c r="K960" s="289" t="s">
        <v>35</v>
      </c>
      <c r="L96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0" s="290" t="s">
        <v>473</v>
      </c>
      <c r="N960" s="290">
        <v>120</v>
      </c>
      <c r="O960" s="292">
        <v>0.47</v>
      </c>
      <c r="P960" s="291">
        <f>IFERROR(_xlfn.LET(_xlpm.boxType, K960, _xlpm.tallos, N960, _xlpm.cost, O960, _xlpm.precio, Q960,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60" s="297">
        <v>1.59</v>
      </c>
      <c r="R960" s="292" t="s">
        <v>284</v>
      </c>
      <c r="S96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0" s="292">
        <v>0.47</v>
      </c>
      <c r="U96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60" s="294">
        <v>0.92</v>
      </c>
    </row>
    <row r="961" spans="1:22" x14ac:dyDescent="0.25">
      <c r="A961" s="281" t="s">
        <v>245</v>
      </c>
      <c r="B961" s="282">
        <f>_xlfn.XLOOKUP(Catalogo[[#This Row],[Finca]], Fincas[Nombre], Fincas[ID])</f>
        <v>61</v>
      </c>
      <c r="C961" s="281" t="s">
        <v>635</v>
      </c>
      <c r="D961" s="281" t="s">
        <v>882</v>
      </c>
      <c r="E961" s="281"/>
      <c r="F961" s="281" t="s">
        <v>534</v>
      </c>
      <c r="G961" s="281"/>
      <c r="H961" s="281"/>
      <c r="I961" s="316" t="s">
        <v>275</v>
      </c>
      <c r="J961" s="308"/>
      <c r="K961" s="282" t="s">
        <v>31</v>
      </c>
      <c r="L961" s="283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1" s="283" t="s">
        <v>472</v>
      </c>
      <c r="N961" s="283">
        <v>100</v>
      </c>
      <c r="O961" s="285">
        <v>0.47</v>
      </c>
      <c r="P961" s="284">
        <f>IFERROR(_xlfn.LET(_xlpm.boxType, K961, _xlpm.tallos, N961, _xlpm.cost, O961, _xlpm.precio, Q961,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0.35682326621923932</v>
      </c>
      <c r="Q961" s="295">
        <v>1.49</v>
      </c>
      <c r="R961" s="285" t="s">
        <v>283</v>
      </c>
      <c r="S961" s="285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1" s="285">
        <v>0.47</v>
      </c>
      <c r="U961" s="286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0.30852401307518218</v>
      </c>
      <c r="V961" s="287">
        <v>0.82</v>
      </c>
    </row>
    <row r="962" spans="1:22" x14ac:dyDescent="0.25">
      <c r="A962" s="277" t="s">
        <v>245</v>
      </c>
      <c r="B962" s="278">
        <f>_xlfn.XLOOKUP(Catalogo[[#This Row],[Finca]], Fincas[Nombre], Fincas[ID])</f>
        <v>61</v>
      </c>
      <c r="C962" s="277" t="s">
        <v>635</v>
      </c>
      <c r="D962" s="277" t="s">
        <v>882</v>
      </c>
      <c r="E962" s="277"/>
      <c r="F962" s="277" t="s">
        <v>534</v>
      </c>
      <c r="G962" s="277"/>
      <c r="H962" s="277"/>
      <c r="I962" s="311" t="s">
        <v>276</v>
      </c>
      <c r="J962" s="309"/>
      <c r="K962" s="278" t="s">
        <v>31</v>
      </c>
      <c r="L962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2" s="279" t="s">
        <v>472</v>
      </c>
      <c r="N962" s="279">
        <v>60</v>
      </c>
      <c r="O962" s="276">
        <v>0.47</v>
      </c>
      <c r="P962" s="280">
        <f>IFERROR(_xlfn.LET(_xlpm.boxType, K962, _xlpm.tallos, N962, _xlpm.cost, O962, _xlpm.precio, Q962,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0.24004192872117402</v>
      </c>
      <c r="Q962" s="296">
        <v>1.59</v>
      </c>
      <c r="R962" s="276" t="s">
        <v>283</v>
      </c>
      <c r="S962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2" s="276">
        <v>0.47</v>
      </c>
      <c r="U962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0.26042133572389059</v>
      </c>
      <c r="V962" s="274">
        <v>0.92</v>
      </c>
    </row>
    <row r="963" spans="1:22" x14ac:dyDescent="0.25">
      <c r="A963" s="277" t="s">
        <v>245</v>
      </c>
      <c r="B963" s="278">
        <f>_xlfn.XLOOKUP(Catalogo[[#This Row],[Finca]], Fincas[Nombre], Fincas[ID])</f>
        <v>61</v>
      </c>
      <c r="C963" s="277" t="s">
        <v>635</v>
      </c>
      <c r="D963" s="277" t="s">
        <v>882</v>
      </c>
      <c r="E963" s="277"/>
      <c r="F963" s="277" t="s">
        <v>534</v>
      </c>
      <c r="G963" s="277"/>
      <c r="H963" s="277"/>
      <c r="I963" s="311" t="s">
        <v>275</v>
      </c>
      <c r="J963" s="309"/>
      <c r="K963" s="278" t="s">
        <v>35</v>
      </c>
      <c r="L96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3" s="279" t="s">
        <v>473</v>
      </c>
      <c r="N963" s="279">
        <v>150</v>
      </c>
      <c r="O963" s="276">
        <v>0.47</v>
      </c>
      <c r="P963" s="280">
        <f>IFERROR(_xlfn.LET(_xlpm.boxType, K963, _xlpm.tallos, N963, _xlpm.cost, O963, _xlpm.precio, Q963,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0.30788590604026844</v>
      </c>
      <c r="Q963" s="296">
        <v>1.49</v>
      </c>
      <c r="R963" s="276" t="s">
        <v>284</v>
      </c>
      <c r="S96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3" s="276">
        <v>0.47</v>
      </c>
      <c r="U96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0.2205179783756599</v>
      </c>
      <c r="V963" s="274">
        <v>0.82</v>
      </c>
    </row>
    <row r="964" spans="1:22" ht="15.75" thickBot="1" x14ac:dyDescent="0.3">
      <c r="A964" s="288" t="s">
        <v>245</v>
      </c>
      <c r="B964" s="289">
        <f>_xlfn.XLOOKUP(Catalogo[[#This Row],[Finca]], Fincas[Nombre], Fincas[ID])</f>
        <v>61</v>
      </c>
      <c r="C964" s="288" t="s">
        <v>635</v>
      </c>
      <c r="D964" s="288" t="s">
        <v>882</v>
      </c>
      <c r="E964" s="288"/>
      <c r="F964" s="288" t="s">
        <v>534</v>
      </c>
      <c r="G964" s="288"/>
      <c r="H964" s="288"/>
      <c r="I964" s="317" t="s">
        <v>276</v>
      </c>
      <c r="J964" s="310"/>
      <c r="K964" s="289" t="s">
        <v>35</v>
      </c>
      <c r="L96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4" s="290" t="s">
        <v>473</v>
      </c>
      <c r="N964" s="290">
        <v>120</v>
      </c>
      <c r="O964" s="292">
        <v>0.47</v>
      </c>
      <c r="P964" s="291">
        <f>IFERROR(_xlfn.LET(_xlpm.boxType, K964, _xlpm.tallos, N964, _xlpm.cost, O964, _xlpm.precio, Q964,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0.27935010482180289</v>
      </c>
      <c r="Q964" s="297">
        <v>1.59</v>
      </c>
      <c r="R964" s="292" t="s">
        <v>284</v>
      </c>
      <c r="S96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4" s="292">
        <v>0.47</v>
      </c>
      <c r="U96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0.23800986104885691</v>
      </c>
      <c r="V964" s="294">
        <v>0.92</v>
      </c>
    </row>
    <row r="965" spans="1:22" x14ac:dyDescent="0.25">
      <c r="A965" s="277" t="s">
        <v>245</v>
      </c>
      <c r="B965" s="278">
        <f>_xlfn.XLOOKUP(Catalogo[[#This Row],[Finca]], Fincas[Nombre], Fincas[ID])</f>
        <v>61</v>
      </c>
      <c r="C965" s="277" t="s">
        <v>635</v>
      </c>
      <c r="D965" s="277" t="s">
        <v>883</v>
      </c>
      <c r="E965" s="277"/>
      <c r="F965" s="277" t="s">
        <v>503</v>
      </c>
      <c r="G965" s="277"/>
      <c r="H965" s="277"/>
      <c r="I965" s="311" t="s">
        <v>276</v>
      </c>
      <c r="J965" s="309"/>
      <c r="K965" s="278" t="s">
        <v>31</v>
      </c>
      <c r="L96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5" s="279" t="s">
        <v>472</v>
      </c>
      <c r="N965" s="279">
        <v>50</v>
      </c>
      <c r="O965" s="276">
        <v>0.73</v>
      </c>
      <c r="P965" s="280">
        <f>IFERROR(_xlfn.LET(_xlpm.boxType, K965, _xlpm.tallos, N965, _xlpm.cost, O965, _xlpm.precio, Q965,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65" s="296">
        <v>2.19</v>
      </c>
      <c r="R965" s="276" t="s">
        <v>283</v>
      </c>
      <c r="S96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5" s="276">
        <v>0.47</v>
      </c>
      <c r="U96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65" s="274">
        <v>1.0900000000000001</v>
      </c>
    </row>
    <row r="966" spans="1:22" ht="15.75" thickBot="1" x14ac:dyDescent="0.3">
      <c r="A966" s="288" t="s">
        <v>245</v>
      </c>
      <c r="B966" s="289">
        <f>_xlfn.XLOOKUP(Catalogo[[#This Row],[Finca]], Fincas[Nombre], Fincas[ID])</f>
        <v>61</v>
      </c>
      <c r="C966" s="288" t="s">
        <v>635</v>
      </c>
      <c r="D966" s="288" t="s">
        <v>883</v>
      </c>
      <c r="E966" s="288"/>
      <c r="F966" s="288" t="s">
        <v>503</v>
      </c>
      <c r="G966" s="288"/>
      <c r="H966" s="288"/>
      <c r="I966" s="317" t="s">
        <v>276</v>
      </c>
      <c r="J966" s="310"/>
      <c r="K966" s="289" t="s">
        <v>35</v>
      </c>
      <c r="L96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6" s="290" t="s">
        <v>473</v>
      </c>
      <c r="N966" s="290">
        <v>100</v>
      </c>
      <c r="O966" s="292">
        <v>0.73</v>
      </c>
      <c r="P966" s="291">
        <f>IFERROR(_xlfn.LET(_xlpm.boxType, K966, _xlpm.tallos, N966, _xlpm.cost, O966, _xlpm.precio, Q966,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66" s="297">
        <v>2.09</v>
      </c>
      <c r="R966" s="292" t="s">
        <v>284</v>
      </c>
      <c r="S96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6" s="292">
        <v>0.47</v>
      </c>
      <c r="U96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66" s="294">
        <v>1.0900000000000001</v>
      </c>
    </row>
    <row r="967" spans="1:22" x14ac:dyDescent="0.25">
      <c r="A967" s="277" t="s">
        <v>245</v>
      </c>
      <c r="B967" s="278">
        <f>_xlfn.XLOOKUP(Catalogo[[#This Row],[Finca]], Fincas[Nombre], Fincas[ID])</f>
        <v>61</v>
      </c>
      <c r="C967" s="277" t="s">
        <v>635</v>
      </c>
      <c r="D967" s="277" t="s">
        <v>884</v>
      </c>
      <c r="E967" s="277"/>
      <c r="F967" s="277" t="s">
        <v>612</v>
      </c>
      <c r="G967" s="277"/>
      <c r="H967" s="277"/>
      <c r="I967" s="311" t="s">
        <v>276</v>
      </c>
      <c r="J967" s="309"/>
      <c r="K967" s="278" t="s">
        <v>31</v>
      </c>
      <c r="L96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7" s="279" t="s">
        <v>472</v>
      </c>
      <c r="N967" s="279">
        <v>50</v>
      </c>
      <c r="O967" s="276">
        <v>0.73</v>
      </c>
      <c r="P967" s="280">
        <f>IFERROR(_xlfn.LET(_xlpm.boxType, K967, _xlpm.tallos, N967, _xlpm.cost, O967, _xlpm.precio, Q967,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67" s="296">
        <v>2.19</v>
      </c>
      <c r="R967" s="276" t="s">
        <v>283</v>
      </c>
      <c r="S96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7" s="276">
        <v>0.47</v>
      </c>
      <c r="U967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67" s="274">
        <v>1.0900000000000001</v>
      </c>
    </row>
    <row r="968" spans="1:22" ht="15.75" thickBot="1" x14ac:dyDescent="0.3">
      <c r="A968" s="288" t="s">
        <v>245</v>
      </c>
      <c r="B968" s="289">
        <f>_xlfn.XLOOKUP(Catalogo[[#This Row],[Finca]], Fincas[Nombre], Fincas[ID])</f>
        <v>61</v>
      </c>
      <c r="C968" s="288" t="s">
        <v>635</v>
      </c>
      <c r="D968" s="288" t="s">
        <v>884</v>
      </c>
      <c r="E968" s="288"/>
      <c r="F968" s="288" t="s">
        <v>612</v>
      </c>
      <c r="G968" s="288"/>
      <c r="H968" s="288"/>
      <c r="I968" s="317" t="s">
        <v>276</v>
      </c>
      <c r="J968" s="310"/>
      <c r="K968" s="289" t="s">
        <v>35</v>
      </c>
      <c r="L968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8" s="290" t="s">
        <v>473</v>
      </c>
      <c r="N968" s="290">
        <v>100</v>
      </c>
      <c r="O968" s="292">
        <v>0.73</v>
      </c>
      <c r="P968" s="291">
        <f>IFERROR(_xlfn.LET(_xlpm.boxType, K968, _xlpm.tallos, N968, _xlpm.cost, O968, _xlpm.precio, Q968,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68" s="297">
        <v>2.09</v>
      </c>
      <c r="R968" s="292" t="s">
        <v>284</v>
      </c>
      <c r="S968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8" s="292">
        <v>0.47</v>
      </c>
      <c r="U968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68" s="294">
        <v>1.0900000000000001</v>
      </c>
    </row>
    <row r="969" spans="1:22" x14ac:dyDescent="0.25">
      <c r="A969" s="277" t="s">
        <v>245</v>
      </c>
      <c r="B969" s="278">
        <f>_xlfn.XLOOKUP(Catalogo[[#This Row],[Finca]], Fincas[Nombre], Fincas[ID])</f>
        <v>61</v>
      </c>
      <c r="C969" s="277" t="s">
        <v>635</v>
      </c>
      <c r="D969" s="277" t="s">
        <v>885</v>
      </c>
      <c r="E969" s="277"/>
      <c r="F969" s="277" t="s">
        <v>541</v>
      </c>
      <c r="G969" s="277"/>
      <c r="H969" s="277"/>
      <c r="I969" s="311" t="s">
        <v>276</v>
      </c>
      <c r="J969" s="309"/>
      <c r="K969" s="278" t="s">
        <v>31</v>
      </c>
      <c r="L96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69" s="279" t="s">
        <v>472</v>
      </c>
      <c r="N969" s="279">
        <v>50</v>
      </c>
      <c r="O969" s="276">
        <v>0.73</v>
      </c>
      <c r="P969" s="280">
        <f>IFERROR(_xlfn.LET(_xlpm.boxType, K969, _xlpm.tallos, N969, _xlpm.cost, O969, _xlpm.precio, Q969,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69" s="296">
        <v>2.19</v>
      </c>
      <c r="R969" s="276" t="s">
        <v>283</v>
      </c>
      <c r="S96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69" s="276">
        <v>0.47</v>
      </c>
      <c r="U969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69" s="274">
        <v>1.0900000000000001</v>
      </c>
    </row>
    <row r="970" spans="1:22" ht="15.75" thickBot="1" x14ac:dyDescent="0.3">
      <c r="A970" s="288" t="s">
        <v>245</v>
      </c>
      <c r="B970" s="289">
        <f>_xlfn.XLOOKUP(Catalogo[[#This Row],[Finca]], Fincas[Nombre], Fincas[ID])</f>
        <v>61</v>
      </c>
      <c r="C970" s="288" t="s">
        <v>635</v>
      </c>
      <c r="D970" s="288" t="s">
        <v>885</v>
      </c>
      <c r="E970" s="288"/>
      <c r="F970" s="288" t="s">
        <v>541</v>
      </c>
      <c r="G970" s="288"/>
      <c r="H970" s="288"/>
      <c r="I970" s="317" t="s">
        <v>276</v>
      </c>
      <c r="J970" s="310"/>
      <c r="K970" s="289" t="s">
        <v>35</v>
      </c>
      <c r="L970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0" s="290" t="s">
        <v>473</v>
      </c>
      <c r="N970" s="290">
        <v>100</v>
      </c>
      <c r="O970" s="292">
        <v>0.73</v>
      </c>
      <c r="P970" s="291">
        <f>IFERROR(_xlfn.LET(_xlpm.boxType, K970, _xlpm.tallos, N970, _xlpm.cost, O970, _xlpm.precio, Q970,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0" s="297">
        <v>2.09</v>
      </c>
      <c r="R970" s="292" t="s">
        <v>284</v>
      </c>
      <c r="S970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0" s="292">
        <v>0.47</v>
      </c>
      <c r="U970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0" s="294">
        <v>1.0900000000000001</v>
      </c>
    </row>
    <row r="971" spans="1:22" x14ac:dyDescent="0.25">
      <c r="A971" s="277" t="s">
        <v>245</v>
      </c>
      <c r="B971" s="278">
        <f>_xlfn.XLOOKUP(Catalogo[[#This Row],[Finca]], Fincas[Nombre], Fincas[ID])</f>
        <v>61</v>
      </c>
      <c r="C971" s="277" t="s">
        <v>635</v>
      </c>
      <c r="D971" s="277" t="s">
        <v>886</v>
      </c>
      <c r="E971" s="277"/>
      <c r="F971" s="277" t="s">
        <v>583</v>
      </c>
      <c r="G971" s="277"/>
      <c r="H971" s="277"/>
      <c r="I971" s="311" t="s">
        <v>276</v>
      </c>
      <c r="J971" s="309"/>
      <c r="K971" s="278" t="s">
        <v>31</v>
      </c>
      <c r="L97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1" s="279" t="s">
        <v>472</v>
      </c>
      <c r="N971" s="279">
        <v>50</v>
      </c>
      <c r="O971" s="276">
        <v>0.73</v>
      </c>
      <c r="P971" s="280">
        <f>IFERROR(_xlfn.LET(_xlpm.boxType, K971, _xlpm.tallos, N971, _xlpm.cost, O971, _xlpm.precio, Q971,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71" s="296">
        <v>2.19</v>
      </c>
      <c r="R971" s="276" t="s">
        <v>283</v>
      </c>
      <c r="S97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1" s="276">
        <v>0.47</v>
      </c>
      <c r="U971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71" s="274">
        <v>1.0900000000000001</v>
      </c>
    </row>
    <row r="972" spans="1:22" ht="15.75" thickBot="1" x14ac:dyDescent="0.3">
      <c r="A972" s="288" t="s">
        <v>245</v>
      </c>
      <c r="B972" s="289">
        <f>_xlfn.XLOOKUP(Catalogo[[#This Row],[Finca]], Fincas[Nombre], Fincas[ID])</f>
        <v>61</v>
      </c>
      <c r="C972" s="288" t="s">
        <v>635</v>
      </c>
      <c r="D972" s="288" t="s">
        <v>886</v>
      </c>
      <c r="E972" s="288"/>
      <c r="F972" s="288" t="s">
        <v>583</v>
      </c>
      <c r="G972" s="288"/>
      <c r="H972" s="288"/>
      <c r="I972" s="317" t="s">
        <v>276</v>
      </c>
      <c r="J972" s="310"/>
      <c r="K972" s="289" t="s">
        <v>35</v>
      </c>
      <c r="L972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2" s="290" t="s">
        <v>473</v>
      </c>
      <c r="N972" s="290">
        <v>100</v>
      </c>
      <c r="O972" s="292">
        <v>0.73</v>
      </c>
      <c r="P972" s="291">
        <f>IFERROR(_xlfn.LET(_xlpm.boxType, K972, _xlpm.tallos, N972, _xlpm.cost, O972, _xlpm.precio, Q972,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2" s="297">
        <v>2.09</v>
      </c>
      <c r="R972" s="292" t="s">
        <v>284</v>
      </c>
      <c r="S972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2" s="292">
        <v>0.47</v>
      </c>
      <c r="U972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2" s="294">
        <v>1.0900000000000001</v>
      </c>
    </row>
    <row r="973" spans="1:22" x14ac:dyDescent="0.25">
      <c r="A973" s="277" t="s">
        <v>245</v>
      </c>
      <c r="B973" s="278">
        <f>_xlfn.XLOOKUP(Catalogo[[#This Row],[Finca]], Fincas[Nombre], Fincas[ID])</f>
        <v>61</v>
      </c>
      <c r="C973" s="277" t="s">
        <v>635</v>
      </c>
      <c r="D973" s="277" t="s">
        <v>887</v>
      </c>
      <c r="E973" s="277"/>
      <c r="F973" s="277" t="s">
        <v>526</v>
      </c>
      <c r="G973" s="277"/>
      <c r="H973" s="277"/>
      <c r="I973" s="311" t="s">
        <v>276</v>
      </c>
      <c r="J973" s="309"/>
      <c r="K973" s="278" t="s">
        <v>31</v>
      </c>
      <c r="L973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3" s="279" t="s">
        <v>472</v>
      </c>
      <c r="N973" s="279">
        <v>50</v>
      </c>
      <c r="O973" s="276">
        <v>0.73</v>
      </c>
      <c r="P973" s="280">
        <f>IFERROR(_xlfn.LET(_xlpm.boxType, K973, _xlpm.tallos, N973, _xlpm.cost, O973, _xlpm.precio, Q973,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73" s="296">
        <v>2.19</v>
      </c>
      <c r="R973" s="276" t="s">
        <v>283</v>
      </c>
      <c r="S973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3" s="276">
        <v>0.47</v>
      </c>
      <c r="U973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73" s="274">
        <v>1.0900000000000001</v>
      </c>
    </row>
    <row r="974" spans="1:22" ht="15.75" thickBot="1" x14ac:dyDescent="0.3">
      <c r="A974" s="288" t="s">
        <v>245</v>
      </c>
      <c r="B974" s="289">
        <f>_xlfn.XLOOKUP(Catalogo[[#This Row],[Finca]], Fincas[Nombre], Fincas[ID])</f>
        <v>61</v>
      </c>
      <c r="C974" s="288" t="s">
        <v>635</v>
      </c>
      <c r="D974" s="288" t="s">
        <v>887</v>
      </c>
      <c r="E974" s="288"/>
      <c r="F974" s="288" t="s">
        <v>526</v>
      </c>
      <c r="G974" s="288"/>
      <c r="H974" s="288"/>
      <c r="I974" s="317" t="s">
        <v>276</v>
      </c>
      <c r="J974" s="310"/>
      <c r="K974" s="289" t="s">
        <v>35</v>
      </c>
      <c r="L974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4" s="290" t="s">
        <v>473</v>
      </c>
      <c r="N974" s="290">
        <v>100</v>
      </c>
      <c r="O974" s="292">
        <v>0.73</v>
      </c>
      <c r="P974" s="291">
        <f>IFERROR(_xlfn.LET(_xlpm.boxType, K974, _xlpm.tallos, N974, _xlpm.cost, O974, _xlpm.precio, Q974,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4" s="297">
        <v>2.09</v>
      </c>
      <c r="R974" s="292" t="s">
        <v>284</v>
      </c>
      <c r="S974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4" s="292">
        <v>0.47</v>
      </c>
      <c r="U974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4" s="294">
        <v>1.0900000000000001</v>
      </c>
    </row>
    <row r="975" spans="1:22" x14ac:dyDescent="0.25">
      <c r="A975" s="277" t="s">
        <v>245</v>
      </c>
      <c r="B975" s="278">
        <f>_xlfn.XLOOKUP(Catalogo[[#This Row],[Finca]], Fincas[Nombre], Fincas[ID])</f>
        <v>61</v>
      </c>
      <c r="C975" s="277" t="s">
        <v>635</v>
      </c>
      <c r="D975" s="277" t="s">
        <v>886</v>
      </c>
      <c r="E975" s="277"/>
      <c r="F975" s="277" t="s">
        <v>583</v>
      </c>
      <c r="G975" s="277"/>
      <c r="H975" s="277"/>
      <c r="I975" s="311" t="s">
        <v>276</v>
      </c>
      <c r="J975" s="309"/>
      <c r="K975" s="278" t="s">
        <v>31</v>
      </c>
      <c r="L975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5" s="279" t="s">
        <v>472</v>
      </c>
      <c r="N975" s="279">
        <v>50</v>
      </c>
      <c r="O975" s="276">
        <v>0.73</v>
      </c>
      <c r="P975" s="280">
        <f>IFERROR(_xlfn.LET(_xlpm.boxType, K975, _xlpm.tallos, N975, _xlpm.cost, O975, _xlpm.precio, Q975,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0.24847792998477924</v>
      </c>
      <c r="Q975" s="296">
        <v>2.19</v>
      </c>
      <c r="R975" s="276" t="s">
        <v>283</v>
      </c>
      <c r="S975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5" s="276">
        <v>0.47</v>
      </c>
      <c r="U975" s="69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0.31902014565402448</v>
      </c>
      <c r="V975" s="274">
        <v>1.0900000000000001</v>
      </c>
    </row>
    <row r="976" spans="1:22" ht="15.75" thickBot="1" x14ac:dyDescent="0.3">
      <c r="A976" s="288" t="s">
        <v>245</v>
      </c>
      <c r="B976" s="289">
        <f>_xlfn.XLOOKUP(Catalogo[[#This Row],[Finca]], Fincas[Nombre], Fincas[ID])</f>
        <v>61</v>
      </c>
      <c r="C976" s="288" t="s">
        <v>635</v>
      </c>
      <c r="D976" s="288" t="s">
        <v>886</v>
      </c>
      <c r="E976" s="288"/>
      <c r="F976" s="288" t="s">
        <v>583</v>
      </c>
      <c r="G976" s="288"/>
      <c r="H976" s="288"/>
      <c r="I976" s="317" t="s">
        <v>276</v>
      </c>
      <c r="J976" s="310"/>
      <c r="K976" s="289" t="s">
        <v>35</v>
      </c>
      <c r="L976" s="290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>y</v>
      </c>
      <c r="M976" s="290" t="s">
        <v>473</v>
      </c>
      <c r="N976" s="290">
        <v>100</v>
      </c>
      <c r="O976" s="292">
        <v>0.73</v>
      </c>
      <c r="P976" s="291">
        <f>IFERROR(_xlfn.LET(_xlpm.boxType, K976, _xlpm.tallos, N976, _xlpm.cost, O976, _xlpm.precio, Q976,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>0.24740829346092497</v>
      </c>
      <c r="Q976" s="297">
        <v>2.09</v>
      </c>
      <c r="R976" s="292" t="s">
        <v>284</v>
      </c>
      <c r="S976" s="292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>y</v>
      </c>
      <c r="T976" s="292">
        <v>0.47</v>
      </c>
      <c r="U976" s="293">
        <f>IFERROR(
_xlfn.LET(
_xlpm.cajaUK,TRIM(Catalogo[[#This Row],[Caja UK]]),
_xlpm.tallos,Catalogo[[#This Row],[Total Tallos]],
_xlpm.precio,Catalogo[[#This Row],[Venta UK]],
_xlpm.compraUSD,
IF(
Catalogo[[#This Row],[Compra UK]]="",
Catalogo[[#This Row],[Compra]],
Catalogo[[#This Row],[Compra UK]]
),
_xlpm.costGBP,_xlpm.compraUSD/1.26,
_xlpm.largo,_xlfn.XLOOKUP(_xlpm.cajaUK,Cajas[Nombre],Cajas[Largo],""),
_xlpm.ancho,_xlfn.XLOOKUP(_xlpm.cajaUK,Cajas[Nombre],Cajas[Ancho],""),
_xlpm.alto,_xlfn.XLOOKUP(_xlpm.cajaUK,Cajas[Nombre],Cajas[Alto],""),
_xlpm.volumen,(_xlpm.largo*_xlpm.ancho*_xlpm.alto)/6000,
_xlpm.transport2,ROUNDUP((_xlpm.volumen*3.2)*1.1,2),
_xlpm.transport,ROUNDUP(_xlpm.transport2/_xlpm.tallos,2),
_xlpm.costoTotal,ROUNDUP(_xlpm.costGBP+_xlpm.transport,2),
_xlpm.markup,1-(_xlpm.costoTotal/(_xlpm.precio*0.97)),
IF(
OR(_xlpm.cajaUK="",_xlpm.tallos="",_xlpm.precio="",_xlpm.compraUSD=""),
"",
IF(
_xlpm.markup&lt;0,
"BAJO",
IF(_xlpm.markup&gt;1,"ALTO",_xlpm.markup)
)
)
),
"")</f>
        <v>0.30010403858885848</v>
      </c>
      <c r="V976" s="294">
        <v>1.0900000000000001</v>
      </c>
    </row>
    <row r="977" spans="1:21" x14ac:dyDescent="0.25">
      <c r="A977" s="277"/>
      <c r="B977" s="278">
        <f>_xlfn.XLOOKUP(Catalogo[[#This Row],[Finca]], Fincas[Nombre], Fincas[ID])</f>
        <v>0</v>
      </c>
      <c r="C977" s="277"/>
      <c r="D977" s="277"/>
      <c r="E977" s="277"/>
      <c r="F977" s="277"/>
      <c r="G977" s="277"/>
      <c r="H977" s="277"/>
      <c r="I977" s="311"/>
      <c r="J977" s="309"/>
      <c r="K977" s="278"/>
      <c r="L977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7" s="279"/>
      <c r="N977" s="279"/>
      <c r="O977" s="276"/>
      <c r="P977" s="280" t="str">
        <f>IFERROR(_xlfn.LET(_xlpm.boxType, K977, _xlpm.tallos, N977, _xlpm.cost, O977, _xlpm.precio, Q977,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7" s="296"/>
      <c r="R977" s="276"/>
      <c r="S977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7" s="276"/>
      <c r="U977" s="69"/>
    </row>
    <row r="978" spans="1:21" x14ac:dyDescent="0.25">
      <c r="A978" s="277"/>
      <c r="B978" s="278">
        <f>_xlfn.XLOOKUP(Catalogo[[#This Row],[Finca]], Fincas[Nombre], Fincas[ID])</f>
        <v>0</v>
      </c>
      <c r="C978" s="277"/>
      <c r="D978" s="277"/>
      <c r="E978" s="277"/>
      <c r="F978" s="277"/>
      <c r="G978" s="277"/>
      <c r="H978" s="277"/>
      <c r="I978" s="311"/>
      <c r="J978" s="309"/>
      <c r="K978" s="278"/>
      <c r="L978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8" s="279"/>
      <c r="N978" s="279"/>
      <c r="O978" s="276"/>
      <c r="P978" s="280" t="str">
        <f>IFERROR(_xlfn.LET(_xlpm.boxType, K978, _xlpm.tallos, N978, _xlpm.cost, O978, _xlpm.precio, Q978,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8" s="296"/>
      <c r="R978" s="276"/>
      <c r="S978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8" s="276"/>
      <c r="U978" s="69"/>
    </row>
    <row r="979" spans="1:21" x14ac:dyDescent="0.25">
      <c r="A979" s="277"/>
      <c r="B979" s="278">
        <f>_xlfn.XLOOKUP(Catalogo[[#This Row],[Finca]], Fincas[Nombre], Fincas[ID])</f>
        <v>0</v>
      </c>
      <c r="C979" s="277"/>
      <c r="D979" s="277"/>
      <c r="E979" s="277"/>
      <c r="F979" s="277"/>
      <c r="G979" s="277"/>
      <c r="H979" s="277"/>
      <c r="I979" s="311"/>
      <c r="J979" s="309"/>
      <c r="K979" s="278"/>
      <c r="L979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79" s="279"/>
      <c r="N979" s="279"/>
      <c r="O979" s="276"/>
      <c r="P979" s="280" t="str">
        <f>IFERROR(_xlfn.LET(_xlpm.boxType, K979, _xlpm.tallos, N979, _xlpm.cost, O979, _xlpm.precio, Q979,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79" s="296"/>
      <c r="R979" s="276"/>
      <c r="S979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79" s="276"/>
      <c r="U979" s="69"/>
    </row>
    <row r="980" spans="1:21" x14ac:dyDescent="0.25">
      <c r="A980" s="277"/>
      <c r="B980" s="278">
        <f>_xlfn.XLOOKUP(Catalogo[[#This Row],[Finca]], Fincas[Nombre], Fincas[ID])</f>
        <v>0</v>
      </c>
      <c r="C980" s="277"/>
      <c r="D980" s="277"/>
      <c r="E980" s="277"/>
      <c r="F980" s="277"/>
      <c r="G980" s="277"/>
      <c r="H980" s="277"/>
      <c r="I980" s="311"/>
      <c r="J980" s="309"/>
      <c r="K980" s="278"/>
      <c r="L980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80" s="279"/>
      <c r="N980" s="279"/>
      <c r="O980" s="276"/>
      <c r="P980" s="280" t="str">
        <f>IFERROR(_xlfn.LET(_xlpm.boxType, K980, _xlpm.tallos, N980, _xlpm.cost, O980, _xlpm.precio, Q980,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80" s="296"/>
      <c r="R980" s="276"/>
      <c r="S980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80" s="276"/>
      <c r="U980" s="69"/>
    </row>
    <row r="981" spans="1:21" x14ac:dyDescent="0.25">
      <c r="A981" s="277"/>
      <c r="B981" s="278">
        <f>_xlfn.XLOOKUP(Catalogo[[#This Row],[Finca]], Fincas[Nombre], Fincas[ID])</f>
        <v>0</v>
      </c>
      <c r="C981" s="277"/>
      <c r="D981" s="277"/>
      <c r="E981" s="277"/>
      <c r="F981" s="277"/>
      <c r="G981" s="277"/>
      <c r="H981" s="277"/>
      <c r="I981" s="279"/>
      <c r="J981" s="309"/>
      <c r="K981" s="278"/>
      <c r="L981" s="279" t="str">
        <f>IF(AND(TRIM(Catalogo[[#This Row],[Caja EC]])&lt;&gt;"",ISNUMBER(SEARCH(TRIM(Catalogo[[#This Row],[Caja EC]]),Catalogo[[#This Row],[Caja Finca]]))),_xlfn.XLOOKUP(TRIM(Catalogo[[#This Row],[Caja Finca]]),Cajas[Nombre],Cajas[Aprobado],"NO ENCONTRADO",0),"")</f>
        <v/>
      </c>
      <c r="M981" s="279"/>
      <c r="N981" s="279"/>
      <c r="O981" s="276"/>
      <c r="P981" s="280" t="str">
        <f>IFERROR(_xlfn.LET(_xlpm.boxType, K981, _xlpm.tallos, N981, _xlpm.cost, O981, _xlpm.precio, Q981, _xlpm.largo2, _xlfn.XLOOKUP(_xlpm.boxType, Cajas[Nombre], Cajas[Largo]), _xlpm.ancho, _xlfn.XLOOKUP(_xlpm.boxType, Cajas[Nombre], Cajas[Ancho]), _xlpm.alto, _xlfn.XLOOKUP(_xlpm.boxType, Cajas[Nombre], Cajas[Alto]), _xlpm.volumen, IF(_xlpm.boxType="", "", IF(OR(_xlpm.boxType="QB", _xlpm.boxType="EB", _xlpm.boxType="HB", _xlpm.boxType="QB2", _xlpm.boxType="EB2", _xlpm.boxType="SB"), (_xlpm.largo2*_xlpm.ancho*_xlpm.alto)/6000, ((_xlpm.largo2+Sheet1!$U$2)*(_xlpm.ancho+Sheet1!$U$2)*(_xlpm.alto+Sheet1!$U$2))/6000)), _xlpm.transport2, ROUNDUP(((_xlpm.volumen*5.25))*1.36, 2), _xlpm.transport, ROUNDUP(_xlpm.transport2/_xlpm.tallos, 2), _xlpm.duties, ROUNDUP((_xlpm.cost*0.1586), 2), _xlpm.result, 1-((_xlpm.cost+_xlpm.duties+_xlpm.transport)/(_xlpm.precio*0.96)), IF(_xlpm.result&lt;0, "BAJO", IF(_xlpm.result&gt;1, "ALTO", _xlpm.result))), "")</f>
        <v/>
      </c>
      <c r="Q981" s="296"/>
      <c r="R981" s="276"/>
      <c r="S981" s="276" t="str">
        <f>IFERROR(
_xlfn.LET(
_xlpm.cajaUK,TRIM(Catalogo[[#This Row],[Caja UK]]),
_xlpm.cajaFinca,TRIM(Catalogo[[#This Row],[Caja Finca]]),
_xlpm.tipoUK,TRIM(SUBSTITUTE(_xlpm.cajaUK," UK","")),
_xlpm.pesoFinca,_xlfn.XLOOKUP(_xlpm.cajaFinca,Cajas[Nombre],Cajas[Peso],""),
_xlpm.largoUK,_xlfn.XLOOKUP(_xlpm.cajaUK,Cajas[Nombre],Cajas[Largo],""),
_xlpm.anchoUK,_xlfn.XLOOKUP(_xlpm.cajaUK,Cajas[Nombre],Cajas[Ancho],""),
_xlpm.altoUK,_xlfn.XLOOKUP(_xlpm.cajaUK,Cajas[Nombre],Cajas[Alto],""),
_xlpm.capacidadUK,(_xlpm.largoUK*_xlpm.anchoUK*_xlpm.altoUK)/6000,
IF(
OR(_xlpm.cajaUK="",_xlpm.cajaFinca=""),
"",
IF(
NOT(ISNUMBER(SEARCH(_xlpm.tipoUK,_xlpm.cajaFinca))),
"",
IF(
_xlpm.pesoFinca="",
"NO ENCONTRADO",
IF(_xlpm.pesoFinca&lt;=_xlpm.capacidadUK,"y","n")
)
)
)
),
"")</f>
        <v/>
      </c>
      <c r="T981" s="276"/>
    </row>
  </sheetData>
  <mergeCells count="1">
    <mergeCell ref="A1:Q1"/>
  </mergeCells>
  <phoneticPr fontId="20" type="noConversion"/>
  <conditionalFormatting sqref="L1:L1048576 S1:S1048576">
    <cfRule type="cellIs" dxfId="3" priority="4" operator="equal">
      <formula>"n"</formula>
    </cfRule>
    <cfRule type="cellIs" dxfId="2" priority="5" operator="equal">
      <formula>"y"</formula>
    </cfRule>
  </conditionalFormatting>
  <conditionalFormatting sqref="P1:P1048576">
    <cfRule type="expression" dxfId="1" priority="3">
      <formula>AND(ISNUMBER(P1), P1&lt;20%)</formula>
    </cfRule>
  </conditionalFormatting>
  <dataValidations count="6">
    <dataValidation type="list" allowBlank="1" showInputMessage="1" showErrorMessage="1" sqref="A3:A981" xr:uid="{5A5857AE-5994-4FAB-BA93-386D129C37F0}">
      <formula1>INDIRECT("Fincas[Nombre]")</formula1>
    </dataValidation>
    <dataValidation type="list" allowBlank="1" showInputMessage="1" showErrorMessage="1" sqref="K3:K981 M3:M981 R3:R981" xr:uid="{FF747EBF-3F40-4BC0-AD01-293B99AA7F86}">
      <formula1>INDIRECT("Cajas[Nombre]")</formula1>
    </dataValidation>
    <dataValidation type="list" allowBlank="1" showInputMessage="1" showErrorMessage="1" sqref="I3:J981" xr:uid="{856AE30B-C3BA-42BF-A625-7B3061922120}">
      <formula1>INDIRECT("Size[Size]")</formula1>
    </dataValidation>
    <dataValidation type="list" allowBlank="1" showInputMessage="1" showErrorMessage="1" sqref="C3:C976" xr:uid="{B61CDA0B-6156-426F-A175-937CA0DE5A5E}">
      <formula1>INDIRECT("Category[Category]")</formula1>
    </dataValidation>
    <dataValidation type="list" allowBlank="1" showInputMessage="1" showErrorMessage="1" sqref="F3:G981" xr:uid="{B9177D5A-9413-421A-B174-A0E4E36CEF10}">
      <formula1>INDIRECT("Colors[Colors]")</formula1>
    </dataValidation>
    <dataValidation type="list" allowBlank="1" showInputMessage="1" showErrorMessage="1" sqref="H3:H981" xr:uid="{6CDE97B0-7496-47DE-BA12-4E6A25510AFF}">
      <formula1>INDIRECT("Season[Season]")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4E1CB-2FA4-4B6B-8536-0DBDA25ADF62}">
  <sheetPr codeName="Sheet5">
    <tabColor theme="9" tint="0.39997558519241921"/>
    <pageSetUpPr fitToPage="1"/>
  </sheetPr>
  <dimension ref="A1:M64"/>
  <sheetViews>
    <sheetView workbookViewId="0">
      <selection activeCell="D6" sqref="D6"/>
    </sheetView>
  </sheetViews>
  <sheetFormatPr defaultColWidth="9.140625" defaultRowHeight="15" x14ac:dyDescent="0.25"/>
  <cols>
    <col min="1" max="1" width="1.42578125" style="2" customWidth="1"/>
    <col min="2" max="2" width="12.42578125" style="5" customWidth="1"/>
    <col min="3" max="3" width="16.28515625" style="2" bestFit="1" customWidth="1"/>
    <col min="4" max="4" width="93" style="2" bestFit="1" customWidth="1"/>
    <col min="5" max="5" width="26.5703125" style="2" bestFit="1" customWidth="1"/>
    <col min="6" max="6" width="26.85546875" style="2" customWidth="1"/>
    <col min="7" max="7" width="5" style="2" customWidth="1"/>
    <col min="8" max="8" width="10.5703125" style="12" customWidth="1"/>
    <col min="9" max="9" width="19.5703125" style="2" customWidth="1"/>
    <col min="10" max="10" width="9.85546875" style="80" customWidth="1"/>
    <col min="11" max="11" width="1.28515625" style="2" customWidth="1"/>
    <col min="12" max="12" width="2.28515625" style="2" customWidth="1"/>
    <col min="13" max="13" width="23.140625" customWidth="1"/>
  </cols>
  <sheetData>
    <row r="1" spans="1:13" ht="6.75" customHeight="1" x14ac:dyDescent="0.25">
      <c r="A1" s="478"/>
      <c r="B1" s="257"/>
      <c r="C1" s="481"/>
      <c r="D1" s="481"/>
      <c r="E1" s="481"/>
      <c r="F1" s="38"/>
      <c r="G1" s="38"/>
      <c r="H1" s="39"/>
      <c r="I1" s="38"/>
      <c r="J1" s="74"/>
      <c r="K1" s="475"/>
    </row>
    <row r="2" spans="1:13" ht="15" customHeight="1" x14ac:dyDescent="0.25">
      <c r="A2" s="479"/>
      <c r="B2" s="258"/>
      <c r="C2" s="486" t="s">
        <v>506</v>
      </c>
      <c r="D2" s="487"/>
      <c r="E2" s="36" t="s">
        <v>888</v>
      </c>
      <c r="F2" s="255">
        <v>0</v>
      </c>
      <c r="G2" s="34"/>
      <c r="H2" s="34"/>
      <c r="I2" s="37" t="s">
        <v>889</v>
      </c>
      <c r="J2" s="35" t="s">
        <v>548</v>
      </c>
      <c r="K2" s="476"/>
    </row>
    <row r="3" spans="1:13" x14ac:dyDescent="0.25">
      <c r="A3" s="479"/>
      <c r="B3" s="4" t="s">
        <v>890</v>
      </c>
      <c r="C3" s="4" t="s">
        <v>891</v>
      </c>
      <c r="D3" s="4" t="s">
        <v>890</v>
      </c>
      <c r="E3" s="4" t="s">
        <v>892</v>
      </c>
      <c r="F3" s="4" t="s">
        <v>893</v>
      </c>
      <c r="G3" s="4" t="s">
        <v>562</v>
      </c>
      <c r="H3" s="9" t="s">
        <v>894</v>
      </c>
      <c r="I3" s="4" t="s">
        <v>895</v>
      </c>
      <c r="J3" s="75" t="s">
        <v>9</v>
      </c>
      <c r="K3" s="476"/>
      <c r="M3" s="44" t="s">
        <v>896</v>
      </c>
    </row>
    <row r="4" spans="1:13" x14ac:dyDescent="0.25">
      <c r="A4" s="479"/>
      <c r="B4" s="259" t="str" cm="1">
        <f t="array" ref="B4:B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_xlfn.MAP(_xlfn.SEQUENCE(ROWS(_xlpm.sortedFinal)), _xlfn.LAMBDA(_xlpm.r,
        _xlfn.LET(
          _xlpm.idx, INDEX(_xlpm.sortedFinal, _xlpm.r, 1),
          "Order #" &amp; (_xlpm.idx+1)
        )
      ))
    )
  )
)</f>
        <v>Order #26</v>
      </c>
      <c r="C4" s="14" t="str" cm="1">
        <f t="array" ref="C4:C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"Sin coincidencias",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_xlpm.segs,   INDEX(_xlpm.data,,2),
      _xlpm.incP,   _xlfn.MAP(_xlpm.segs,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_xlpm.sel, INDEX(_xlpm.sortedFinal,,2),
      _xlfn.MAP(_xlpm.sel, _xlfn.LAMBDA(_xlpm.s,
        IF(ISNUMBER(FIND("(*Par)",_xlpm.s)),   "Biweekly (Par)",
        IF(ISNUMBER(FIND("(*Impar)",_xlpm.s)), "Biweekly (Impar)",
        "Everyweek"))
      ))
    )
  )
)</f>
        <v>Biweekly (Impar)</v>
      </c>
      <c r="D4" s="15" t="str" cm="1">
        <f t="array" ref="D4:D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_xlfn.MAP(_xlfn.SEQUENCE(ROWS(_xlpm.sortedFinal)), _xlfn.LAMBDA(_xlpm.r,
        _xlfn.LET(
          _xlpm.idx,    INDEX(_xlpm.sortedFinal, _xlpm.r, 1),
          _xlpm.s_val,  INDEX(_xlpm.sortedFinal, _xlpm.r, 2),
          _xlpm.rowB,   INDEX(Main[Qty], _xlpm.idx),
          _xlpm.rowC,   INDEX(Main[Type of Box], _xlpm.idx),
          _xlpm.rowD,   INDEX(Main[Cantidad_Min], _xlpm.idx),
          _xlpm.rowF,   INDEX(Main[Variedad], _xlpm.idx),
          _xlpm.rowG,   INDEX(Main[Nombre], _xlpm.idx),
          _xlpm.first_sp, IFERROR(FIND(" ", _xlpm.s_val), 0),
          _xlpm.id_ex,  IF(_xlpm.first_sp&gt;0, IFERROR(VALUE(LEFT(_xlpm.s_val, _xlpm.first_sp-1)), _xlpm.rowB), _xlpm.rowB),
          CONCATENATE(_xlpm.id_ex," ",_xlpm.rowC," x ",_xlpm.rowD," ",_xlpm.rowF," ",_xlpm.rowG)
        )
      ))
    )
  )
)</f>
        <v>2 EB x 8 Gypsophilia Xlence 250g. (T/F)</v>
      </c>
      <c r="E4" s="15" t="str" cm="1">
        <f t="array" ref="E4:E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_xlpm.segs,   INDEX(_xlpm.data,,2),
      _xlpm.incP,   _xlfn.MAP(_xlpm.segs,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_xlpm.sel, INDEX(_xlpm.sortedFinal,,2),
      _xlfn.MAP(_xlpm.sel, _xlfn.LAMBDA(_xlpm.s,
        _xlfn.LET(_xlpm.o, IFERROR(FIND("[",_xlpm.s),0), _xlpm.c, IFERROR(FIND("]",_xlpm.s),0),
        IF(_xlpm.o=0, "[N/A]", MID(_xlpm.s,_xlpm.o+1,_xlpm.c-_xlpm.o-1)))
      ))
    )
  )
)</f>
        <v>The Bloom Flowery WA</v>
      </c>
      <c r="F4" s="16" t="str" cm="1">
        <f t="array" aca="1" ref="F4:F6" ca="1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
        _xlfn.LET(
          _xlpm.numGuia, INDEX(Main[Guia], _xlpm.idx),
          _xlpm.res, _xlfn.XLOOKUP(_xlpm.numGuia, Guias[Ecuador], Guias[Entrega], _xlfn.XLOOKUP(_xlpm.numGuia, Guias[Colombia], Guias[Entrega], "Sin Entrega")),
          IF(_xlpm.res="Sin Entrega", _xlpm.res,
            _xlfn.LET(
              _xlpm.full, _xlfn.TEXTSPLIT("Lunes,Martes,Miércoles,Jueves,Viernes,Sábado,Domingo", ","),
              _xlpm.short, _xlfn.TEXTSPLIT("Lun,Mar,Mie,Jue,Vie,Sab,Dom", ","),
              _xlfn.REDUCE(_xlpm.res, _xlfn.SEQUENCE(7), _xlfn.LAMBDA(_xlpm.txt,_xlpm.i, SUBSTITUTE(_xlpm.txt, INDEX(_xlpm.full, 1, _xlpm.i), INDEX(_xlpm.short, 1, _xlpm.i))))
            )
          )
        )
      ))
    )
  )
)</f>
        <v>Jue 20 Oct / Vie 23 Oct</v>
      </c>
      <c r="G4" s="16" t="str" cm="1">
        <f t="array" ref="G4:G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INDEX(Main[Color], _xlpm.idx)))
    )
  )
)</f>
        <v>PO107178</v>
      </c>
      <c r="H4" s="13" cm="1">
        <f t="array" ref="H4:H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INDEX(Main[Precio], _xlpm.idx)))
    )
  )
)</f>
        <v>9.39</v>
      </c>
      <c r="I4" s="16" t="str" cm="1">
        <f t="array" ref="I4:I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INDEX(Main[Finca], _xlpm.idx)))
    )
  )
)</f>
        <v>Flodecol</v>
      </c>
      <c r="J4" s="76" cm="1">
        <f t="array" ref="J4:J6">_xlfn.LET(
  _xlpm.nk, _xlfn.XLOOKUP(C2, Vendedores[Nombre], Vendedores[Fragmento])&amp;" ",
  _xlpm.src, Main[Standing Orders],
  _xlpm.validRows, _xlfn._xlws.FILTER(_xlfn.SEQUENCE(ROWS(_xlpm.src)), ISNUMBER(SEARCH(_xlpm.nk, _xlpm.src)), 0),
  IF(INDEX(_xlpm.validRows,1)=0, "",
    _xlfn.LET(
      _xlpm.expanded, _xlfn.REDUCE(_xlfn.HSTACK("Idx","Seg"), _xlpm.validRows, _xlfn.LAMBDA(_xlpm.a,_xlpm.i,
        _xlfn.LET(
          _xlpm.s, TRIM(_xlfn.TEXTSPLIT(INDEX(_xlpm.src, _xlpm.i), ";")),
          _xlpm.m, _xlfn._xlws.FILTER(_xlpm.s, ISNUMBER(SEARCH(_xlpm.nk, _xlpm.s))),
          _xlfn.VSTACK(_xlpm.a, _xlfn.HSTACK(_xlfn.EXPAND(_xlpm.i, COUNTA(_xlpm.m), 1, _xlpm.i), _xlfn.TOCOL(_xlpm.m)))
        )
      )),
      _xlpm.data,   _xlfn._xlws.FILTER(_xlpm.expanded, ISNUMBER(INDEX(_xlpm.expanded,,1))),
      _xlpm.incP,   _xlfn.MAP(INDEX(_xlpm.data,,2), _xlfn.LAMBDA(_xlpm.s, IF(F2=0,1, IF(ISEVEN(F2), NOT(ISNUMBER(FIND("(*Impar)",_xlpm.s))), NOT(ISNUMBER(FIND("(*Par)",_xlpm.s))))))),
      _xlpm.final,  _xlfn._xlws.FILTER(_xlpm.data, _xlpm.incP),
      _xlpm.sortKey, IF(J2="Fincas",  _xlfn.MAP(INDEX(_xlpm.final,,1), _xlfn.LAMBDA(_xlpm.idx, INDEX(Main[Finca],_xlpm.idx))),
               IF(J2="Clientes",_xlfn.MAP(INDEX(_xlpm.final,,2), _xlfn.LAMBDA(_xlpm.s, _xlfn.LET(_xlpm.o,IFERROR(FIND("[",_xlpm.s),0),_xlpm.c,IFERROR(FIND("]",_xlpm.s),0),IF(_xlpm.o=0,"",MID(_xlpm.s,_xlpm.o+1,_xlpm.c-_xlpm.o-1))))),
               IF(J2="PO",      _xlfn.MAP(INDEX(_xlpm.final,,1), _xlfn.LAMBDA(_xlpm.idx, IFERROR(VALUE(INDEX(Main[Color],_xlpm.idx)),0))),
               IF(J2="Precio",  _xlfn.MAP(INDEX(_xlpm.final,,1), _xlfn.LAMBDA(_xlpm.idx, IFERROR(VALUE(INDEX(Main[Precio],_xlpm.idx)),0))),
               _xlfn.SEQUENCE(ROWS(_xlpm.final)))))),
      _xlpm.sortedFinal, _xlfn.SORTBY(_xlpm.final, _xlpm.sortKey, 1),
      _xlpm.finalIdx, INDEX(_xlpm.sortedFinal,,1),
      _xlfn.MAP(_xlpm.finalIdx, _xlfn.LAMBDA(_xlpm.idx, INDEX(Main[Markup], _xlpm.idx)))
    )
  )
)</f>
        <v>0.2023872914447995</v>
      </c>
      <c r="K4" s="476"/>
      <c r="M4" s="45" t="str" cm="1">
        <f t="array" ref="M4">SUMPRODUCT(IFERROR(VALUE(TRIM(LEFT(D4:D61,FIND("EB",D4:D61)-1))),0))&amp;" EB estan en orden fija"</f>
        <v>2 EB estan en orden fija</v>
      </c>
    </row>
    <row r="5" spans="1:13" x14ac:dyDescent="0.25">
      <c r="A5" s="479"/>
      <c r="B5" s="259" t="str">
        <v>Order #50</v>
      </c>
      <c r="C5" s="14" t="str">
        <v>Biweekly (Impar)</v>
      </c>
      <c r="D5" s="15" t="str">
        <v>1 QB x 125 Roses 50cm Explorer (M/T)</v>
      </c>
      <c r="E5" s="15" t="str">
        <v>Ariz Flowers SC</v>
      </c>
      <c r="F5" s="16" t="str">
        <f ca="1"/>
        <v>Lun 19 Oct / Mar 20 Oct</v>
      </c>
      <c r="G5" s="16" t="str">
        <v>PO107202</v>
      </c>
      <c r="H5" s="13">
        <v>1.29</v>
      </c>
      <c r="I5" s="16" t="str">
        <v>Florecal</v>
      </c>
      <c r="J5" s="76">
        <v>0.22965116279069764</v>
      </c>
      <c r="K5" s="476"/>
      <c r="M5" s="46" t="str" cm="1">
        <f t="array" ref="M5">SUMPRODUCT(IFERROR(VALUE(TRIM(LEFT(D4:D61,FIND("QB",D4:D61)-1))),0))&amp;" QB estan en orden fija"</f>
        <v>2 QB estan en orden fija</v>
      </c>
    </row>
    <row r="6" spans="1:13" x14ac:dyDescent="0.25">
      <c r="A6" s="479"/>
      <c r="B6" s="259" t="str">
        <v>Order #116</v>
      </c>
      <c r="C6" s="14" t="str">
        <v>Everyweek</v>
      </c>
      <c r="D6" s="15" t="str">
        <v>1 QB x 100 Mums Cremons  10 Petruska Light/10 Salmon Pink/10 Romancero/10 Andrea/10 Linette /10 Yellow/10 Bronze/10 Orange/10 Burgundy/10 White (M/T)</v>
      </c>
      <c r="E6" s="15" t="str">
        <v>Blooming Box MO</v>
      </c>
      <c r="F6" s="16" t="str">
        <f ca="1"/>
        <v>Lun 19 Oct / Mar 20 Oct</v>
      </c>
      <c r="G6" s="16" t="str">
        <v>PO107268</v>
      </c>
      <c r="H6" s="13">
        <v>1.5483870967741935</v>
      </c>
      <c r="I6" s="16" t="str">
        <v>Florisol</v>
      </c>
      <c r="J6" s="76">
        <v>0.28016493055555547</v>
      </c>
      <c r="K6" s="476"/>
      <c r="M6" s="47" t="str" cm="1">
        <f t="array" ref="M6">SUMPRODUCT(IFERROR(VALUE(TRIM(LEFT(D4:D61,FIND("HB",D4:D61)-1))),0))&amp;" HB estan en orden fija"</f>
        <v>0 HB estan en orden fija</v>
      </c>
    </row>
    <row r="7" spans="1:13" x14ac:dyDescent="0.25">
      <c r="A7" s="479"/>
      <c r="B7" s="259"/>
      <c r="C7" s="14"/>
      <c r="D7" s="15"/>
      <c r="E7" s="15"/>
      <c r="F7" s="16"/>
      <c r="G7" s="16"/>
      <c r="H7" s="13"/>
      <c r="I7" s="16"/>
      <c r="J7" s="76"/>
      <c r="K7" s="476"/>
    </row>
    <row r="8" spans="1:13" x14ac:dyDescent="0.25">
      <c r="A8" s="479"/>
      <c r="B8" s="259"/>
      <c r="C8" s="14"/>
      <c r="D8" s="15"/>
      <c r="E8" s="15"/>
      <c r="F8" s="16"/>
      <c r="G8" s="16"/>
      <c r="H8" s="13"/>
      <c r="I8" s="16"/>
      <c r="J8" s="76"/>
      <c r="K8" s="476"/>
    </row>
    <row r="9" spans="1:13" x14ac:dyDescent="0.25">
      <c r="A9" s="479"/>
      <c r="B9" s="259"/>
      <c r="C9" s="14"/>
      <c r="D9" s="15"/>
      <c r="E9" s="15"/>
      <c r="F9" s="16"/>
      <c r="G9" s="16"/>
      <c r="H9" s="13"/>
      <c r="I9" s="16"/>
      <c r="J9" s="76"/>
      <c r="K9" s="476"/>
    </row>
    <row r="10" spans="1:13" x14ac:dyDescent="0.25">
      <c r="A10" s="479"/>
      <c r="B10" s="259"/>
      <c r="C10" s="14"/>
      <c r="D10" s="15"/>
      <c r="E10" s="15"/>
      <c r="F10" s="16"/>
      <c r="G10" s="16"/>
      <c r="H10" s="13"/>
      <c r="I10" s="16"/>
      <c r="J10" s="76"/>
      <c r="K10" s="476"/>
    </row>
    <row r="11" spans="1:13" x14ac:dyDescent="0.25">
      <c r="A11" s="479"/>
      <c r="B11" s="259"/>
      <c r="C11" s="14"/>
      <c r="D11" s="15"/>
      <c r="E11" s="15"/>
      <c r="F11" s="16"/>
      <c r="G11" s="16"/>
      <c r="H11" s="13"/>
      <c r="I11" s="16"/>
      <c r="J11" s="76"/>
      <c r="K11" s="476"/>
    </row>
    <row r="12" spans="1:13" x14ac:dyDescent="0.25">
      <c r="A12" s="479"/>
      <c r="B12" s="259"/>
      <c r="C12" s="14"/>
      <c r="D12" s="15"/>
      <c r="E12" s="15"/>
      <c r="F12" s="16"/>
      <c r="G12" s="16"/>
      <c r="H12" s="13"/>
      <c r="I12" s="16"/>
      <c r="J12" s="76"/>
      <c r="K12" s="476"/>
    </row>
    <row r="13" spans="1:13" x14ac:dyDescent="0.25">
      <c r="A13" s="479"/>
      <c r="B13" s="259"/>
      <c r="C13" s="14"/>
      <c r="D13" s="15"/>
      <c r="E13" s="15"/>
      <c r="F13" s="16"/>
      <c r="G13" s="16"/>
      <c r="H13" s="13"/>
      <c r="I13" s="16"/>
      <c r="J13" s="76"/>
      <c r="K13" s="476"/>
    </row>
    <row r="14" spans="1:13" x14ac:dyDescent="0.25">
      <c r="A14" s="479"/>
      <c r="B14" s="259"/>
      <c r="C14" s="3"/>
      <c r="D14" s="6"/>
      <c r="E14" s="6"/>
      <c r="F14" s="10"/>
      <c r="G14" s="10"/>
      <c r="H14" s="11"/>
      <c r="I14" s="10"/>
      <c r="J14" s="77"/>
      <c r="K14" s="476"/>
    </row>
    <row r="15" spans="1:13" x14ac:dyDescent="0.25">
      <c r="A15" s="479"/>
      <c r="B15" s="259"/>
      <c r="C15" s="3"/>
      <c r="D15" s="6"/>
      <c r="E15" s="6"/>
      <c r="F15" s="10"/>
      <c r="G15" s="10"/>
      <c r="H15" s="11"/>
      <c r="I15" s="10"/>
      <c r="J15" s="77"/>
      <c r="K15" s="476"/>
    </row>
    <row r="16" spans="1:13" x14ac:dyDescent="0.25">
      <c r="A16" s="479"/>
      <c r="B16" s="259"/>
      <c r="C16" s="3"/>
      <c r="D16" s="6"/>
      <c r="E16" s="6"/>
      <c r="F16" s="10"/>
      <c r="G16" s="10"/>
      <c r="H16" s="11"/>
      <c r="I16" s="10"/>
      <c r="J16" s="77"/>
      <c r="K16" s="476"/>
    </row>
    <row r="17" spans="1:11" x14ac:dyDescent="0.25">
      <c r="A17" s="479"/>
      <c r="B17" s="259"/>
      <c r="C17" s="3"/>
      <c r="D17" s="6"/>
      <c r="E17" s="6"/>
      <c r="F17" s="10"/>
      <c r="G17" s="10"/>
      <c r="H17" s="11"/>
      <c r="I17" s="10"/>
      <c r="J17" s="77"/>
      <c r="K17" s="476"/>
    </row>
    <row r="18" spans="1:11" x14ac:dyDescent="0.25">
      <c r="A18" s="479"/>
      <c r="B18" s="259"/>
      <c r="C18" s="3"/>
      <c r="D18" s="6"/>
      <c r="E18" s="6"/>
      <c r="F18" s="10"/>
      <c r="G18" s="10"/>
      <c r="H18" s="11"/>
      <c r="I18" s="10"/>
      <c r="J18" s="77"/>
      <c r="K18" s="476"/>
    </row>
    <row r="19" spans="1:11" x14ac:dyDescent="0.25">
      <c r="A19" s="479"/>
      <c r="B19" s="259"/>
      <c r="C19" s="3"/>
      <c r="D19" s="6"/>
      <c r="E19" s="6"/>
      <c r="F19" s="10"/>
      <c r="G19" s="10"/>
      <c r="H19" s="11"/>
      <c r="I19" s="10"/>
      <c r="J19" s="77"/>
      <c r="K19" s="476"/>
    </row>
    <row r="20" spans="1:11" x14ac:dyDescent="0.25">
      <c r="A20" s="479"/>
      <c r="B20" s="259"/>
      <c r="C20" s="3"/>
      <c r="D20" s="6"/>
      <c r="E20" s="6"/>
      <c r="F20" s="10"/>
      <c r="G20" s="10"/>
      <c r="H20" s="11"/>
      <c r="I20" s="10"/>
      <c r="J20" s="77"/>
      <c r="K20" s="476"/>
    </row>
    <row r="21" spans="1:11" x14ac:dyDescent="0.25">
      <c r="A21" s="479"/>
      <c r="B21" s="259"/>
      <c r="C21" s="3"/>
      <c r="D21" s="6"/>
      <c r="E21" s="6"/>
      <c r="F21" s="10"/>
      <c r="G21" s="10"/>
      <c r="H21" s="11"/>
      <c r="I21" s="10"/>
      <c r="J21" s="77"/>
      <c r="K21" s="476"/>
    </row>
    <row r="22" spans="1:11" x14ac:dyDescent="0.25">
      <c r="A22" s="479"/>
      <c r="B22" s="259"/>
      <c r="C22" s="3"/>
      <c r="D22" s="6"/>
      <c r="E22" s="334"/>
      <c r="G22" s="10"/>
      <c r="H22" s="11"/>
      <c r="I22" s="10"/>
      <c r="J22" s="77"/>
      <c r="K22" s="476"/>
    </row>
    <row r="23" spans="1:11" x14ac:dyDescent="0.25">
      <c r="A23" s="479"/>
      <c r="B23" s="259"/>
      <c r="C23" s="3"/>
      <c r="D23" s="6"/>
      <c r="E23" s="6"/>
      <c r="F23" s="10"/>
      <c r="G23" s="10"/>
      <c r="H23" s="11"/>
      <c r="I23" s="10"/>
      <c r="J23" s="77"/>
      <c r="K23" s="476"/>
    </row>
    <row r="24" spans="1:11" x14ac:dyDescent="0.25">
      <c r="A24" s="479"/>
      <c r="B24" s="259"/>
      <c r="C24" s="3"/>
      <c r="D24" s="6"/>
      <c r="E24" s="6"/>
      <c r="F24" s="10"/>
      <c r="G24" s="10"/>
      <c r="H24" s="11"/>
      <c r="I24" s="10"/>
      <c r="J24" s="77"/>
      <c r="K24" s="476"/>
    </row>
    <row r="25" spans="1:11" x14ac:dyDescent="0.25">
      <c r="A25" s="479"/>
      <c r="B25" s="259"/>
      <c r="C25" s="3"/>
      <c r="D25" s="6"/>
      <c r="E25" s="6"/>
      <c r="F25" s="10"/>
      <c r="G25" s="10"/>
      <c r="H25" s="11"/>
      <c r="I25" s="10"/>
      <c r="J25" s="77"/>
      <c r="K25" s="476"/>
    </row>
    <row r="26" spans="1:11" x14ac:dyDescent="0.25">
      <c r="A26" s="479"/>
      <c r="B26" s="259"/>
      <c r="C26" s="3"/>
      <c r="D26" s="6"/>
      <c r="E26" s="6"/>
      <c r="F26" s="10"/>
      <c r="G26" s="10"/>
      <c r="H26" s="11"/>
      <c r="I26" s="10"/>
      <c r="J26" s="77"/>
      <c r="K26" s="476"/>
    </row>
    <row r="27" spans="1:11" x14ac:dyDescent="0.25">
      <c r="A27" s="479"/>
      <c r="B27" s="259"/>
      <c r="C27" s="3"/>
      <c r="D27" s="6"/>
      <c r="E27" s="6"/>
      <c r="F27" s="10"/>
      <c r="G27" s="10"/>
      <c r="H27" s="11"/>
      <c r="I27" s="10"/>
      <c r="J27" s="77"/>
      <c r="K27" s="476"/>
    </row>
    <row r="28" spans="1:11" x14ac:dyDescent="0.25">
      <c r="A28" s="479"/>
      <c r="B28" s="259"/>
      <c r="C28" s="3"/>
      <c r="D28" s="6"/>
      <c r="E28" s="6"/>
      <c r="F28" s="10"/>
      <c r="G28" s="10"/>
      <c r="H28" s="11"/>
      <c r="I28" s="10"/>
      <c r="J28" s="77"/>
      <c r="K28" s="476"/>
    </row>
    <row r="29" spans="1:11" x14ac:dyDescent="0.25">
      <c r="A29" s="479"/>
      <c r="B29" s="259"/>
      <c r="C29" s="3"/>
      <c r="D29" s="6"/>
      <c r="E29" s="6"/>
      <c r="F29" s="10"/>
      <c r="G29" s="10"/>
      <c r="H29" s="11"/>
      <c r="I29" s="10"/>
      <c r="J29" s="77"/>
      <c r="K29" s="476"/>
    </row>
    <row r="30" spans="1:11" x14ac:dyDescent="0.25">
      <c r="A30" s="479"/>
      <c r="B30" s="259"/>
      <c r="C30" s="3"/>
      <c r="D30" s="6"/>
      <c r="E30" s="6"/>
      <c r="F30" s="10"/>
      <c r="G30" s="10"/>
      <c r="H30" s="11"/>
      <c r="I30" s="10"/>
      <c r="J30" s="77"/>
      <c r="K30" s="476"/>
    </row>
    <row r="31" spans="1:11" x14ac:dyDescent="0.25">
      <c r="A31" s="479"/>
      <c r="B31" s="259"/>
      <c r="C31" s="3"/>
      <c r="D31" s="6"/>
      <c r="E31" s="6"/>
      <c r="F31" s="10"/>
      <c r="G31" s="10"/>
      <c r="H31" s="11"/>
      <c r="I31" s="10"/>
      <c r="J31" s="77"/>
      <c r="K31" s="476"/>
    </row>
    <row r="32" spans="1:11" x14ac:dyDescent="0.25">
      <c r="A32" s="479"/>
      <c r="B32" s="259"/>
      <c r="C32" s="3"/>
      <c r="D32" s="6"/>
      <c r="E32" s="6"/>
      <c r="F32" s="10"/>
      <c r="G32" s="10"/>
      <c r="H32" s="11"/>
      <c r="I32" s="10"/>
      <c r="J32" s="77"/>
      <c r="K32" s="476"/>
    </row>
    <row r="33" spans="1:11" x14ac:dyDescent="0.25">
      <c r="A33" s="479"/>
      <c r="B33" s="259"/>
      <c r="C33" s="3"/>
      <c r="D33" s="6"/>
      <c r="E33" s="6"/>
      <c r="F33" s="10"/>
      <c r="G33" s="10"/>
      <c r="H33" s="11"/>
      <c r="I33" s="10"/>
      <c r="J33" s="77"/>
      <c r="K33" s="476"/>
    </row>
    <row r="34" spans="1:11" x14ac:dyDescent="0.25">
      <c r="A34" s="479"/>
      <c r="B34" s="259"/>
      <c r="C34" s="3"/>
      <c r="D34" s="6"/>
      <c r="E34" s="6"/>
      <c r="F34" s="10"/>
      <c r="G34" s="10"/>
      <c r="H34" s="11"/>
      <c r="I34" s="10"/>
      <c r="J34" s="77"/>
      <c r="K34" s="476"/>
    </row>
    <row r="35" spans="1:11" x14ac:dyDescent="0.25">
      <c r="A35" s="479"/>
      <c r="B35" s="259"/>
      <c r="C35" s="3"/>
      <c r="D35" s="6"/>
      <c r="E35" s="6"/>
      <c r="F35" s="10"/>
      <c r="G35" s="10"/>
      <c r="H35" s="11"/>
      <c r="I35" s="10"/>
      <c r="J35" s="77"/>
      <c r="K35" s="476"/>
    </row>
    <row r="36" spans="1:11" x14ac:dyDescent="0.25">
      <c r="A36" s="479"/>
      <c r="B36" s="259"/>
      <c r="C36" s="3"/>
      <c r="D36" s="6"/>
      <c r="E36" s="6"/>
      <c r="F36" s="10"/>
      <c r="G36" s="10"/>
      <c r="H36" s="11"/>
      <c r="I36" s="10"/>
      <c r="J36" s="77"/>
      <c r="K36" s="476"/>
    </row>
    <row r="37" spans="1:11" x14ac:dyDescent="0.25">
      <c r="A37" s="479"/>
      <c r="B37" s="259"/>
      <c r="C37" s="3"/>
      <c r="D37" s="6"/>
      <c r="E37" s="6"/>
      <c r="F37" s="10"/>
      <c r="G37" s="10"/>
      <c r="H37" s="11"/>
      <c r="I37" s="10"/>
      <c r="J37" s="77"/>
      <c r="K37" s="476"/>
    </row>
    <row r="38" spans="1:11" x14ac:dyDescent="0.25">
      <c r="A38" s="479"/>
      <c r="B38" s="259"/>
      <c r="C38" s="3"/>
      <c r="D38" s="6"/>
      <c r="E38" s="6"/>
      <c r="F38" s="10"/>
      <c r="G38" s="10"/>
      <c r="H38" s="11"/>
      <c r="I38" s="10"/>
      <c r="J38" s="77"/>
      <c r="K38" s="476"/>
    </row>
    <row r="39" spans="1:11" x14ac:dyDescent="0.25">
      <c r="A39" s="479"/>
      <c r="B39" s="259"/>
      <c r="C39" s="3"/>
      <c r="D39" s="6"/>
      <c r="E39" s="6"/>
      <c r="F39" s="10"/>
      <c r="G39" s="10"/>
      <c r="H39" s="11"/>
      <c r="I39" s="10"/>
      <c r="J39" s="77"/>
      <c r="K39" s="476"/>
    </row>
    <row r="40" spans="1:11" x14ac:dyDescent="0.25">
      <c r="A40" s="479"/>
      <c r="B40" s="259"/>
      <c r="C40" s="3"/>
      <c r="D40" s="6"/>
      <c r="E40" s="6"/>
      <c r="F40" s="10"/>
      <c r="G40" s="10"/>
      <c r="H40" s="11"/>
      <c r="I40" s="10"/>
      <c r="J40" s="77"/>
      <c r="K40" s="476"/>
    </row>
    <row r="41" spans="1:11" x14ac:dyDescent="0.25">
      <c r="A41" s="479"/>
      <c r="B41" s="259"/>
      <c r="C41" s="3"/>
      <c r="D41" s="6"/>
      <c r="E41" s="6"/>
      <c r="F41" s="10"/>
      <c r="G41" s="10"/>
      <c r="H41" s="11"/>
      <c r="I41" s="10"/>
      <c r="J41" s="77"/>
      <c r="K41" s="476"/>
    </row>
    <row r="42" spans="1:11" x14ac:dyDescent="0.25">
      <c r="A42" s="479"/>
      <c r="B42" s="259"/>
      <c r="C42" s="3"/>
      <c r="D42" s="6"/>
      <c r="E42" s="6"/>
      <c r="F42" s="10"/>
      <c r="G42" s="10"/>
      <c r="H42" s="11"/>
      <c r="I42" s="10"/>
      <c r="J42" s="77"/>
      <c r="K42" s="476"/>
    </row>
    <row r="43" spans="1:11" x14ac:dyDescent="0.25">
      <c r="A43" s="479"/>
      <c r="B43" s="259"/>
      <c r="C43" s="3"/>
      <c r="D43" s="6"/>
      <c r="E43" s="6"/>
      <c r="F43" s="10"/>
      <c r="G43" s="10"/>
      <c r="H43" s="11"/>
      <c r="I43" s="10"/>
      <c r="J43" s="77"/>
      <c r="K43" s="476"/>
    </row>
    <row r="44" spans="1:11" x14ac:dyDescent="0.25">
      <c r="A44" s="479"/>
      <c r="B44" s="259"/>
      <c r="C44" s="3"/>
      <c r="D44" s="6"/>
      <c r="E44" s="6"/>
      <c r="F44" s="10"/>
      <c r="G44" s="10"/>
      <c r="H44" s="11"/>
      <c r="I44" s="10"/>
      <c r="J44" s="77"/>
      <c r="K44" s="476"/>
    </row>
    <row r="45" spans="1:11" x14ac:dyDescent="0.25">
      <c r="A45" s="479"/>
      <c r="B45" s="259"/>
      <c r="C45" s="3"/>
      <c r="D45" s="6"/>
      <c r="E45" s="6"/>
      <c r="F45" s="10"/>
      <c r="G45" s="10"/>
      <c r="H45" s="11"/>
      <c r="I45" s="10"/>
      <c r="J45" s="77"/>
      <c r="K45" s="476"/>
    </row>
    <row r="46" spans="1:11" x14ac:dyDescent="0.25">
      <c r="A46" s="479"/>
      <c r="B46" s="259"/>
      <c r="C46" s="3"/>
      <c r="D46" s="6"/>
      <c r="E46" s="6"/>
      <c r="F46" s="10"/>
      <c r="G46" s="10"/>
      <c r="H46" s="11"/>
      <c r="I46" s="10"/>
      <c r="J46" s="77"/>
      <c r="K46" s="476"/>
    </row>
    <row r="47" spans="1:11" x14ac:dyDescent="0.25">
      <c r="A47" s="479"/>
      <c r="B47" s="259"/>
      <c r="C47" s="3"/>
      <c r="D47" s="6"/>
      <c r="E47" s="6"/>
      <c r="F47" s="10"/>
      <c r="G47" s="10"/>
      <c r="H47" s="11"/>
      <c r="I47" s="10"/>
      <c r="J47" s="77"/>
      <c r="K47" s="476"/>
    </row>
    <row r="48" spans="1:11" x14ac:dyDescent="0.25">
      <c r="A48" s="479"/>
      <c r="B48" s="259"/>
      <c r="C48" s="3"/>
      <c r="D48" s="6"/>
      <c r="E48" s="6"/>
      <c r="F48" s="10"/>
      <c r="G48" s="10"/>
      <c r="H48" s="11"/>
      <c r="I48" s="10"/>
      <c r="J48" s="77"/>
      <c r="K48" s="476"/>
    </row>
    <row r="49" spans="1:11" x14ac:dyDescent="0.25">
      <c r="A49" s="479"/>
      <c r="B49" s="259"/>
      <c r="C49" s="3"/>
      <c r="D49" s="6"/>
      <c r="E49" s="6"/>
      <c r="F49" s="10"/>
      <c r="G49" s="10"/>
      <c r="H49" s="11"/>
      <c r="I49" s="10"/>
      <c r="J49" s="77"/>
      <c r="K49" s="476"/>
    </row>
    <row r="50" spans="1:11" x14ac:dyDescent="0.25">
      <c r="A50" s="479"/>
      <c r="B50" s="259"/>
      <c r="C50" s="3"/>
      <c r="D50" s="6"/>
      <c r="E50" s="6"/>
      <c r="F50" s="10"/>
      <c r="G50" s="10"/>
      <c r="H50" s="11"/>
      <c r="I50" s="10"/>
      <c r="J50" s="77"/>
      <c r="K50" s="476"/>
    </row>
    <row r="51" spans="1:11" x14ac:dyDescent="0.25">
      <c r="A51" s="479"/>
      <c r="B51" s="259"/>
      <c r="C51" s="3"/>
      <c r="D51" s="6"/>
      <c r="E51" s="6"/>
      <c r="F51" s="10"/>
      <c r="G51" s="10"/>
      <c r="H51" s="11"/>
      <c r="I51" s="10"/>
      <c r="J51" s="77"/>
      <c r="K51" s="476"/>
    </row>
    <row r="52" spans="1:11" x14ac:dyDescent="0.25">
      <c r="A52" s="479"/>
      <c r="B52" s="259"/>
      <c r="C52" s="3"/>
      <c r="D52" s="6"/>
      <c r="E52" s="6"/>
      <c r="F52" s="10"/>
      <c r="G52" s="10"/>
      <c r="H52" s="11"/>
      <c r="I52" s="10"/>
      <c r="J52" s="77"/>
      <c r="K52" s="476"/>
    </row>
    <row r="53" spans="1:11" x14ac:dyDescent="0.25">
      <c r="A53" s="479"/>
      <c r="B53" s="259"/>
      <c r="C53" s="3"/>
      <c r="D53" s="6"/>
      <c r="E53" s="6"/>
      <c r="F53" s="10"/>
      <c r="G53" s="10"/>
      <c r="H53" s="11"/>
      <c r="I53" s="10"/>
      <c r="J53" s="77"/>
      <c r="K53" s="476"/>
    </row>
    <row r="54" spans="1:11" x14ac:dyDescent="0.25">
      <c r="A54" s="479"/>
      <c r="B54" s="259"/>
      <c r="C54" s="3"/>
      <c r="D54" s="6"/>
      <c r="E54" s="6"/>
      <c r="F54" s="10"/>
      <c r="G54" s="10"/>
      <c r="H54" s="11"/>
      <c r="I54" s="10"/>
      <c r="J54" s="77"/>
      <c r="K54" s="476"/>
    </row>
    <row r="55" spans="1:11" x14ac:dyDescent="0.25">
      <c r="A55" s="479"/>
      <c r="B55" s="259"/>
      <c r="C55" s="3"/>
      <c r="D55" s="6"/>
      <c r="E55" s="6"/>
      <c r="F55" s="10"/>
      <c r="G55" s="10"/>
      <c r="H55" s="11"/>
      <c r="I55" s="10"/>
      <c r="J55" s="77"/>
      <c r="K55" s="476"/>
    </row>
    <row r="56" spans="1:11" x14ac:dyDescent="0.25">
      <c r="A56" s="479"/>
      <c r="B56" s="259"/>
      <c r="C56" s="3"/>
      <c r="D56" s="6"/>
      <c r="E56" s="6"/>
      <c r="F56" s="10"/>
      <c r="G56" s="10"/>
      <c r="H56" s="11"/>
      <c r="I56" s="10"/>
      <c r="J56" s="77"/>
      <c r="K56" s="476"/>
    </row>
    <row r="57" spans="1:11" x14ac:dyDescent="0.25">
      <c r="A57" s="479"/>
      <c r="B57" s="259"/>
      <c r="C57" s="3"/>
      <c r="D57" s="6"/>
      <c r="E57" s="6"/>
      <c r="F57" s="10"/>
      <c r="G57" s="10"/>
      <c r="H57" s="11"/>
      <c r="I57" s="10"/>
      <c r="J57" s="77"/>
      <c r="K57" s="476"/>
    </row>
    <row r="58" spans="1:11" x14ac:dyDescent="0.25">
      <c r="A58" s="479"/>
      <c r="B58" s="259"/>
      <c r="C58" s="3"/>
      <c r="D58" s="6"/>
      <c r="E58" s="6"/>
      <c r="F58" s="10"/>
      <c r="G58" s="10"/>
      <c r="H58" s="11"/>
      <c r="I58" s="10"/>
      <c r="J58" s="77"/>
      <c r="K58" s="476"/>
    </row>
    <row r="59" spans="1:11" x14ac:dyDescent="0.25">
      <c r="A59" s="479"/>
      <c r="B59" s="259"/>
      <c r="C59" s="3"/>
      <c r="D59" s="6"/>
      <c r="E59" s="6"/>
      <c r="F59" s="10"/>
      <c r="G59" s="10"/>
      <c r="H59" s="11"/>
      <c r="I59" s="10"/>
      <c r="J59" s="77"/>
      <c r="K59" s="476"/>
    </row>
    <row r="60" spans="1:11" x14ac:dyDescent="0.25">
      <c r="A60" s="479"/>
      <c r="B60" s="259"/>
      <c r="C60" s="3"/>
      <c r="D60" s="6"/>
      <c r="E60" s="6"/>
      <c r="F60" s="10"/>
      <c r="G60" s="10"/>
      <c r="H60" s="11"/>
      <c r="I60" s="10"/>
      <c r="J60" s="77"/>
      <c r="K60" s="476"/>
    </row>
    <row r="61" spans="1:11" x14ac:dyDescent="0.25">
      <c r="A61" s="479"/>
      <c r="B61" s="259"/>
      <c r="C61" s="3"/>
      <c r="D61" s="6"/>
      <c r="E61" s="6"/>
      <c r="F61" s="10"/>
      <c r="G61" s="10"/>
      <c r="H61" s="11"/>
      <c r="I61" s="10"/>
      <c r="J61" s="77"/>
      <c r="K61" s="476"/>
    </row>
    <row r="62" spans="1:11" ht="6.75" customHeight="1" x14ac:dyDescent="0.25">
      <c r="A62" s="479"/>
      <c r="B62" s="258"/>
      <c r="C62" s="482"/>
      <c r="D62" s="482"/>
      <c r="E62" s="482"/>
      <c r="F62" s="40"/>
      <c r="G62" s="40"/>
      <c r="H62" s="41"/>
      <c r="I62" s="40"/>
      <c r="J62" s="78"/>
      <c r="K62" s="476"/>
    </row>
    <row r="63" spans="1:11" x14ac:dyDescent="0.25">
      <c r="A63" s="479"/>
      <c r="B63" s="258"/>
      <c r="C63" s="483" t="str" cm="1">
        <f t="array" ref="C63">"Nota: (" &amp; SUMPRODUCT(IFERROR(VALUE(LEFT(D4:D61,FIND(" ",D4:D61)-1)),0)*(C4:C61="Everyweek")) + SUMPRODUCT(IFERROR(VALUE(LEFT(D4:D61,FIND(" ",D4:D61)-1)),0)*((C4:C61="Biweekly (Par)")+(C4:C61="Biweekly (Impar)"))) &amp; ") Ordenes Fijas. (" &amp; SUMPRODUCT(IFERROR(VALUE(LEFT(D4:D61,FIND(" ",D4:D61)-1)),0)*(C4:C61="Everyweek")) &amp; ") Ordenes Semanales. (" &amp; SUMPRODUCT(IFERROR(VALUE(LEFT(D4:D61,FIND(" ",D4:D61)-1)),0)*((C4:C61="Biweekly (Par)")+(C4:C61="Biweekly (Impar)"))) &amp; ") Ordenes Cada 15 días."</f>
        <v>Nota: (4) Ordenes Fijas. (1) Ordenes Semanales. (3) Ordenes Cada 15 días.</v>
      </c>
      <c r="D63" s="483"/>
      <c r="E63" s="484"/>
      <c r="F63" s="10"/>
      <c r="G63" s="10"/>
      <c r="H63" s="11"/>
      <c r="I63" s="10"/>
      <c r="J63" s="77"/>
      <c r="K63" s="476"/>
    </row>
    <row r="64" spans="1:11" ht="6" customHeight="1" x14ac:dyDescent="0.25">
      <c r="A64" s="480"/>
      <c r="B64" s="260"/>
      <c r="C64" s="485"/>
      <c r="D64" s="485"/>
      <c r="E64" s="485"/>
      <c r="F64" s="42"/>
      <c r="G64" s="42"/>
      <c r="H64" s="43"/>
      <c r="I64" s="42"/>
      <c r="J64" s="79"/>
      <c r="K64" s="477"/>
    </row>
  </sheetData>
  <mergeCells count="7">
    <mergeCell ref="K1:K64"/>
    <mergeCell ref="A1:A64"/>
    <mergeCell ref="C1:E1"/>
    <mergeCell ref="C62:E62"/>
    <mergeCell ref="C63:E63"/>
    <mergeCell ref="C64:E64"/>
    <mergeCell ref="C2:D2"/>
  </mergeCells>
  <conditionalFormatting sqref="J1:J1048576">
    <cfRule type="expression" dxfId="0" priority="1">
      <formula>AND(J1&lt;&gt;"",J1&lt;20%)</formula>
    </cfRule>
  </conditionalFormatting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9C6C3B17-318F-4731-8C60-43FFF00791D7}">
          <x14:formula1>
            <xm:f>Guias!$O$8:$O$13</xm:f>
          </x14:formula1>
          <xm:sqref>J2</xm:sqref>
        </x14:dataValidation>
        <x14:dataValidation type="list" allowBlank="1" showInputMessage="1" showErrorMessage="1" xr:uid="{21378933-B774-4752-A21E-54C21BA12FE0}">
          <x14:formula1>
            <xm:f>Guias!$I$2:$I$21</xm:f>
          </x14:formula1>
          <xm:sqref>C2:D2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38AA-0385-4E2C-A18F-9B7C33CD909A}">
  <sheetPr codeName="Sheet6">
    <tabColor rgb="FFF98FC4"/>
    <pageSetUpPr fitToPage="1"/>
  </sheetPr>
  <dimension ref="A1:AH56"/>
  <sheetViews>
    <sheetView zoomScaleNormal="100" workbookViewId="0">
      <selection activeCell="C3" sqref="C3:I22"/>
    </sheetView>
  </sheetViews>
  <sheetFormatPr defaultColWidth="8.85546875" defaultRowHeight="15" x14ac:dyDescent="0.25"/>
  <cols>
    <col min="1" max="1" width="1.42578125" style="48" customWidth="1"/>
    <col min="2" max="2" width="13" style="265" customWidth="1"/>
    <col min="3" max="3" width="5.140625" style="48" bestFit="1" customWidth="1"/>
    <col min="4" max="4" width="4.5703125" style="48" bestFit="1" customWidth="1"/>
    <col min="5" max="5" width="6.42578125" style="49" bestFit="1" customWidth="1"/>
    <col min="6" max="6" width="93" style="48" bestFit="1" customWidth="1"/>
    <col min="7" max="7" width="9.42578125" style="48" customWidth="1"/>
    <col min="8" max="8" width="20.85546875" style="50" customWidth="1"/>
    <col min="9" max="9" width="10.140625" style="51" customWidth="1"/>
    <col min="10" max="10" width="12.7109375" style="51" customWidth="1"/>
    <col min="11" max="11" width="40.5703125" style="48" bestFit="1" customWidth="1"/>
    <col min="12" max="13" width="1.140625" style="48" customWidth="1"/>
    <col min="14" max="14" width="25" style="48" customWidth="1"/>
    <col min="15" max="15" width="14.42578125" style="48" bestFit="1" customWidth="1"/>
    <col min="16" max="17" width="13.7109375" style="48" bestFit="1" customWidth="1"/>
    <col min="18" max="19" width="17.5703125" style="48" bestFit="1" customWidth="1"/>
    <col min="20" max="21" width="13" style="48" bestFit="1" customWidth="1"/>
    <col min="22" max="16384" width="8.85546875" style="48"/>
  </cols>
  <sheetData>
    <row r="1" spans="1:34" ht="6.75" customHeight="1" x14ac:dyDescent="0.25">
      <c r="A1" s="167"/>
      <c r="B1" s="261"/>
      <c r="C1" s="168"/>
      <c r="D1" s="169"/>
      <c r="E1" s="169"/>
      <c r="F1" s="170"/>
      <c r="G1" s="168"/>
      <c r="H1" s="171"/>
      <c r="I1" s="81"/>
      <c r="J1" s="81"/>
      <c r="K1" s="168"/>
      <c r="L1" s="172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</row>
    <row r="2" spans="1:34" ht="16.5" customHeight="1" thickBot="1" x14ac:dyDescent="0.3">
      <c r="A2" s="174"/>
      <c r="B2" s="262"/>
      <c r="C2" s="175"/>
      <c r="D2" s="176"/>
      <c r="E2" s="65" t="s">
        <v>897</v>
      </c>
      <c r="F2" s="82" t="s">
        <v>236</v>
      </c>
      <c r="G2" s="65" t="s">
        <v>898</v>
      </c>
      <c r="H2" s="82">
        <f>Guias!M2</f>
        <v>42</v>
      </c>
      <c r="I2" s="83" t="s">
        <v>889</v>
      </c>
      <c r="J2" s="177" t="s">
        <v>483</v>
      </c>
      <c r="K2" s="178"/>
      <c r="L2" s="179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3"/>
    </row>
    <row r="3" spans="1:34" ht="15" customHeight="1" x14ac:dyDescent="0.25">
      <c r="A3" s="174"/>
      <c r="B3" s="256" t="s">
        <v>890</v>
      </c>
      <c r="C3" s="84" t="s">
        <v>899</v>
      </c>
      <c r="D3" s="84" t="s">
        <v>15</v>
      </c>
      <c r="E3" s="84" t="s">
        <v>900</v>
      </c>
      <c r="F3" s="84" t="s">
        <v>901</v>
      </c>
      <c r="G3" s="84" t="s">
        <v>902</v>
      </c>
      <c r="H3" s="85" t="s">
        <v>485</v>
      </c>
      <c r="I3" s="84" t="s">
        <v>562</v>
      </c>
      <c r="J3" s="132" t="s">
        <v>903</v>
      </c>
      <c r="K3" s="86" t="s">
        <v>904</v>
      </c>
      <c r="L3" s="179"/>
      <c r="M3" s="173"/>
      <c r="N3" s="87" t="s">
        <v>896</v>
      </c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 cm="1">
        <f t="array" ref="AA3:AH21">_xlfn.LET(
_xlpm.id,F2,
_xlpm.colC,_xlfn.MAP(_xlfn._xlws.FILTER(test!B:B,test!A:A=_xlpm.id),_xlfn.LAMBDA(_xlpm.x,IFERROR(_xlpm.x,"[N/A]"))),
_xlpm.colD,_xlfn.MAP(_xlfn._xlws.FILTER(test!C:C,test!A:A=_xlpm.id),_xlfn.LAMBDA(_xlpm.x,IFERROR(_xlpm.x,"[N/A]"))),
_xlpm.colE,_xlfn.MAP(
_xlfn._xlws.FILTER(test!D:D,test!A:A=_xlpm.id),
_xlfn._xlws.FILTER(test!G:G,test!A:A=_xlpm.id),
_xlfn.LAMBDA(_xlpm.d,_xlpm.g,
IFERROR(
IF(_xlpm.d=1,
LEFT(_xlfn.REGEXEXTRACT(CLEAN(TRIM(_xlpm.g)),"(\d+)\s*\("),
LEN(_xlfn.REGEXEXTRACT(CLEAN(TRIM(_xlpm.g)),"(\d+)\s*\("))-2),
_xlpm.d),
"[N/A]")
)),
_xlpm.colF,_xlfn.MAP(_xlfn._xlws.FILTER(test!F:F,test!A:A=_xlpm.id),_xlfn._xlws.FILTER(test!G:G,test!A:A=_xlpm.id),_xlfn.LAMBDA(_xlpm.f,_xlpm.g,_xlpm.f&amp;" "&amp;_xlpm.g)),
_xlpm.colH,_xlfn.MAP(_xlfn._xlws.FILTER(test!M:M,test!A:A=_xlpm.id),_xlfn.LAMBDA(_xlpm.x,IFERROR(_xlpm.x,"[N/A]"))),
_xlpm.colI,_xlfn.MAP(_xlfn._xlws.FILTER(test!H:H,test!A:A=_xlpm.id),_xlfn.LAMBDA(_xlpm.x,IFERROR(_xlpm.x,"[N/A]"))),
_xlpm.colJ,_xlfn.MAP(_xlfn._xlws.FILTER(test!AC:AC,test!A:A=_xlpm.id),_xlfn.LAMBDA(_xlpm.x,IFERROR(IF(_xlpm.x="","",_xlpm.x),"[N/A]"))),
_xlpm.colK,_xlfn.MAP(_xlfn._xlws.FILTER(test!AD:AD,test!A:A=_xlpm.id),_xlfn.LAMBDA(_xlpm.x,IF(_xlpm.x=""," ",_xlpm.x))),
_xlpm.base,_xlfn.HSTACK(_xlpm.colC,_xlpm.colD,_xlpm.colE,_xlpm.colF,_xlpm.colH,_xlpm.colI,_xlpm.colJ,_xlpm.colK),
IF(J2="Cantidad",
_xlfn.SORTBY(_xlpm.base,_xlpm.colC,-1,_xlpm.colE,-1),
IF(J2="PO",
_xlfn.SORTBY(_xlpm.base,_xlpm.colI,1),
IF(J2="Cliente",
_xlfn.SORTBY(_xlpm.base,_xlpm.colK,1),
_xlpm.base)))
)</f>
        <v>1</v>
      </c>
      <c r="AB3" s="173" t="str">
        <v>QB</v>
      </c>
      <c r="AC3" s="173">
        <v>125</v>
      </c>
      <c r="AD3" s="173" t="str">
        <v>Roses 50/60cm Fortune (T/W)</v>
      </c>
      <c r="AE3" s="173">
        <v>46310</v>
      </c>
      <c r="AF3" s="173" t="str">
        <v>PO107329</v>
      </c>
      <c r="AG3" s="173" t="str">
        <v/>
      </c>
      <c r="AH3" s="173" t="str">
        <v>0 Cesar [Joss - Filogonia Lopez]</v>
      </c>
    </row>
    <row r="4" spans="1:34" x14ac:dyDescent="0.25">
      <c r="A4" s="174"/>
      <c r="B4" s="263" t="str" cm="1">
        <f t="array" ref="B4:B22">_xlfn.LET(
_xlpm.id, $F$2,
_xlpm.colOrden, _xlfn.MAP(_xlfn._xlws.FILTER(_xlfn.SEQUENCE(ROWS(Main[Finca])), Main[Finca]=_xlpm.id), _xlfn.LAMBDA(_xlpm.idx, "Order #" &amp; (_xlpm.idx+1))),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_xlfn.HSTACK(_xlpm.colOrden,_xlpm.colC,_xlpm.colD,_xlpm.colE,_xlpm.colF,_xlpm.colH,_xlpm.colI,_xlpm.colJ,_xlpm.colK),
_xlpm.sorted, IF($J$2="Cantidad", _xlfn.SORTBY(_xlpm.base,_xlpm.colC,-1,_xlpm.colE,-1), IF($J$2="PO", _xlfn.SORTBY(_xlpm.base,_xlpm.colI,1), IF($J$2="Cliente", _xlfn.SORTBY(_xlpm.base,_xlpm.colK,1), IF($J$2="Fecha", _xlfn.SORTBY(_xlpm.base,_xlpm.colH,1), _xlpm.base)))),
_xlfn.CHOOSECOLS(_xlpm.sorted,1)
)</f>
        <v>Order #179</v>
      </c>
      <c r="C4" s="66" cm="1">
        <f t="array" ref="C4:C22">_xlfn.LET(
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
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_xlfn.CHOOSECOLS(_xlpm.sorted,1)
)</f>
        <v>1</v>
      </c>
      <c r="D4" s="218" t="str" cm="1">
        <f t="array" ref="D4:D22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_xlfn.CHOOSECOLS(_xlpm.sorted,2)
)</f>
        <v>QB</v>
      </c>
      <c r="E4" s="176" cm="1">
        <f t="array" ref="E4:E22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_xlfn.CHOOSECOLS(_xlpm.sorted,3)
)</f>
        <v>125</v>
      </c>
      <c r="F4" s="175" t="str" cm="1">
        <f t="array" ref="F4:F22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_xlfn.CHOOSECOLS(_xlpm.sorted,4)
)</f>
        <v>Roses 50/60cm Fortune (M/T)</v>
      </c>
      <c r="G4" s="180">
        <f>IF(AND(C4&lt;&gt;"",E4&lt;&gt;""),C4*E4,"")</f>
        <v>125</v>
      </c>
      <c r="H4" s="181" cm="1">
        <f t="array" ref="H4:H22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_xlfn.CHOOSECOLS(_xlpm.sorted,5)
)</f>
        <v>46309</v>
      </c>
      <c r="I4" s="88" t="str" cm="1">
        <f t="array" ref="I4:I22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_xlfn.CHOOSECOLS(_xlpm.sorted,6)
)</f>
        <v>PO107331</v>
      </c>
      <c r="J4" s="133" t="str" cm="1">
        <f t="array" ref="J4:J22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_xlfn.CHOOSECOLS(_xlpm.sorted,7)
)</f>
        <v/>
      </c>
      <c r="K4" s="182" t="str" cm="1">
        <f t="array" ref="K4:K22">_xlfn.LET(_xlpm.id, $F$2,
_xlpm.colC, _xlfn.MAP(_xlfn._xlws.FILTER(Main[Qty], Main[Finca]=_xlpm.id), _xlfn.LAMBDA(_xlpm.x, IFERROR(_xlpm.x, "[N/A]"))),
_xlpm.colD, _xlfn.MAP(_xlfn._xlws.FILTER(Main[Type of Box], Main[Finca]=_xlpm.id), _xlfn.LAMBDA(_xlpm.x, IFERROR(_xlpm.x, "[N/A]"))),
_xlpm.colE, _xlfn.MAP(_xlfn._xlws.FILTER(Main[Cantidad_Min], Main[Finca]=_xlpm.id), _xlfn._xlws.FILTER(Main[Nombre], Main[Finca]=_xlpm.id), _xlfn.LAMBDA(_xlpm.d,_xlpm.g, IFERROR(IF(_xlpm.d=1, LEFT(_xlfn.REGEXEXTRACT(CLEAN(TRIM(_xlpm.g)), "(\d+)\s*\("), LEN(_xlfn.REGEXEXTRACT(CLEAN(TRIM(_xlpm.g)), "(\d+)\s*\("))-2), _xlpm.d), "[N/A]"))),
_xlpm.colF, _xlfn.MAP(_xlfn._xlws.FILTER(Main[Variedad], Main[Finca]=_xlpm.id), _xlfn._xlws.FILTER(Main[Nombre], Main[Finca]=_xlpm.id), _xlfn.LAMBDA(_xlpm.f,_xlpm.g, _xlpm.f&amp;" "&amp;_xlpm.g)),
_xlpm.colH, _xlfn.MAP(_xlfn._xlws.FILTER(Main[FechaEntrega], Main[Finca]=_xlpm.id), _xlfn.LAMBDA(_xlpm.x, IFERROR(_xlpm.x, "[N/A]"))),
_xlpm.colI, _xlfn.MAP(_xlfn._xlws.FILTER(Main[Color], Main[Finca]=_xlpm.id), _xlfn.LAMBDA(_xlpm.x, IFERROR(_xlpm.x, "[N/A]"))),
_xlpm.colJ, _xlfn.MAP(_xlfn._xlws.FILTER(Main[Comments], Main[Finca]=_xlpm.id), _xlfn.LAMBDA(_xlpm.x, IFERROR(IF(_xlpm.x="", "", _xlpm.x), "[N/A]"))),
_xlpm.colK, _xlfn.MAP(_xlfn._xlws.FILTER(Main[Standing Orders], Main[Finca]=_xlpm.id), _xlfn.LAMBDA(_xlpm.x, IF(_xlpm.x="", " ", _xlpm.x))),
_xlpm.base, _xlfn.HSTACK(_xlpm.colC,_xlpm.colD,_xlpm.colE,_xlpm.colF,_xlpm.colH,_xlpm.colI,_xlpm.colJ,_xlpm.colK),
_xlpm.sorted, IF($J$2="Cantidad", _xlfn.SORTBY(_xlpm.base,_xlpm.colC,-1,_xlpm.colE,-1),
IF($J$2="PO", _xlfn.SORTBY(_xlpm.base,_xlpm.colI,1),
IF($J$2="Cliente", _xlfn.SORTBY(_xlpm.base,_xlpm.colK,1),
IF($J$2="Fecha", _xlfn.SORTBY(_xlpm.base,_xlpm.colH,1),
_xlpm.base)))),
_xlfn.CHOOSECOLS(_xlpm.sorted,8)
)</f>
        <v>1 Ralph [Allans Flowers and More]</v>
      </c>
      <c r="L4" s="179"/>
      <c r="M4" s="173"/>
      <c r="N4" s="183" t="str">
        <f>"Hay "&amp;(SUMIF(D4:D51,"*EB*",C4:C51))&amp;" EB en Orden Fija"</f>
        <v>Hay 0 EB en Orden Fija</v>
      </c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>
        <v>1</v>
      </c>
      <c r="AB4" s="173" t="str">
        <v>HB</v>
      </c>
      <c r="AC4" s="173">
        <v>250</v>
      </c>
      <c r="AD4" s="173" t="str">
        <v>Roses 50cm 50 Red/50 White/25 Hot Pink/25 Light Pink/25 Purple/25 Yellow/25 Orange/25 Peach (T/W)</v>
      </c>
      <c r="AE4" s="173">
        <v>46310</v>
      </c>
      <c r="AF4" s="173" t="str">
        <v>PO107330</v>
      </c>
      <c r="AG4" s="173" t="str">
        <v/>
      </c>
      <c r="AH4" s="173" t="str">
        <v>1 Daniel [The Flower Market]</v>
      </c>
    </row>
    <row r="5" spans="1:34" x14ac:dyDescent="0.25">
      <c r="A5" s="174"/>
      <c r="B5" s="163" t="str">
        <v>Order #180</v>
      </c>
      <c r="C5" s="90">
        <v>1</v>
      </c>
      <c r="D5" s="180" t="str">
        <v>HB</v>
      </c>
      <c r="E5" s="180">
        <v>250</v>
      </c>
      <c r="F5" s="184" t="str">
        <v>Roses 50cm 25 Fredm/25 Vndla/25 Swet Mem/25 Ful Mty/25 Cabar/25 Bright/25 Shimr/25 Orage Onl (M/T)</v>
      </c>
      <c r="G5" s="180">
        <f t="shared" ref="G5:G18" si="0">IF(AND(C5&lt;&gt;"",E5&lt;&gt;""),C5*E5,"")</f>
        <v>250</v>
      </c>
      <c r="H5" s="185">
        <v>46309</v>
      </c>
      <c r="I5" s="83" t="str">
        <v>PO107332</v>
      </c>
      <c r="J5" s="134" t="str">
        <v/>
      </c>
      <c r="K5" s="186" t="str">
        <v>1 Daniel [Country Garden Florist]</v>
      </c>
      <c r="L5" s="179"/>
      <c r="M5" s="173"/>
      <c r="N5" s="183" t="str">
        <f>"Hay "&amp;SUMIF(D4:D51,"*QB*",C4:C51)&amp;" QB en Orden Fija"</f>
        <v>Hay 17 QB en Orden Fija</v>
      </c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>
        <v>1</v>
      </c>
      <c r="AB5" s="173" t="str">
        <v>QB</v>
      </c>
      <c r="AC5" s="173">
        <v>125</v>
      </c>
      <c r="AD5" s="173" t="str">
        <v>Roses 50/60cm Fortune (M/T)</v>
      </c>
      <c r="AE5" s="173">
        <v>46309</v>
      </c>
      <c r="AF5" s="173" t="str">
        <v>PO107331</v>
      </c>
      <c r="AG5" s="173" t="str">
        <v/>
      </c>
      <c r="AH5" s="173" t="str">
        <v>1 Ralph [Allans Flowers and More]</v>
      </c>
    </row>
    <row r="6" spans="1:34" x14ac:dyDescent="0.25">
      <c r="A6" s="174"/>
      <c r="B6" s="163" t="str">
        <v>Order #181</v>
      </c>
      <c r="C6" s="90">
        <v>1</v>
      </c>
      <c r="D6" s="180" t="str">
        <v>QB</v>
      </c>
      <c r="E6" s="180">
        <v>125</v>
      </c>
      <c r="F6" s="184" t="str">
        <v>Roses 60cm 50 Freedom/25 Tibet/25 Pink Floyd/25 Jessica (M/T)</v>
      </c>
      <c r="G6" s="180">
        <f t="shared" si="0"/>
        <v>125</v>
      </c>
      <c r="H6" s="185">
        <v>46309</v>
      </c>
      <c r="I6" s="83" t="str">
        <v>PO107333</v>
      </c>
      <c r="J6" s="134" t="str">
        <v/>
      </c>
      <c r="K6" s="186" t="str">
        <v>1 Fausto [Florist in the Garden WA]</v>
      </c>
      <c r="L6" s="179"/>
      <c r="M6" s="173"/>
      <c r="N6" s="187" t="str">
        <f>"Hay "&amp;SUMIF(D4:D51,"*HB*",C4:C51)&amp;" HB en Orden Fija"</f>
        <v>Hay 2 HB en Orden Fija</v>
      </c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>
        <v>1</v>
      </c>
      <c r="AB6" s="173" t="str">
        <v>HB</v>
      </c>
      <c r="AC6" s="173">
        <v>250</v>
      </c>
      <c r="AD6" s="173" t="str">
        <v>Roses 50cm 25 Fredm/25 Vndla/25 Swet Mem/25 Ful Mty/25 Cabar/25 Bright/25 Shimr/25 Orage Onl (M/T)</v>
      </c>
      <c r="AE6" s="173">
        <v>46309</v>
      </c>
      <c r="AF6" s="173" t="str">
        <v>PO107332</v>
      </c>
      <c r="AG6" s="173" t="str">
        <v/>
      </c>
      <c r="AH6" s="173" t="str">
        <v>1 Daniel [Country Garden Florist]</v>
      </c>
    </row>
    <row r="7" spans="1:34" x14ac:dyDescent="0.25">
      <c r="A7" s="174"/>
      <c r="B7" s="163" t="str">
        <v>Order #187</v>
      </c>
      <c r="C7" s="90">
        <v>1</v>
      </c>
      <c r="D7" s="180" t="str">
        <v>QB</v>
      </c>
      <c r="E7" s="180">
        <v>100</v>
      </c>
      <c r="F7" s="184" t="str">
        <v>Roses 50cm Fortune (M/T)</v>
      </c>
      <c r="G7" s="180">
        <f t="shared" si="0"/>
        <v>100</v>
      </c>
      <c r="H7" s="185">
        <v>46309</v>
      </c>
      <c r="I7" s="83" t="str">
        <v>PO107339</v>
      </c>
      <c r="J7" s="134" t="str">
        <v/>
      </c>
      <c r="K7" s="186" t="str">
        <v>1 Joss (*Impar) [B Tulips de LU]</v>
      </c>
      <c r="L7" s="179"/>
      <c r="M7" s="173"/>
      <c r="N7" s="91" t="str">
        <f>"Son "&amp;SUM(C4:C51)&amp;" Cajas en Orden Fija"</f>
        <v>Son 19 Cajas en Orden Fija</v>
      </c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>
        <v>1</v>
      </c>
      <c r="AB7" s="173" t="str">
        <v>QB</v>
      </c>
      <c r="AC7" s="173">
        <v>125</v>
      </c>
      <c r="AD7" s="173" t="str">
        <v>Roses 60cm 50 Freedom/25 Tibet/25 Pink Floyd/25 Jessica (M/T)</v>
      </c>
      <c r="AE7" s="173">
        <v>46309</v>
      </c>
      <c r="AF7" s="173" t="str">
        <v>PO107333</v>
      </c>
      <c r="AG7" s="173" t="str">
        <v/>
      </c>
      <c r="AH7" s="173" t="str">
        <v>1 Fausto [Florist in the Garden WA]</v>
      </c>
    </row>
    <row r="8" spans="1:34" x14ac:dyDescent="0.25">
      <c r="A8" s="174"/>
      <c r="B8" s="163" t="str">
        <v>Order #188</v>
      </c>
      <c r="C8" s="90">
        <v>1</v>
      </c>
      <c r="D8" s="180" t="str">
        <v>QB</v>
      </c>
      <c r="E8" s="180">
        <v>100</v>
      </c>
      <c r="F8" s="184" t="str">
        <v>Roses 50cm 50 Fortune/25 Rhoslyn/25 Luciano 60cm (M/T)</v>
      </c>
      <c r="G8" s="180">
        <f t="shared" si="0"/>
        <v>100</v>
      </c>
      <c r="H8" s="185">
        <v>46309</v>
      </c>
      <c r="I8" s="83" t="str">
        <v>PO107340</v>
      </c>
      <c r="J8" s="134" t="str">
        <v/>
      </c>
      <c r="K8" s="186" t="str">
        <v>1 Joss (*Impar) [B Tulips de LU]</v>
      </c>
      <c r="L8" s="179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>
        <v>1</v>
      </c>
      <c r="AB8" s="173" t="str">
        <v>QB</v>
      </c>
      <c r="AC8" s="173">
        <v>125</v>
      </c>
      <c r="AD8" s="173" t="str">
        <v>Roses 50cm Fortune (T/W)</v>
      </c>
      <c r="AE8" s="173">
        <v>46310</v>
      </c>
      <c r="AF8" s="173" t="str">
        <v>PO107334</v>
      </c>
      <c r="AG8" s="173" t="str">
        <v/>
      </c>
      <c r="AH8" s="173" t="str">
        <v>1 Joss (*Par) [B Tulips de LU]</v>
      </c>
    </row>
    <row r="9" spans="1:34" x14ac:dyDescent="0.25">
      <c r="A9" s="174"/>
      <c r="B9" s="163" t="str">
        <v>Order #194</v>
      </c>
      <c r="C9" s="90">
        <v>1</v>
      </c>
      <c r="D9" s="180" t="str">
        <v>QB</v>
      </c>
      <c r="E9" s="180">
        <v>125</v>
      </c>
      <c r="F9" s="184" t="str">
        <v>Roses 60cm Tibet (M/T)</v>
      </c>
      <c r="G9" s="180">
        <f t="shared" si="0"/>
        <v>125</v>
      </c>
      <c r="H9" s="185">
        <v>46309</v>
      </c>
      <c r="I9" s="83" t="str">
        <v>PO107346</v>
      </c>
      <c r="J9" s="134" t="str">
        <v/>
      </c>
      <c r="K9" s="186" t="str">
        <v xml:space="preserve"> </v>
      </c>
      <c r="L9" s="179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>
        <v>1</v>
      </c>
      <c r="AB9" s="173" t="str">
        <v>QB</v>
      </c>
      <c r="AC9" s="173">
        <v>125</v>
      </c>
      <c r="AD9" s="173" t="str">
        <v>Roses 50cm 75 Rhoslyn/50 Mondial (T/W)</v>
      </c>
      <c r="AE9" s="173">
        <v>46310</v>
      </c>
      <c r="AF9" s="173" t="str">
        <v>PO107335</v>
      </c>
      <c r="AG9" s="173" t="str">
        <v/>
      </c>
      <c r="AH9" s="173" t="str">
        <v>1 Joss (*Par) [B Tulips de LU]</v>
      </c>
    </row>
    <row r="10" spans="1:34" x14ac:dyDescent="0.25">
      <c r="A10" s="174"/>
      <c r="B10" s="163" t="str">
        <v>Order #195</v>
      </c>
      <c r="C10" s="90">
        <v>1</v>
      </c>
      <c r="D10" s="180" t="str">
        <v>QB</v>
      </c>
      <c r="E10" s="180">
        <v>125</v>
      </c>
      <c r="F10" s="184" t="str">
        <v>Roses 60cm Freedom (M/T)</v>
      </c>
      <c r="G10" s="180">
        <f t="shared" si="0"/>
        <v>125</v>
      </c>
      <c r="H10" s="185">
        <v>46309</v>
      </c>
      <c r="I10" s="83" t="str">
        <v>PO107347</v>
      </c>
      <c r="J10" s="134" t="str">
        <v/>
      </c>
      <c r="K10" s="186" t="str">
        <v xml:space="preserve"> </v>
      </c>
      <c r="L10" s="179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>
        <v>1</v>
      </c>
      <c r="AB10" s="173" t="str">
        <v>QB</v>
      </c>
      <c r="AC10" s="173">
        <v>100</v>
      </c>
      <c r="AD10" s="173" t="str">
        <v>Roses 50cm Fortune (T/F)</v>
      </c>
      <c r="AE10" s="173">
        <v>46312</v>
      </c>
      <c r="AF10" s="173" t="str">
        <v>PO107336</v>
      </c>
      <c r="AG10" s="173" t="str">
        <v/>
      </c>
      <c r="AH10" s="173" t="str">
        <v>1 Joss (*Impar) [B Tulips de LU]</v>
      </c>
    </row>
    <row r="11" spans="1:34" x14ac:dyDescent="0.25">
      <c r="A11" s="174"/>
      <c r="B11" s="163" t="str">
        <v>Order #177</v>
      </c>
      <c r="C11" s="90">
        <v>1</v>
      </c>
      <c r="D11" s="180" t="str">
        <v>QB</v>
      </c>
      <c r="E11" s="180">
        <v>125</v>
      </c>
      <c r="F11" s="184" t="str">
        <v>Roses 50/60cm Fortune (T/W)</v>
      </c>
      <c r="G11" s="180">
        <f t="shared" si="0"/>
        <v>125</v>
      </c>
      <c r="H11" s="185">
        <v>46310</v>
      </c>
      <c r="I11" s="83" t="str">
        <v>PO107329</v>
      </c>
      <c r="J11" s="134" t="str">
        <v/>
      </c>
      <c r="K11" s="186" t="str">
        <v>0 Cesar [Joss - Filogonia Lopez]</v>
      </c>
      <c r="L11" s="179"/>
      <c r="M11" s="173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>
        <v>1</v>
      </c>
      <c r="AB11" s="173" t="str">
        <v>QB</v>
      </c>
      <c r="AC11" s="173">
        <v>100</v>
      </c>
      <c r="AD11" s="173" t="str">
        <v>Roses 50cm 75 Rhoslyn/25 Fortune (T/F)</v>
      </c>
      <c r="AE11" s="173">
        <v>46312</v>
      </c>
      <c r="AF11" s="173" t="str">
        <v>PO107337</v>
      </c>
      <c r="AG11" s="173" t="str">
        <v/>
      </c>
      <c r="AH11" s="173" t="str">
        <v>1 Joss (*Impar) [B Tulips de LU]</v>
      </c>
    </row>
    <row r="12" spans="1:34" x14ac:dyDescent="0.25">
      <c r="A12" s="174"/>
      <c r="B12" s="163" t="str">
        <v>Order #178</v>
      </c>
      <c r="C12" s="90">
        <v>1</v>
      </c>
      <c r="D12" s="180" t="str">
        <v>HB</v>
      </c>
      <c r="E12" s="180">
        <v>250</v>
      </c>
      <c r="F12" s="184" t="str">
        <v>Roses 50cm 50 Red/50 White/25 Hot Pink/25 Light Pink/25 Purple/25 Yellow/25 Orange/25 Peach (T/W)</v>
      </c>
      <c r="G12" s="180">
        <f t="shared" si="0"/>
        <v>250</v>
      </c>
      <c r="H12" s="185">
        <v>46310</v>
      </c>
      <c r="I12" s="83" t="str">
        <v>PO107330</v>
      </c>
      <c r="J12" s="134" t="str">
        <v/>
      </c>
      <c r="K12" s="186" t="str">
        <v>1 Daniel [The Flower Market]</v>
      </c>
      <c r="L12" s="179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>
        <v>1</v>
      </c>
      <c r="AB12" s="173" t="str">
        <v>QB</v>
      </c>
      <c r="AC12" s="173">
        <v>100</v>
      </c>
      <c r="AD12" s="173" t="str">
        <v>Roses 50cm 75 Mondial/25 Fortune (T/F)</v>
      </c>
      <c r="AE12" s="173">
        <v>46312</v>
      </c>
      <c r="AF12" s="173" t="str">
        <v>PO107338</v>
      </c>
      <c r="AG12" s="173" t="str">
        <v/>
      </c>
      <c r="AH12" s="173" t="str">
        <v>1 Joss (*Impar) [B Tulips de LU]</v>
      </c>
    </row>
    <row r="13" spans="1:34" x14ac:dyDescent="0.25">
      <c r="A13" s="174"/>
      <c r="B13" s="163" t="str">
        <v>Order #182</v>
      </c>
      <c r="C13" s="90">
        <v>1</v>
      </c>
      <c r="D13" s="180" t="str">
        <v>QB</v>
      </c>
      <c r="E13" s="180">
        <v>125</v>
      </c>
      <c r="F13" s="184" t="str">
        <v>Roses 50cm Fortune (T/W)</v>
      </c>
      <c r="G13" s="180">
        <f t="shared" si="0"/>
        <v>125</v>
      </c>
      <c r="H13" s="185">
        <v>46310</v>
      </c>
      <c r="I13" s="83" t="str">
        <v>PO107334</v>
      </c>
      <c r="J13" s="134" t="str">
        <v/>
      </c>
      <c r="K13" s="186" t="str">
        <v>1 Joss (*Par) [B Tulips de LU]</v>
      </c>
      <c r="L13" s="179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>
        <v>1</v>
      </c>
      <c r="AB13" s="173" t="str">
        <v>QB</v>
      </c>
      <c r="AC13" s="173">
        <v>100</v>
      </c>
      <c r="AD13" s="173" t="str">
        <v>Roses 50cm Fortune (M/T)</v>
      </c>
      <c r="AE13" s="173">
        <v>46309</v>
      </c>
      <c r="AF13" s="173" t="str">
        <v>PO107339</v>
      </c>
      <c r="AG13" s="173" t="str">
        <v/>
      </c>
      <c r="AH13" s="173" t="str">
        <v>1 Joss (*Impar) [B Tulips de LU]</v>
      </c>
    </row>
    <row r="14" spans="1:34" x14ac:dyDescent="0.25">
      <c r="A14" s="174"/>
      <c r="B14" s="163" t="str">
        <v>Order #183</v>
      </c>
      <c r="C14" s="90">
        <v>1</v>
      </c>
      <c r="D14" s="180" t="str">
        <v>QB</v>
      </c>
      <c r="E14" s="180">
        <v>125</v>
      </c>
      <c r="F14" s="184" t="str">
        <v>Roses 50cm 75 Rhoslyn/50 Mondial (T/W)</v>
      </c>
      <c r="G14" s="180">
        <f t="shared" si="0"/>
        <v>125</v>
      </c>
      <c r="H14" s="185">
        <v>46310</v>
      </c>
      <c r="I14" s="83" t="str">
        <v>PO107335</v>
      </c>
      <c r="J14" s="134" t="str">
        <v/>
      </c>
      <c r="K14" s="186" t="str">
        <v>1 Joss (*Par) [B Tulips de LU]</v>
      </c>
      <c r="L14" s="179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>
        <v>1</v>
      </c>
      <c r="AB14" s="173" t="str">
        <v>QB</v>
      </c>
      <c r="AC14" s="173">
        <v>100</v>
      </c>
      <c r="AD14" s="173" t="str">
        <v>Roses 50cm 50 Fortune/25 Rhoslyn/25 Luciano 60cm (M/T)</v>
      </c>
      <c r="AE14" s="173">
        <v>46309</v>
      </c>
      <c r="AF14" s="173" t="str">
        <v>PO107340</v>
      </c>
      <c r="AG14" s="173" t="str">
        <v/>
      </c>
      <c r="AH14" s="173" t="str">
        <v>1 Joss (*Impar) [B Tulips de LU]</v>
      </c>
    </row>
    <row r="15" spans="1:34" x14ac:dyDescent="0.25">
      <c r="A15" s="174"/>
      <c r="B15" s="163" t="str">
        <v>Order #184</v>
      </c>
      <c r="C15" s="90">
        <v>1</v>
      </c>
      <c r="D15" s="180" t="str">
        <v>QB</v>
      </c>
      <c r="E15" s="180">
        <v>100</v>
      </c>
      <c r="F15" s="184" t="str">
        <v>Roses 50cm Fortune (T/F)</v>
      </c>
      <c r="G15" s="180">
        <f t="shared" si="0"/>
        <v>100</v>
      </c>
      <c r="H15" s="185">
        <v>46312</v>
      </c>
      <c r="I15" s="83" t="str">
        <v>PO107336</v>
      </c>
      <c r="J15" s="134" t="str">
        <v/>
      </c>
      <c r="K15" s="186" t="str">
        <v>1 Joss (*Impar) [B Tulips de LU]</v>
      </c>
      <c r="L15" s="179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>
        <v>1</v>
      </c>
      <c r="AB15" s="173" t="str">
        <v>QB</v>
      </c>
      <c r="AC15" s="173">
        <v>125</v>
      </c>
      <c r="AD15" s="173" t="str">
        <v>Roses 50cm 25 Tibet/25 Jessika/25 Mohana/25 Phoenix/25 Bromo (W/T)</v>
      </c>
      <c r="AE15" s="173">
        <v>46312</v>
      </c>
      <c r="AF15" s="173" t="str">
        <v>PO107341</v>
      </c>
      <c r="AG15" s="173" t="str">
        <v/>
      </c>
      <c r="AH15" s="173" t="str">
        <v>0 Cesar (*Impar) []</v>
      </c>
    </row>
    <row r="16" spans="1:34" x14ac:dyDescent="0.25">
      <c r="A16" s="174"/>
      <c r="B16" s="163" t="str">
        <v>Order #185</v>
      </c>
      <c r="C16" s="90">
        <v>1</v>
      </c>
      <c r="D16" s="180" t="str">
        <v>QB</v>
      </c>
      <c r="E16" s="180">
        <v>100</v>
      </c>
      <c r="F16" s="184" t="str">
        <v>Roses 50cm 75 Rhoslyn/25 Fortune (T/F)</v>
      </c>
      <c r="G16" s="180">
        <f t="shared" si="0"/>
        <v>100</v>
      </c>
      <c r="H16" s="185">
        <v>46312</v>
      </c>
      <c r="I16" s="83" t="str">
        <v>PO107337</v>
      </c>
      <c r="J16" s="134" t="str">
        <v/>
      </c>
      <c r="K16" s="186" t="str">
        <v>1 Joss (*Impar) [B Tulips de LU]</v>
      </c>
      <c r="L16" s="179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>
        <v>1</v>
      </c>
      <c r="AB16" s="173" t="str">
        <v>QB</v>
      </c>
      <c r="AC16" s="173">
        <v>125</v>
      </c>
      <c r="AD16" s="173" t="str">
        <v>Roses 50cm Fortune (T/F)</v>
      </c>
      <c r="AE16" s="173">
        <v>46312</v>
      </c>
      <c r="AF16" s="173" t="str">
        <v>PO107342</v>
      </c>
      <c r="AG16" s="173" t="str">
        <v/>
      </c>
      <c r="AH16" s="173" t="str">
        <v xml:space="preserve"> </v>
      </c>
    </row>
    <row r="17" spans="1:34" x14ac:dyDescent="0.25">
      <c r="A17" s="174"/>
      <c r="B17" s="163" t="str">
        <v>Order #186</v>
      </c>
      <c r="C17" s="90">
        <v>1</v>
      </c>
      <c r="D17" s="180" t="str">
        <v>QB</v>
      </c>
      <c r="E17" s="180">
        <v>100</v>
      </c>
      <c r="F17" s="184" t="str">
        <v>Roses 50cm 75 Mondial/25 Fortune (T/F)</v>
      </c>
      <c r="G17" s="180">
        <f t="shared" si="0"/>
        <v>100</v>
      </c>
      <c r="H17" s="185">
        <v>46312</v>
      </c>
      <c r="I17" s="83" t="str">
        <v>PO107338</v>
      </c>
      <c r="J17" s="134" t="str">
        <v/>
      </c>
      <c r="K17" s="186" t="str">
        <v>1 Joss (*Impar) [B Tulips de LU]</v>
      </c>
      <c r="L17" s="179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>
        <v>1</v>
      </c>
      <c r="AB17" s="173" t="str">
        <v>QB</v>
      </c>
      <c r="AC17" s="173">
        <v>125</v>
      </c>
      <c r="AD17" s="173" t="str">
        <v>Roses 50/60cm Fortune (T/F)</v>
      </c>
      <c r="AE17" s="173">
        <v>46312</v>
      </c>
      <c r="AF17" s="173" t="str">
        <v>PO107343</v>
      </c>
      <c r="AG17" s="173" t="str">
        <v/>
      </c>
      <c r="AH17" s="173" t="str">
        <v xml:space="preserve"> </v>
      </c>
    </row>
    <row r="18" spans="1:34" x14ac:dyDescent="0.25">
      <c r="A18" s="174"/>
      <c r="B18" s="163" t="str">
        <v>Order #189</v>
      </c>
      <c r="C18" s="90">
        <v>1</v>
      </c>
      <c r="D18" s="180" t="str">
        <v>QB</v>
      </c>
      <c r="E18" s="180">
        <v>125</v>
      </c>
      <c r="F18" s="184" t="str">
        <v>Roses 50cm 25 Tibet/25 Jessika/25 Mohana/25 Phoenix/25 Bromo (W/T)</v>
      </c>
      <c r="G18" s="180">
        <f t="shared" si="0"/>
        <v>125</v>
      </c>
      <c r="H18" s="185">
        <v>46312</v>
      </c>
      <c r="I18" s="83" t="str">
        <v>PO107341</v>
      </c>
      <c r="J18" s="134" t="str">
        <v/>
      </c>
      <c r="K18" s="186" t="str">
        <v>0 Cesar (*Impar) []</v>
      </c>
      <c r="L18" s="179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>
        <v>1</v>
      </c>
      <c r="AB18" s="173" t="str">
        <v>QB</v>
      </c>
      <c r="AC18" s="173">
        <v>125</v>
      </c>
      <c r="AD18" s="173" t="str">
        <v>Roses 50cm 75 Jessika/25 Explore/25 Tibet (T/F)</v>
      </c>
      <c r="AE18" s="173">
        <v>46312</v>
      </c>
      <c r="AF18" s="173" t="str">
        <v>PO107344</v>
      </c>
      <c r="AG18" s="173" t="str">
        <v/>
      </c>
      <c r="AH18" s="173" t="str">
        <v xml:space="preserve"> </v>
      </c>
    </row>
    <row r="19" spans="1:34" x14ac:dyDescent="0.25">
      <c r="A19" s="174"/>
      <c r="B19" s="163" t="str">
        <v>Order #190</v>
      </c>
      <c r="C19" s="90">
        <v>1</v>
      </c>
      <c r="D19" s="180" t="str">
        <v>QB</v>
      </c>
      <c r="E19" s="180">
        <v>125</v>
      </c>
      <c r="F19" s="184" t="str">
        <v>Roses 50cm Fortune (T/F)</v>
      </c>
      <c r="G19" s="180">
        <f t="shared" ref="G19:G51" si="1">IF(AND(C19&lt;&gt;"",E19&lt;&gt;""),C19*E19,"")</f>
        <v>125</v>
      </c>
      <c r="H19" s="185">
        <v>46312</v>
      </c>
      <c r="I19" s="83" t="str">
        <v>PO107342</v>
      </c>
      <c r="J19" s="134" t="str">
        <v/>
      </c>
      <c r="K19" s="186" t="str">
        <v xml:space="preserve"> </v>
      </c>
      <c r="L19" s="179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>
        <v>1</v>
      </c>
      <c r="AB19" s="173" t="str">
        <v>QB</v>
      </c>
      <c r="AC19" s="173">
        <v>125</v>
      </c>
      <c r="AD19" s="173" t="str">
        <v>Roses 50cm 50 Freedom/25 Mondial/25 Jessica/25 Brighton (T/F)</v>
      </c>
      <c r="AE19" s="173">
        <v>46312</v>
      </c>
      <c r="AF19" s="173" t="str">
        <v>PO107345</v>
      </c>
      <c r="AG19" s="173" t="str">
        <v/>
      </c>
      <c r="AH19" s="173" t="str">
        <v xml:space="preserve"> </v>
      </c>
    </row>
    <row r="20" spans="1:34" x14ac:dyDescent="0.25">
      <c r="A20" s="174"/>
      <c r="B20" s="163" t="str">
        <v>Order #191</v>
      </c>
      <c r="C20" s="90">
        <v>1</v>
      </c>
      <c r="D20" s="180" t="str">
        <v>QB</v>
      </c>
      <c r="E20" s="180">
        <v>125</v>
      </c>
      <c r="F20" s="184" t="str">
        <v>Roses 50/60cm Fortune (T/F)</v>
      </c>
      <c r="G20" s="180">
        <f t="shared" si="1"/>
        <v>125</v>
      </c>
      <c r="H20" s="185">
        <v>46312</v>
      </c>
      <c r="I20" s="83" t="str">
        <v>PO107343</v>
      </c>
      <c r="J20" s="134" t="str">
        <v/>
      </c>
      <c r="K20" s="186" t="str">
        <v xml:space="preserve"> </v>
      </c>
      <c r="L20" s="179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>
        <v>1</v>
      </c>
      <c r="AB20" s="173" t="str">
        <v>QB</v>
      </c>
      <c r="AC20" s="173">
        <v>125</v>
      </c>
      <c r="AD20" s="173" t="str">
        <v>Roses 60cm Tibet (M/T)</v>
      </c>
      <c r="AE20" s="173">
        <v>46309</v>
      </c>
      <c r="AF20" s="173" t="str">
        <v>PO107346</v>
      </c>
      <c r="AG20" s="173" t="str">
        <v/>
      </c>
      <c r="AH20" s="173" t="str">
        <v xml:space="preserve"> </v>
      </c>
    </row>
    <row r="21" spans="1:34" x14ac:dyDescent="0.25">
      <c r="A21" s="174"/>
      <c r="B21" s="163" t="str">
        <v>Order #192</v>
      </c>
      <c r="C21" s="90">
        <v>1</v>
      </c>
      <c r="D21" s="180" t="str">
        <v>QB</v>
      </c>
      <c r="E21" s="180">
        <v>125</v>
      </c>
      <c r="F21" s="184" t="str">
        <v>Roses 50cm 75 Jessika/25 Explore/25 Tibet (T/F)</v>
      </c>
      <c r="G21" s="180">
        <f t="shared" si="1"/>
        <v>125</v>
      </c>
      <c r="H21" s="185">
        <v>46312</v>
      </c>
      <c r="I21" s="83" t="str">
        <v>PO107344</v>
      </c>
      <c r="J21" s="134" t="str">
        <v/>
      </c>
      <c r="K21" s="186" t="str">
        <v xml:space="preserve"> </v>
      </c>
      <c r="L21" s="179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>
        <v>1</v>
      </c>
      <c r="AB21" s="173" t="str">
        <v>QB</v>
      </c>
      <c r="AC21" s="173">
        <v>125</v>
      </c>
      <c r="AD21" s="173" t="str">
        <v>Roses 60cm Freedom (M/T)</v>
      </c>
      <c r="AE21" s="173">
        <v>46309</v>
      </c>
      <c r="AF21" s="173" t="str">
        <v>PO107347</v>
      </c>
      <c r="AG21" s="173" t="str">
        <v/>
      </c>
      <c r="AH21" s="173" t="str">
        <v xml:space="preserve"> </v>
      </c>
    </row>
    <row r="22" spans="1:34" x14ac:dyDescent="0.25">
      <c r="A22" s="174"/>
      <c r="B22" s="163" t="str">
        <v>Order #193</v>
      </c>
      <c r="C22" s="90">
        <v>1</v>
      </c>
      <c r="D22" s="180" t="str">
        <v>QB</v>
      </c>
      <c r="E22" s="180">
        <v>125</v>
      </c>
      <c r="F22" s="184" t="str">
        <v>Roses 50cm 50 Freedom/25 Mondial/25 Jessica/25 Brighton (T/F)</v>
      </c>
      <c r="G22" s="180">
        <f t="shared" si="1"/>
        <v>125</v>
      </c>
      <c r="H22" s="185">
        <v>46312</v>
      </c>
      <c r="I22" s="83" t="str">
        <v>PO107345</v>
      </c>
      <c r="J22" s="134" t="str">
        <v/>
      </c>
      <c r="K22" s="186" t="str">
        <v xml:space="preserve"> </v>
      </c>
      <c r="L22" s="179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</row>
    <row r="23" spans="1:34" x14ac:dyDescent="0.25">
      <c r="A23" s="174"/>
      <c r="B23" s="164"/>
      <c r="C23" s="92"/>
      <c r="D23" s="188"/>
      <c r="E23" s="188"/>
      <c r="F23" s="189"/>
      <c r="G23" s="180" t="str">
        <f t="shared" si="1"/>
        <v/>
      </c>
      <c r="H23" s="190"/>
      <c r="I23" s="93"/>
      <c r="J23" s="135"/>
      <c r="K23" s="191"/>
      <c r="L23" s="179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</row>
    <row r="24" spans="1:34" x14ac:dyDescent="0.25">
      <c r="A24" s="174"/>
      <c r="B24" s="165"/>
      <c r="C24" s="88"/>
      <c r="D24" s="176"/>
      <c r="E24" s="176"/>
      <c r="F24" s="192"/>
      <c r="G24" s="180" t="str">
        <f t="shared" si="1"/>
        <v/>
      </c>
      <c r="H24" s="181"/>
      <c r="I24" s="88"/>
      <c r="J24" s="136"/>
      <c r="K24" s="182"/>
      <c r="L24" s="179"/>
      <c r="M24" s="173"/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  <c r="AG24" s="173"/>
      <c r="AH24" s="173"/>
    </row>
    <row r="25" spans="1:34" x14ac:dyDescent="0.25">
      <c r="A25" s="174"/>
      <c r="B25" s="165"/>
      <c r="C25" s="88"/>
      <c r="D25" s="176"/>
      <c r="E25" s="176"/>
      <c r="F25" s="192"/>
      <c r="G25" s="180" t="str">
        <f t="shared" si="1"/>
        <v/>
      </c>
      <c r="H25" s="181"/>
      <c r="I25" s="88"/>
      <c r="J25" s="136"/>
      <c r="K25" s="182"/>
      <c r="L25" s="179"/>
      <c r="M25" s="173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  <c r="AG25" s="173"/>
      <c r="AH25" s="173"/>
    </row>
    <row r="26" spans="1:34" x14ac:dyDescent="0.25">
      <c r="A26" s="174"/>
      <c r="B26" s="165"/>
      <c r="C26" s="88"/>
      <c r="D26" s="176"/>
      <c r="E26" s="176"/>
      <c r="F26" s="192"/>
      <c r="G26" s="180" t="str">
        <f t="shared" si="1"/>
        <v/>
      </c>
      <c r="H26" s="181"/>
      <c r="I26" s="88"/>
      <c r="J26" s="136"/>
      <c r="K26" s="182"/>
      <c r="L26" s="179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  <c r="AG26" s="173"/>
      <c r="AH26" s="173"/>
    </row>
    <row r="27" spans="1:34" x14ac:dyDescent="0.25">
      <c r="A27" s="174"/>
      <c r="B27" s="165"/>
      <c r="C27" s="88"/>
      <c r="D27" s="176"/>
      <c r="E27" s="176"/>
      <c r="F27" s="192"/>
      <c r="G27" s="180" t="str">
        <f t="shared" si="1"/>
        <v/>
      </c>
      <c r="H27" s="181"/>
      <c r="I27" s="88"/>
      <c r="J27" s="136"/>
      <c r="K27" s="182"/>
      <c r="L27" s="179"/>
      <c r="M27" s="173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  <c r="AG27" s="173"/>
      <c r="AH27" s="173"/>
    </row>
    <row r="28" spans="1:34" x14ac:dyDescent="0.25">
      <c r="A28" s="174"/>
      <c r="B28" s="165"/>
      <c r="C28" s="88"/>
      <c r="D28" s="176"/>
      <c r="E28" s="176"/>
      <c r="F28" s="192"/>
      <c r="G28" s="180" t="str">
        <f t="shared" si="1"/>
        <v/>
      </c>
      <c r="H28" s="181"/>
      <c r="I28" s="88"/>
      <c r="J28" s="136"/>
      <c r="K28" s="182"/>
      <c r="L28" s="179"/>
      <c r="M28" s="173"/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  <c r="AG28" s="173"/>
      <c r="AH28" s="173"/>
    </row>
    <row r="29" spans="1:34" x14ac:dyDescent="0.25">
      <c r="A29" s="174"/>
      <c r="B29" s="165"/>
      <c r="C29" s="88"/>
      <c r="D29" s="176"/>
      <c r="E29" s="176"/>
      <c r="F29" s="192"/>
      <c r="G29" s="180" t="str">
        <f t="shared" si="1"/>
        <v/>
      </c>
      <c r="H29" s="181"/>
      <c r="I29" s="88"/>
      <c r="J29" s="136"/>
      <c r="K29" s="182"/>
      <c r="L29" s="179"/>
      <c r="M29" s="173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  <c r="AG29" s="173"/>
      <c r="AH29" s="173"/>
    </row>
    <row r="30" spans="1:34" x14ac:dyDescent="0.25">
      <c r="A30" s="174"/>
      <c r="B30" s="165"/>
      <c r="C30" s="88"/>
      <c r="D30" s="176"/>
      <c r="E30" s="176"/>
      <c r="F30" s="192"/>
      <c r="G30" s="180" t="str">
        <f t="shared" si="1"/>
        <v/>
      </c>
      <c r="H30" s="181"/>
      <c r="I30" s="88"/>
      <c r="J30" s="136"/>
      <c r="K30" s="182"/>
      <c r="L30" s="179"/>
      <c r="M30" s="173"/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  <c r="AG30" s="173"/>
      <c r="AH30" s="173"/>
    </row>
    <row r="31" spans="1:34" x14ac:dyDescent="0.25">
      <c r="A31" s="174"/>
      <c r="B31" s="165"/>
      <c r="C31" s="88"/>
      <c r="D31" s="176"/>
      <c r="E31" s="176"/>
      <c r="F31" s="192"/>
      <c r="G31" s="180" t="str">
        <f t="shared" si="1"/>
        <v/>
      </c>
      <c r="H31" s="181"/>
      <c r="I31" s="88"/>
      <c r="J31" s="136"/>
      <c r="K31" s="182"/>
      <c r="L31" s="179"/>
      <c r="M31" s="173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  <c r="AG31" s="173"/>
      <c r="AH31" s="173"/>
    </row>
    <row r="32" spans="1:34" x14ac:dyDescent="0.25">
      <c r="A32" s="174"/>
      <c r="B32" s="165"/>
      <c r="C32" s="88"/>
      <c r="D32" s="176"/>
      <c r="E32" s="176"/>
      <c r="F32" s="192"/>
      <c r="G32" s="180" t="str">
        <f t="shared" si="1"/>
        <v/>
      </c>
      <c r="H32" s="181"/>
      <c r="I32" s="88"/>
      <c r="J32" s="136"/>
      <c r="K32" s="182"/>
      <c r="L32" s="179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</row>
    <row r="33" spans="1:34" x14ac:dyDescent="0.25">
      <c r="A33" s="174"/>
      <c r="B33" s="165"/>
      <c r="C33" s="88"/>
      <c r="D33" s="176"/>
      <c r="E33" s="176"/>
      <c r="F33" s="192"/>
      <c r="G33" s="180" t="str">
        <f t="shared" si="1"/>
        <v/>
      </c>
      <c r="H33" s="181"/>
      <c r="I33" s="88"/>
      <c r="J33" s="136"/>
      <c r="K33" s="182"/>
      <c r="L33" s="179"/>
      <c r="M33" s="173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  <c r="AG33" s="173"/>
      <c r="AH33" s="173"/>
    </row>
    <row r="34" spans="1:34" x14ac:dyDescent="0.25">
      <c r="A34" s="174"/>
      <c r="B34" s="165"/>
      <c r="C34" s="88"/>
      <c r="D34" s="176"/>
      <c r="E34" s="176"/>
      <c r="F34" s="173"/>
      <c r="G34" s="180" t="str">
        <f t="shared" si="1"/>
        <v/>
      </c>
      <c r="H34" s="181"/>
      <c r="I34" s="88"/>
      <c r="J34" s="136"/>
      <c r="K34" s="182"/>
      <c r="L34" s="179"/>
      <c r="M34" s="173"/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  <c r="AG34" s="173"/>
      <c r="AH34" s="173"/>
    </row>
    <row r="35" spans="1:34" x14ac:dyDescent="0.25">
      <c r="A35" s="174"/>
      <c r="B35" s="165"/>
      <c r="C35" s="88"/>
      <c r="D35" s="176"/>
      <c r="E35" s="176"/>
      <c r="F35" s="192"/>
      <c r="G35" s="180" t="str">
        <f t="shared" si="1"/>
        <v/>
      </c>
      <c r="H35" s="181"/>
      <c r="I35" s="88"/>
      <c r="J35" s="136"/>
      <c r="K35" s="182"/>
      <c r="L35" s="179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</row>
    <row r="36" spans="1:34" x14ac:dyDescent="0.25">
      <c r="A36" s="174"/>
      <c r="B36" s="165"/>
      <c r="C36" s="88"/>
      <c r="D36" s="176"/>
      <c r="E36" s="176"/>
      <c r="F36" s="192"/>
      <c r="G36" s="180" t="str">
        <f t="shared" si="1"/>
        <v/>
      </c>
      <c r="H36" s="181"/>
      <c r="I36" s="88"/>
      <c r="J36" s="136"/>
      <c r="K36" s="182"/>
      <c r="L36" s="179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</row>
    <row r="37" spans="1:34" x14ac:dyDescent="0.25">
      <c r="A37" s="174"/>
      <c r="B37" s="165"/>
      <c r="C37" s="88"/>
      <c r="D37" s="176"/>
      <c r="E37" s="176"/>
      <c r="F37" s="192"/>
      <c r="G37" s="180" t="str">
        <f t="shared" si="1"/>
        <v/>
      </c>
      <c r="H37" s="181"/>
      <c r="I37" s="88"/>
      <c r="J37" s="136"/>
      <c r="K37" s="182"/>
      <c r="L37" s="179"/>
      <c r="M37" s="173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  <c r="AG37" s="173"/>
      <c r="AH37" s="173"/>
    </row>
    <row r="38" spans="1:34" x14ac:dyDescent="0.25">
      <c r="A38" s="174"/>
      <c r="B38" s="165"/>
      <c r="C38" s="88"/>
      <c r="D38" s="176"/>
      <c r="E38" s="176"/>
      <c r="F38" s="192"/>
      <c r="G38" s="180" t="str">
        <f t="shared" si="1"/>
        <v/>
      </c>
      <c r="H38" s="181"/>
      <c r="I38" s="88"/>
      <c r="J38" s="136"/>
      <c r="K38" s="182"/>
      <c r="L38" s="179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</row>
    <row r="39" spans="1:34" x14ac:dyDescent="0.25">
      <c r="A39" s="174"/>
      <c r="B39" s="165"/>
      <c r="C39" s="88"/>
      <c r="D39" s="176"/>
      <c r="E39" s="176"/>
      <c r="F39" s="192"/>
      <c r="G39" s="180" t="str">
        <f t="shared" si="1"/>
        <v/>
      </c>
      <c r="H39" s="181"/>
      <c r="I39" s="88"/>
      <c r="J39" s="136"/>
      <c r="K39" s="182"/>
      <c r="L39" s="179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</row>
    <row r="40" spans="1:34" x14ac:dyDescent="0.25">
      <c r="A40" s="174"/>
      <c r="B40" s="165"/>
      <c r="C40" s="88"/>
      <c r="D40" s="176"/>
      <c r="E40" s="176"/>
      <c r="F40" s="192"/>
      <c r="G40" s="180" t="str">
        <f t="shared" si="1"/>
        <v/>
      </c>
      <c r="H40" s="181"/>
      <c r="I40" s="88"/>
      <c r="J40" s="136"/>
      <c r="K40" s="182"/>
      <c r="L40" s="179"/>
      <c r="M40" s="173"/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  <c r="AG40" s="173"/>
      <c r="AH40" s="173"/>
    </row>
    <row r="41" spans="1:34" x14ac:dyDescent="0.25">
      <c r="A41" s="174"/>
      <c r="B41" s="165"/>
      <c r="C41" s="88"/>
      <c r="D41" s="176"/>
      <c r="E41" s="176"/>
      <c r="F41" s="192"/>
      <c r="G41" s="180" t="str">
        <f t="shared" si="1"/>
        <v/>
      </c>
      <c r="H41" s="181"/>
      <c r="I41" s="88"/>
      <c r="J41" s="136"/>
      <c r="K41" s="182"/>
      <c r="L41" s="179"/>
      <c r="M41" s="173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  <c r="AG41" s="173"/>
      <c r="AH41" s="173"/>
    </row>
    <row r="42" spans="1:34" x14ac:dyDescent="0.25">
      <c r="A42" s="174"/>
      <c r="B42" s="165"/>
      <c r="C42" s="88"/>
      <c r="D42" s="176"/>
      <c r="E42" s="176"/>
      <c r="F42" s="192"/>
      <c r="G42" s="180" t="str">
        <f t="shared" si="1"/>
        <v/>
      </c>
      <c r="H42" s="181"/>
      <c r="I42" s="88"/>
      <c r="J42" s="136"/>
      <c r="K42" s="182"/>
      <c r="L42" s="179"/>
      <c r="M42" s="173"/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  <c r="AG42" s="173"/>
      <c r="AH42" s="173"/>
    </row>
    <row r="43" spans="1:34" x14ac:dyDescent="0.25">
      <c r="A43" s="174"/>
      <c r="B43" s="165"/>
      <c r="C43" s="88"/>
      <c r="D43" s="176"/>
      <c r="E43" s="176"/>
      <c r="F43" s="192"/>
      <c r="G43" s="180" t="str">
        <f t="shared" si="1"/>
        <v/>
      </c>
      <c r="H43" s="181"/>
      <c r="I43" s="88"/>
      <c r="J43" s="136"/>
      <c r="K43" s="182"/>
      <c r="L43" s="179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</row>
    <row r="44" spans="1:34" x14ac:dyDescent="0.25">
      <c r="A44" s="174"/>
      <c r="B44" s="165"/>
      <c r="C44" s="88"/>
      <c r="D44" s="176"/>
      <c r="E44" s="176"/>
      <c r="F44" s="192"/>
      <c r="G44" s="180" t="str">
        <f t="shared" si="1"/>
        <v/>
      </c>
      <c r="H44" s="181"/>
      <c r="I44" s="88"/>
      <c r="J44" s="136"/>
      <c r="K44" s="182"/>
      <c r="L44" s="179"/>
      <c r="M44" s="173"/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  <c r="AG44" s="173"/>
      <c r="AH44" s="173"/>
    </row>
    <row r="45" spans="1:34" x14ac:dyDescent="0.25">
      <c r="A45" s="174"/>
      <c r="B45" s="165"/>
      <c r="C45" s="88"/>
      <c r="D45" s="176"/>
      <c r="E45" s="176"/>
      <c r="F45" s="192"/>
      <c r="G45" s="180" t="str">
        <f t="shared" si="1"/>
        <v/>
      </c>
      <c r="H45" s="181"/>
      <c r="I45" s="88"/>
      <c r="J45" s="136"/>
      <c r="K45" s="182"/>
      <c r="L45" s="179"/>
      <c r="M45" s="173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  <c r="AG45" s="173"/>
      <c r="AH45" s="173"/>
    </row>
    <row r="46" spans="1:34" x14ac:dyDescent="0.25">
      <c r="A46" s="174"/>
      <c r="B46" s="165"/>
      <c r="C46" s="88"/>
      <c r="D46" s="176"/>
      <c r="E46" s="176"/>
      <c r="F46" s="192"/>
      <c r="G46" s="180" t="str">
        <f t="shared" si="1"/>
        <v/>
      </c>
      <c r="H46" s="181"/>
      <c r="I46" s="88"/>
      <c r="J46" s="136"/>
      <c r="K46" s="182"/>
      <c r="L46" s="179"/>
      <c r="M46" s="173"/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  <c r="AG46" s="173"/>
      <c r="AH46" s="173"/>
    </row>
    <row r="47" spans="1:34" x14ac:dyDescent="0.25">
      <c r="A47" s="174"/>
      <c r="B47" s="165"/>
      <c r="C47" s="88"/>
      <c r="D47" s="176"/>
      <c r="E47" s="176"/>
      <c r="F47" s="192"/>
      <c r="G47" s="180" t="str">
        <f t="shared" si="1"/>
        <v/>
      </c>
      <c r="H47" s="181"/>
      <c r="I47" s="88"/>
      <c r="J47" s="136"/>
      <c r="K47" s="182"/>
      <c r="L47" s="179"/>
      <c r="M47" s="173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  <c r="AG47" s="173"/>
      <c r="AH47" s="173"/>
    </row>
    <row r="48" spans="1:34" x14ac:dyDescent="0.25">
      <c r="A48" s="174"/>
      <c r="B48" s="165"/>
      <c r="C48" s="88"/>
      <c r="D48" s="176"/>
      <c r="E48" s="176"/>
      <c r="F48" s="192"/>
      <c r="G48" s="180" t="str">
        <f t="shared" si="1"/>
        <v/>
      </c>
      <c r="H48" s="181"/>
      <c r="I48" s="88"/>
      <c r="J48" s="136"/>
      <c r="K48" s="182"/>
      <c r="L48" s="179"/>
      <c r="M48" s="173"/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  <c r="AG48" s="173"/>
      <c r="AH48" s="173"/>
    </row>
    <row r="49" spans="1:12" x14ac:dyDescent="0.25">
      <c r="A49" s="174"/>
      <c r="B49" s="165"/>
      <c r="C49" s="88"/>
      <c r="D49" s="176"/>
      <c r="E49" s="176"/>
      <c r="F49" s="192"/>
      <c r="G49" s="180" t="str">
        <f t="shared" si="1"/>
        <v/>
      </c>
      <c r="H49" s="181"/>
      <c r="I49" s="88"/>
      <c r="J49" s="136"/>
      <c r="K49" s="182"/>
      <c r="L49" s="179"/>
    </row>
    <row r="50" spans="1:12" x14ac:dyDescent="0.25">
      <c r="A50" s="174"/>
      <c r="B50" s="165"/>
      <c r="C50" s="88"/>
      <c r="D50" s="176"/>
      <c r="E50" s="176"/>
      <c r="F50" s="192"/>
      <c r="G50" s="180" t="str">
        <f t="shared" si="1"/>
        <v/>
      </c>
      <c r="H50" s="181"/>
      <c r="I50" s="88"/>
      <c r="J50" s="136"/>
      <c r="K50" s="182"/>
      <c r="L50" s="179"/>
    </row>
    <row r="51" spans="1:12" x14ac:dyDescent="0.25">
      <c r="A51" s="174"/>
      <c r="B51" s="165"/>
      <c r="C51" s="88"/>
      <c r="D51" s="176"/>
      <c r="E51" s="176"/>
      <c r="F51" s="192"/>
      <c r="G51" s="180" t="str">
        <f t="shared" si="1"/>
        <v/>
      </c>
      <c r="H51" s="181"/>
      <c r="I51" s="88"/>
      <c r="J51" s="136"/>
      <c r="K51" s="182"/>
      <c r="L51" s="179"/>
    </row>
    <row r="52" spans="1:12" x14ac:dyDescent="0.25">
      <c r="A52" s="193"/>
      <c r="B52" s="264"/>
      <c r="C52" s="94">
        <f>SUM(C4:C51)</f>
        <v>19</v>
      </c>
      <c r="D52" s="95"/>
      <c r="E52" s="95"/>
      <c r="F52" s="67" t="s">
        <v>905</v>
      </c>
      <c r="G52" s="94">
        <f>SUM(G4:G51)</f>
        <v>2500</v>
      </c>
      <c r="H52" s="194"/>
      <c r="I52" s="96"/>
      <c r="J52" s="96"/>
      <c r="K52" s="195"/>
      <c r="L52" s="196"/>
    </row>
    <row r="53" spans="1:12" x14ac:dyDescent="0.25">
      <c r="A53" s="173"/>
      <c r="C53" s="173"/>
      <c r="D53" s="197"/>
      <c r="E53" s="197"/>
      <c r="F53" s="198"/>
      <c r="G53" s="173"/>
      <c r="H53" s="199"/>
      <c r="I53" s="97"/>
      <c r="J53" s="97"/>
      <c r="K53" s="173"/>
      <c r="L53" s="173"/>
    </row>
    <row r="54" spans="1:12" x14ac:dyDescent="0.25">
      <c r="A54" s="173"/>
      <c r="C54" s="173"/>
      <c r="D54" s="197"/>
      <c r="E54" s="197"/>
      <c r="F54" s="198"/>
      <c r="G54" s="173"/>
      <c r="H54" s="199"/>
      <c r="I54" s="97"/>
      <c r="J54" s="97"/>
      <c r="K54" s="173"/>
      <c r="L54" s="173"/>
    </row>
    <row r="55" spans="1:12" x14ac:dyDescent="0.25">
      <c r="A55" s="173"/>
      <c r="C55" s="173"/>
      <c r="D55" s="197"/>
      <c r="E55" s="197"/>
      <c r="F55" s="198"/>
      <c r="G55" s="173"/>
      <c r="H55" s="199"/>
      <c r="I55" s="97"/>
      <c r="J55" s="97"/>
      <c r="K55" s="173"/>
      <c r="L55" s="173"/>
    </row>
    <row r="56" spans="1:12" x14ac:dyDescent="0.25">
      <c r="A56" s="173"/>
      <c r="C56" s="173"/>
      <c r="D56" s="197"/>
      <c r="E56" s="197"/>
      <c r="F56" s="198"/>
      <c r="G56" s="173"/>
      <c r="H56" s="199"/>
      <c r="I56" s="97"/>
      <c r="J56" s="97"/>
      <c r="K56" s="173"/>
      <c r="L56" s="173"/>
    </row>
  </sheetData>
  <pageMargins left="0.25" right="0.25" top="0.75" bottom="0.75" header="0.3" footer="0.3"/>
  <pageSetup paperSize="9" scale="67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51E3CD-D34F-454A-AF5E-DF7D80549BA7}">
          <x14:formula1>
            <xm:f>Fincas!$B$2:$B$105</xm:f>
          </x14:formula1>
          <xm:sqref>F2</xm:sqref>
        </x14:dataValidation>
        <x14:dataValidation type="list" showInputMessage="1" showErrorMessage="1" xr:uid="{DB90204D-23C3-40D9-8EC3-B845879CE632}">
          <x14:formula1>
            <xm:f>Guias!$O$16:$O$20</xm:f>
          </x14:formula1>
          <xm:sqref>J2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ACD5-8D3C-4083-BBA7-8C2AA77A02F6}">
  <sheetPr>
    <tabColor theme="7" tint="0.39997558519241921"/>
  </sheetPr>
  <dimension ref="A1:R135"/>
  <sheetViews>
    <sheetView zoomScaleNormal="100" workbookViewId="0">
      <selection activeCell="G111" sqref="G111"/>
    </sheetView>
  </sheetViews>
  <sheetFormatPr defaultRowHeight="15" x14ac:dyDescent="0.25"/>
  <cols>
    <col min="1" max="1" width="1.42578125" style="52" customWidth="1"/>
    <col min="2" max="2" width="12.42578125" style="52" customWidth="1"/>
    <col min="3" max="3" width="9.140625" style="52" customWidth="1"/>
    <col min="4" max="4" width="4.5703125" style="52" bestFit="1" customWidth="1"/>
    <col min="5" max="5" width="7.7109375" style="52" bestFit="1" customWidth="1"/>
    <col min="6" max="6" width="17.28515625" style="62" bestFit="1" customWidth="1"/>
    <col min="7" max="7" width="90.140625" style="52" bestFit="1" customWidth="1"/>
    <col min="8" max="8" width="7.28515625" style="52" bestFit="1" customWidth="1"/>
    <col min="9" max="9" width="8.7109375" style="63" bestFit="1" customWidth="1"/>
    <col min="10" max="10" width="9.85546875" style="64" customWidth="1"/>
    <col min="11" max="11" width="11.7109375" style="64" customWidth="1"/>
    <col min="12" max="12" width="12" style="64" customWidth="1"/>
    <col min="13" max="13" width="25.42578125" style="52" customWidth="1"/>
    <col min="14" max="14" width="11.42578125" style="52" customWidth="1"/>
    <col min="15" max="15" width="1.7109375" style="52" customWidth="1"/>
    <col min="16" max="16" width="3" style="52" customWidth="1"/>
    <col min="17" max="17" width="25.5703125" style="52" bestFit="1" customWidth="1"/>
    <col min="18" max="16384" width="9.140625" style="52"/>
  </cols>
  <sheetData>
    <row r="1" spans="1:18" x14ac:dyDescent="0.25">
      <c r="A1" s="98"/>
      <c r="B1" s="99"/>
      <c r="C1" s="99"/>
      <c r="D1" s="100"/>
      <c r="E1" s="100"/>
      <c r="F1" s="101"/>
      <c r="G1" s="101"/>
      <c r="H1" s="99"/>
      <c r="I1" s="102"/>
      <c r="J1" s="103"/>
      <c r="K1" s="103"/>
      <c r="L1" s="103"/>
      <c r="M1" s="104"/>
      <c r="N1" s="105"/>
      <c r="O1" s="106"/>
      <c r="P1" s="159"/>
      <c r="Q1" s="159"/>
      <c r="R1" s="159"/>
    </row>
    <row r="2" spans="1:18" ht="18.75" customHeight="1" x14ac:dyDescent="0.25">
      <c r="A2" s="107"/>
      <c r="B2" s="110"/>
      <c r="C2" s="53" t="s">
        <v>906</v>
      </c>
      <c r="D2" s="54"/>
      <c r="E2" s="54"/>
      <c r="F2" s="54"/>
      <c r="G2" s="54"/>
      <c r="H2" s="54"/>
      <c r="I2" s="54"/>
      <c r="J2" s="108" t="s">
        <v>907</v>
      </c>
      <c r="K2" s="184"/>
      <c r="L2" s="109" t="s">
        <v>889</v>
      </c>
      <c r="M2" s="200" t="s">
        <v>485</v>
      </c>
      <c r="N2" s="55"/>
      <c r="O2" s="110"/>
      <c r="P2" s="159"/>
      <c r="Q2" s="159"/>
      <c r="R2" s="159"/>
    </row>
    <row r="3" spans="1:18" ht="15.75" x14ac:dyDescent="0.25">
      <c r="A3" s="107"/>
      <c r="B3" s="161" t="s">
        <v>908</v>
      </c>
      <c r="C3" s="56" t="s">
        <v>899</v>
      </c>
      <c r="D3" s="56" t="s">
        <v>15</v>
      </c>
      <c r="E3" s="56" t="s">
        <v>900</v>
      </c>
      <c r="F3" s="57" t="s">
        <v>0</v>
      </c>
      <c r="G3" s="56" t="s">
        <v>901</v>
      </c>
      <c r="H3" s="56" t="s">
        <v>902</v>
      </c>
      <c r="I3" s="58" t="s">
        <v>9</v>
      </c>
      <c r="J3" s="59" t="s">
        <v>894</v>
      </c>
      <c r="K3" s="59" t="s">
        <v>909</v>
      </c>
      <c r="L3" s="59" t="s">
        <v>24</v>
      </c>
      <c r="M3" s="60" t="s">
        <v>485</v>
      </c>
      <c r="N3" s="56" t="s">
        <v>562</v>
      </c>
      <c r="O3" s="110"/>
      <c r="P3" s="159"/>
      <c r="Q3" s="111" t="s">
        <v>910</v>
      </c>
      <c r="R3" s="159"/>
    </row>
    <row r="4" spans="1:18" x14ac:dyDescent="0.25">
      <c r="A4" s="107"/>
      <c r="B4" s="162" t="str" cm="1">
        <f t="array" ref="B4:B117">_xlfn.LET(
    _xlpm.b, Main[Qty],
    _xlpm.aa, Main[Inventarios],
    _xlpm.resta, _xlfn.MAP(_xlpm.aa, _xlfn.LAMBDA(_xlpm.id, IF(_xlpm.id="", 0, COUNTA(_xlfn.TEXTSPLIT(_xlpm.id, ",", , TRUE))))),
    _xlpm.final, _xlpm.b-_xlpm.resta,
    _xlpm.filas, _xlfn.SEQUENCE(ROWS(Main[Qty]))+1,
    _xlpm.mask, IF(K2="", _xlpm.final&gt;0, (_xlpm.final&gt;0)*(Main[Finca]=K2)),
    _xlpm.data, "Order #" &amp; _xlfn._xlws.FILTER(_xlpm.filas,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Order #15</v>
      </c>
      <c r="C4" s="61" cm="1">
        <f t="array" ref="C4:C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_xlfn._xlws.FILTER(_xlpm.final,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5</v>
      </c>
      <c r="D4" s="201" t="str" cm="1">
        <f t="array" ref="D4:D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_xlfn._xlws.FILTER(Main[Type of Box],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EB</v>
      </c>
      <c r="E4" s="176" cm="1">
        <f t="array" ref="E4:E117">_xlfn.LET(
    _xlpm.b, Main[Qty],
    _xlpm.aa, Main[Inventarios],
    _xlpm.d, Main[Cantidad_Min],
    _xlpm.g, Main[Nombre],
    _xlpm.resta, _xlfn.MAP(_xlpm.aa, _xlfn.LAMBDA(_xlpm.id, IF(_xlpm.id="", 0, COUNTA(_xlfn.TEXTSPLIT(_xlpm.id, ",", , TRUE))))),
    _xlpm.final, _xlpm.b-_xlpm.resta,
    _xlpm.colE, _xlfn.MAP(_xlpm.d, _xlpm.g, _xlfn.LAMBDA(_xlpm.valD,_xlpm.valG, IFERROR(IF(_xlpm.valD=1, --TRIM(_xlfn.TEXTAFTER(_xlfn.TEXTBEFORE(_xlpm.valG, "("), "x ", -1)), _xlpm.valD), _xlpm.valD))),
    _xlpm.mask, IF(K2="", _xlpm.final&gt;0, (_xlpm.final&gt;0)*(Main[Finca]=K2)),
    _xlpm.data, _xlfn._xlws.FILTER(_xlpm.colE,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40</v>
      </c>
      <c r="F4" s="192" t="str" cm="1">
        <f t="array" ref="F4:F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_xlfn._xlws.FILTER(Main[Finca],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Campos de Aroma</v>
      </c>
      <c r="G4" s="175" t="str" cm="1">
        <f t="array" ref="G4:G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_xlfn._xlws.FILTER(Main[Variedad] &amp; " " &amp; Main[Nombre],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Sunflower Select Vincents Choice (M/T)</v>
      </c>
      <c r="H4" s="180" cm="1">
        <f t="array" ref="H4:H117">_xlfn.ANCHORARRAY(C4) *_xlfn.ANCHORARRAY( E4)</f>
        <v>200</v>
      </c>
      <c r="I4" s="202" cm="1">
        <f t="array" ref="I4:I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_xlfn._xlws.FILTER(Main[Markup],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0.24186390532544377</v>
      </c>
      <c r="J4" s="112" cm="1">
        <f t="array" ref="J4:J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_xlfn._xlws.FILTER(Main[Precio],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1.69</v>
      </c>
      <c r="K4" s="203">
        <f>IF(OR(E4="", J4=""), "", IF(COUNTIF(G4, "* x * (*)*"), J4, E4*J4))</f>
        <v>67.599999999999994</v>
      </c>
      <c r="L4" s="112">
        <f>IF(OR(K4="", C4=""), "", K4*C4)</f>
        <v>338</v>
      </c>
      <c r="M4" s="181" cm="1">
        <f t="array" ref="M4:M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_xlfn._xlws.FILTER(Main[FechaEntrega],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46309</v>
      </c>
      <c r="N4" s="89" t="str" cm="1">
        <f t="array" ref="N4:N117">_xlfn.LET(
    _xlpm.b, Main[Qty],
    _xlpm.aa, Main[Inventarios],
    _xlpm.resta, _xlfn.MAP(_xlpm.aa, _xlfn.LAMBDA(_xlpm.id, IF(_xlpm.id="", 0, COUNTA(_xlfn.TEXTSPLIT(_xlpm.id, ",", , TRUE))))),
    _xlpm.final, _xlpm.b-_xlpm.resta,
    _xlpm.mask, IF(K2="", _xlpm.final&gt;0, (_xlpm.final&gt;0)*(Main[Finca]=K2)),
    _xlpm.data, _xlfn._xlws.FILTER(Main[Color], _xlpm.mask),
    _xlpm.sFinca, _xlfn._xlws.FILTER(Main[Finca], _xlpm.mask),
    _xlpm.sMarkup, _xlfn._xlws.FILTER(Main[Markup], _xlpm.mask),
    _xlpm.sEntrega, _xlfn._xlws.FILTER(Main[FechaEntrega], _xlpm.mask),
    IF(M2="Finca", _xlfn.SORTBY(_xlpm.data, _xlpm.sFinca, 1),
    IF(M2="Markup", _xlfn.SORTBY(_xlpm.data, _xlpm.sMarkup, -1),
    IF(M2="Entrega", _xlfn.SORTBY(_xlpm.data, _xlpm.sEntrega, 1),
    _xlpm.data)))
)</f>
        <v>PO107167</v>
      </c>
      <c r="O4" s="204"/>
      <c r="P4" s="159"/>
      <c r="Q4" s="205" t="str">
        <f>"Hay "&amp;(SUMIF(D4:D130,"*EB*",C4:C130))&amp;" EB en Orden Fija"</f>
        <v>Hay 129 EB en Orden Fija</v>
      </c>
      <c r="R4" s="159"/>
    </row>
    <row r="5" spans="1:18" x14ac:dyDescent="0.25">
      <c r="A5" s="107"/>
      <c r="B5" s="163" t="str">
        <v>Order #16</v>
      </c>
      <c r="C5" s="113">
        <v>1</v>
      </c>
      <c r="D5" s="180" t="str">
        <v>QB</v>
      </c>
      <c r="E5" s="180">
        <v>125</v>
      </c>
      <c r="F5" s="184" t="str">
        <v>Ceres Farms</v>
      </c>
      <c r="G5" s="184" t="str">
        <v>Roses 50cm 25 Explorer/25 Pink Mondial/25 Hermosa/25 White Mondial/25 Phoenix (M/T)</v>
      </c>
      <c r="H5" s="180">
        <v>125</v>
      </c>
      <c r="I5" s="202">
        <v>0.20289855072463758</v>
      </c>
      <c r="J5" s="112">
        <v>1.1499999999999999</v>
      </c>
      <c r="K5" s="203">
        <f t="shared" ref="K5:K69" si="0">IF(OR(E5="", J5=""), "", IF(COUNTIF(G5, "* x * (*)*"), J5, E5*J5))</f>
        <v>143.75</v>
      </c>
      <c r="L5" s="112">
        <f t="shared" ref="L5:L69" si="1">IF(OR(K5="", C5=""), "", K5*C5)</f>
        <v>143.75</v>
      </c>
      <c r="M5" s="185">
        <v>46309</v>
      </c>
      <c r="N5" s="114" t="str">
        <v>PO107168</v>
      </c>
      <c r="O5" s="204"/>
      <c r="P5" s="159"/>
      <c r="Q5" s="206" t="str">
        <f>"Hay "&amp;(SUMIF(D5:D131,"*QB*",C5:C131))&amp;" QB en Orden Fija"</f>
        <v>Hay 110 QB en Orden Fija</v>
      </c>
      <c r="R5" s="159"/>
    </row>
    <row r="6" spans="1:18" x14ac:dyDescent="0.25">
      <c r="A6" s="107"/>
      <c r="B6" s="163" t="str">
        <v>Order #50</v>
      </c>
      <c r="C6" s="113">
        <v>1</v>
      </c>
      <c r="D6" s="180" t="str">
        <v>QB</v>
      </c>
      <c r="E6" s="180">
        <v>125</v>
      </c>
      <c r="F6" s="184" t="str">
        <v>Florecal</v>
      </c>
      <c r="G6" s="184" t="str">
        <v>Roses 50cm Explorer (M/T)</v>
      </c>
      <c r="H6" s="180">
        <v>125</v>
      </c>
      <c r="I6" s="202">
        <v>0.22965116279069764</v>
      </c>
      <c r="J6" s="112">
        <v>1.29</v>
      </c>
      <c r="K6" s="203">
        <f t="shared" si="0"/>
        <v>161.25</v>
      </c>
      <c r="L6" s="112">
        <f t="shared" si="1"/>
        <v>161.25</v>
      </c>
      <c r="M6" s="185">
        <v>46309</v>
      </c>
      <c r="N6" s="114" t="str">
        <v>PO107202</v>
      </c>
      <c r="O6" s="204"/>
      <c r="P6" s="159"/>
      <c r="Q6" s="207" t="str">
        <f>"Hay "&amp;(SUMIF(D6:D132,"*HB*",C6:C132))&amp;" HB en Orden Fija"</f>
        <v>Hay 0 HB en Orden Fija</v>
      </c>
      <c r="R6" s="159"/>
    </row>
    <row r="7" spans="1:18" x14ac:dyDescent="0.25">
      <c r="A7" s="107"/>
      <c r="B7" s="163" t="str">
        <v>Order #65</v>
      </c>
      <c r="C7" s="113">
        <v>1</v>
      </c>
      <c r="D7" s="180" t="str">
        <v>EB</v>
      </c>
      <c r="E7" s="180">
        <v>50</v>
      </c>
      <c r="F7" s="184" t="str">
        <v>Florecal</v>
      </c>
      <c r="G7" s="184" t="str">
        <v>Roses 60cm Freedom (M/T)</v>
      </c>
      <c r="H7" s="180">
        <v>50</v>
      </c>
      <c r="I7" s="202">
        <v>0.13730425055928408</v>
      </c>
      <c r="J7" s="112">
        <v>1.49</v>
      </c>
      <c r="K7" s="203">
        <f t="shared" si="0"/>
        <v>74.5</v>
      </c>
      <c r="L7" s="112">
        <f t="shared" si="1"/>
        <v>74.5</v>
      </c>
      <c r="M7" s="185">
        <v>46309</v>
      </c>
      <c r="N7" s="114" t="str">
        <v>PO107217</v>
      </c>
      <c r="O7" s="204"/>
      <c r="P7" s="159"/>
      <c r="Q7" s="115" t="str">
        <f>"Hay "&amp;SUM(C4:C130)&amp;" Cajas en Orden Fija"</f>
        <v>Hay 239 Cajas en Orden Fija</v>
      </c>
      <c r="R7" s="159"/>
    </row>
    <row r="8" spans="1:18" x14ac:dyDescent="0.25">
      <c r="A8" s="107"/>
      <c r="B8" s="163" t="str">
        <v>Order #66</v>
      </c>
      <c r="C8" s="113">
        <v>1</v>
      </c>
      <c r="D8" s="180" t="str">
        <v>QB</v>
      </c>
      <c r="E8" s="180">
        <v>125</v>
      </c>
      <c r="F8" s="184" t="str">
        <v>Florecal</v>
      </c>
      <c r="G8" s="184" t="str">
        <v>Roses 50cm Redvolution (M/T)</v>
      </c>
      <c r="H8" s="180">
        <v>125</v>
      </c>
      <c r="I8" s="202">
        <v>0.28507194244604306</v>
      </c>
      <c r="J8" s="112">
        <v>1.39</v>
      </c>
      <c r="K8" s="203">
        <f t="shared" si="0"/>
        <v>173.75</v>
      </c>
      <c r="L8" s="112">
        <f t="shared" si="1"/>
        <v>173.75</v>
      </c>
      <c r="M8" s="185">
        <v>46309</v>
      </c>
      <c r="N8" s="114" t="str">
        <v>PO107218</v>
      </c>
      <c r="O8" s="204"/>
      <c r="P8" s="159"/>
      <c r="Q8" s="159"/>
      <c r="R8" s="159"/>
    </row>
    <row r="9" spans="1:18" x14ac:dyDescent="0.25">
      <c r="A9" s="107"/>
      <c r="B9" s="163" t="str">
        <v>Order #67</v>
      </c>
      <c r="C9" s="113">
        <v>1</v>
      </c>
      <c r="D9" s="180" t="str">
        <v>QB</v>
      </c>
      <c r="E9" s="180">
        <v>125</v>
      </c>
      <c r="F9" s="184" t="str">
        <v>Florecal</v>
      </c>
      <c r="G9" s="184" t="str">
        <v>Roses 50cm Fortune (M/T)</v>
      </c>
      <c r="H9" s="180">
        <v>125</v>
      </c>
      <c r="I9" s="202">
        <v>0.28507194244604306</v>
      </c>
      <c r="J9" s="112">
        <v>1.39</v>
      </c>
      <c r="K9" s="203">
        <f t="shared" si="0"/>
        <v>173.75</v>
      </c>
      <c r="L9" s="112">
        <f t="shared" si="1"/>
        <v>173.75</v>
      </c>
      <c r="M9" s="185">
        <v>46309</v>
      </c>
      <c r="N9" s="114" t="str">
        <v>PO107219</v>
      </c>
      <c r="O9" s="204"/>
      <c r="P9" s="159"/>
      <c r="Q9" s="159"/>
      <c r="R9" s="159"/>
    </row>
    <row r="10" spans="1:18" x14ac:dyDescent="0.25">
      <c r="A10" s="107"/>
      <c r="B10" s="163" t="str">
        <v>Order #90</v>
      </c>
      <c r="C10" s="113">
        <v>1</v>
      </c>
      <c r="D10" s="180" t="str">
        <v>QB</v>
      </c>
      <c r="E10" s="180">
        <v>100</v>
      </c>
      <c r="F10" s="184" t="str">
        <v>Flores Verdes</v>
      </c>
      <c r="G10" s="184" t="str">
        <v>Roses 60cm 50 Explorer/25 Mondial/25 Pink Mondial (M/T)</v>
      </c>
      <c r="H10" s="180">
        <v>100</v>
      </c>
      <c r="I10" s="202">
        <v>0.28691275167785224</v>
      </c>
      <c r="J10" s="112">
        <v>1.49</v>
      </c>
      <c r="K10" s="203">
        <f t="shared" si="0"/>
        <v>149</v>
      </c>
      <c r="L10" s="112">
        <f t="shared" si="1"/>
        <v>149</v>
      </c>
      <c r="M10" s="185">
        <v>46309</v>
      </c>
      <c r="N10" s="114" t="str">
        <v>PO107242</v>
      </c>
      <c r="O10" s="204"/>
      <c r="P10" s="159"/>
      <c r="Q10" s="159"/>
      <c r="R10" s="159"/>
    </row>
    <row r="11" spans="1:18" x14ac:dyDescent="0.25">
      <c r="A11" s="107"/>
      <c r="B11" s="163" t="str">
        <v>Order #91</v>
      </c>
      <c r="C11" s="113">
        <v>1</v>
      </c>
      <c r="D11" s="180" t="str">
        <v>QB</v>
      </c>
      <c r="E11" s="180">
        <v>100</v>
      </c>
      <c r="F11" s="184" t="str">
        <v>Flores Verdes</v>
      </c>
      <c r="G11" s="184" t="str">
        <v>Roses 60cm 25 Deep Purple/25 Yellow/25 Free Spirit/25 Lola (M/T)</v>
      </c>
      <c r="H11" s="180">
        <v>100</v>
      </c>
      <c r="I11" s="202">
        <v>0.27419354838709675</v>
      </c>
      <c r="J11" s="112">
        <v>1.55</v>
      </c>
      <c r="K11" s="203">
        <f t="shared" si="0"/>
        <v>155</v>
      </c>
      <c r="L11" s="112">
        <f t="shared" si="1"/>
        <v>155</v>
      </c>
      <c r="M11" s="185">
        <v>46309</v>
      </c>
      <c r="N11" s="114" t="str">
        <v>PO107243</v>
      </c>
      <c r="O11" s="204"/>
      <c r="P11" s="159"/>
      <c r="Q11" s="159"/>
      <c r="R11" s="159"/>
    </row>
    <row r="12" spans="1:18" x14ac:dyDescent="0.25">
      <c r="A12" s="107"/>
      <c r="B12" s="163" t="str">
        <v>Order #92</v>
      </c>
      <c r="C12" s="113">
        <v>1</v>
      </c>
      <c r="D12" s="180" t="str">
        <v>EB</v>
      </c>
      <c r="E12" s="180">
        <v>50</v>
      </c>
      <c r="F12" s="184" t="str">
        <v>Flores Verdes</v>
      </c>
      <c r="G12" s="184" t="str">
        <v>Garden Spray Roses 50cm 30 Rosanella/20 Jeanine (M/T)</v>
      </c>
      <c r="H12" s="180">
        <v>50</v>
      </c>
      <c r="I12" s="202">
        <v>0.22602420856610794</v>
      </c>
      <c r="J12" s="112">
        <v>1.79</v>
      </c>
      <c r="K12" s="203">
        <f t="shared" si="0"/>
        <v>89.5</v>
      </c>
      <c r="L12" s="112">
        <f t="shared" si="1"/>
        <v>89.5</v>
      </c>
      <c r="M12" s="185">
        <v>46309</v>
      </c>
      <c r="N12" s="114" t="str">
        <v>PO107244</v>
      </c>
      <c r="O12" s="204"/>
      <c r="P12" s="159"/>
      <c r="Q12" s="159"/>
      <c r="R12" s="159"/>
    </row>
    <row r="13" spans="1:18" x14ac:dyDescent="0.25">
      <c r="A13" s="107"/>
      <c r="B13" s="163" t="str">
        <v>Order #105</v>
      </c>
      <c r="C13" s="113">
        <v>1</v>
      </c>
      <c r="D13" s="180" t="str">
        <v>EB</v>
      </c>
      <c r="E13" s="180">
        <v>50</v>
      </c>
      <c r="F13" s="184" t="str">
        <v>Flores Verdes</v>
      </c>
      <c r="G13" s="184" t="str">
        <v>Garden Spray Roses 50cm 30 Rosanella/20 Jeanine (M/T)</v>
      </c>
      <c r="H13" s="180">
        <v>50</v>
      </c>
      <c r="I13" s="202">
        <v>0.22602420856610794</v>
      </c>
      <c r="J13" s="112">
        <v>1.79</v>
      </c>
      <c r="K13" s="203">
        <f t="shared" si="0"/>
        <v>89.5</v>
      </c>
      <c r="L13" s="112">
        <f t="shared" si="1"/>
        <v>89.5</v>
      </c>
      <c r="M13" s="185">
        <v>46309</v>
      </c>
      <c r="N13" s="114" t="str">
        <v>PO107257</v>
      </c>
      <c r="O13" s="204"/>
      <c r="P13" s="159"/>
      <c r="Q13" s="159"/>
      <c r="R13" s="159"/>
    </row>
    <row r="14" spans="1:18" x14ac:dyDescent="0.25">
      <c r="A14" s="107"/>
      <c r="B14" s="163" t="str">
        <v>Order #119</v>
      </c>
      <c r="C14" s="113">
        <v>1</v>
      </c>
      <c r="D14" s="180" t="str">
        <v>QB</v>
      </c>
      <c r="E14" s="180">
        <v>80</v>
      </c>
      <c r="F14" s="184" t="str">
        <v>Florisol</v>
      </c>
      <c r="G14" s="184" t="str">
        <v>Sunny Mix Box x 80 (M/T)</v>
      </c>
      <c r="H14" s="180">
        <v>80</v>
      </c>
      <c r="I14" s="202">
        <v>0.24161610774051601</v>
      </c>
      <c r="J14" s="112">
        <v>149.99</v>
      </c>
      <c r="K14" s="203">
        <f t="shared" si="0"/>
        <v>149.99</v>
      </c>
      <c r="L14" s="112">
        <f t="shared" si="1"/>
        <v>149.99</v>
      </c>
      <c r="M14" s="185">
        <v>46309</v>
      </c>
      <c r="N14" s="114" t="str">
        <v>PO107271</v>
      </c>
      <c r="O14" s="204"/>
      <c r="P14" s="159"/>
      <c r="Q14" s="159"/>
      <c r="R14" s="159"/>
    </row>
    <row r="15" spans="1:18" x14ac:dyDescent="0.25">
      <c r="A15" s="107"/>
      <c r="B15" s="163" t="str">
        <v>Order #124</v>
      </c>
      <c r="C15" s="113">
        <v>1</v>
      </c>
      <c r="D15" s="180" t="str">
        <v>QB</v>
      </c>
      <c r="E15" s="180">
        <v>60</v>
      </c>
      <c r="F15" s="184" t="str">
        <v>Florisol</v>
      </c>
      <c r="G15" s="184" t="str">
        <v>Oriental Lilies 3-5 blooms White/Pink/Hot Pink (M/T)</v>
      </c>
      <c r="H15" s="180">
        <v>60</v>
      </c>
      <c r="I15" s="202">
        <v>0.27187848383500568</v>
      </c>
      <c r="J15" s="112">
        <v>2.99</v>
      </c>
      <c r="K15" s="203">
        <f t="shared" si="0"/>
        <v>179.4</v>
      </c>
      <c r="L15" s="112">
        <f t="shared" si="1"/>
        <v>179.4</v>
      </c>
      <c r="M15" s="185">
        <v>46309</v>
      </c>
      <c r="N15" s="114" t="str">
        <v>PO107276</v>
      </c>
      <c r="O15" s="204"/>
      <c r="P15" s="159"/>
      <c r="Q15" s="159"/>
      <c r="R15" s="159"/>
    </row>
    <row r="16" spans="1:18" x14ac:dyDescent="0.25">
      <c r="A16" s="107"/>
      <c r="B16" s="163" t="str">
        <v>Order #140</v>
      </c>
      <c r="C16" s="113">
        <v>1</v>
      </c>
      <c r="D16" s="180" t="str">
        <v>QB</v>
      </c>
      <c r="E16" s="180">
        <v>120</v>
      </c>
      <c r="F16" s="184" t="str">
        <v>Florisol</v>
      </c>
      <c r="G16" s="184" t="str">
        <v>(Vincents Choice) Essential Mix Alstro/Spray Roses/Delph/Gypso/Lepidium/Solidago x 120 (M/T)</v>
      </c>
      <c r="H16" s="180">
        <v>120</v>
      </c>
      <c r="I16" s="202">
        <v>0.28635752688172034</v>
      </c>
      <c r="J16" s="112">
        <v>155</v>
      </c>
      <c r="K16" s="203">
        <f t="shared" si="0"/>
        <v>155</v>
      </c>
      <c r="L16" s="112">
        <f t="shared" si="1"/>
        <v>155</v>
      </c>
      <c r="M16" s="185">
        <v>46309</v>
      </c>
      <c r="N16" s="114" t="str">
        <v>PO107292</v>
      </c>
      <c r="O16" s="204"/>
      <c r="P16" s="159"/>
      <c r="Q16" s="159"/>
      <c r="R16" s="159"/>
    </row>
    <row r="17" spans="1:18" x14ac:dyDescent="0.25">
      <c r="A17" s="107"/>
      <c r="B17" s="163" t="str">
        <v>Order #141</v>
      </c>
      <c r="C17" s="113">
        <v>1</v>
      </c>
      <c r="D17" s="180" t="str">
        <v>QB</v>
      </c>
      <c r="E17" s="180">
        <v>120</v>
      </c>
      <c r="F17" s="184" t="str">
        <v>Florisol</v>
      </c>
      <c r="G17" s="184" t="str">
        <v>Essential Mix Alstro/Spray Roses/Delph/Gypso/Lepidium/Solidago x 120 (M/T)</v>
      </c>
      <c r="H17" s="180">
        <v>120</v>
      </c>
      <c r="I17" s="202">
        <v>0.23708818999011438</v>
      </c>
      <c r="J17" s="112">
        <v>144.99</v>
      </c>
      <c r="K17" s="203">
        <f t="shared" si="0"/>
        <v>144.99</v>
      </c>
      <c r="L17" s="112">
        <f t="shared" si="1"/>
        <v>144.99</v>
      </c>
      <c r="M17" s="185">
        <v>46309</v>
      </c>
      <c r="N17" s="114" t="str">
        <v>PO107293</v>
      </c>
      <c r="O17" s="204"/>
      <c r="P17" s="159"/>
      <c r="Q17" s="159"/>
      <c r="R17" s="159"/>
    </row>
    <row r="18" spans="1:18" x14ac:dyDescent="0.25">
      <c r="A18" s="107"/>
      <c r="B18" s="163" t="str">
        <v>Order #142</v>
      </c>
      <c r="C18" s="113">
        <v>1</v>
      </c>
      <c r="D18" s="180" t="str">
        <v>QB</v>
      </c>
      <c r="E18" s="180">
        <v>60</v>
      </c>
      <c r="F18" s="184" t="str">
        <v>Florisol</v>
      </c>
      <c r="G18" s="184" t="str">
        <v>Oriental Lilies 3-5 blooms White/Pink/Hot Pink (M/T)</v>
      </c>
      <c r="H18" s="180">
        <v>60</v>
      </c>
      <c r="I18" s="202">
        <v>0.27187848383500568</v>
      </c>
      <c r="J18" s="112">
        <v>2.99</v>
      </c>
      <c r="K18" s="203">
        <f t="shared" si="0"/>
        <v>179.4</v>
      </c>
      <c r="L18" s="112">
        <f t="shared" si="1"/>
        <v>179.4</v>
      </c>
      <c r="M18" s="185">
        <v>46309</v>
      </c>
      <c r="N18" s="114" t="str">
        <v>PO107294</v>
      </c>
      <c r="O18" s="204"/>
      <c r="P18" s="159"/>
      <c r="Q18" s="159"/>
      <c r="R18" s="159"/>
    </row>
    <row r="19" spans="1:18" x14ac:dyDescent="0.25">
      <c r="A19" s="107"/>
      <c r="B19" s="163" t="str">
        <v>Order #143</v>
      </c>
      <c r="C19" s="113">
        <v>1</v>
      </c>
      <c r="D19" s="180" t="str">
        <v>EB</v>
      </c>
      <c r="E19" s="180">
        <v>60</v>
      </c>
      <c r="F19" s="184" t="str">
        <v>Florisol</v>
      </c>
      <c r="G19" s="184" t="str">
        <v>Solidago 70cm Premium Golden Glory (M/T)</v>
      </c>
      <c r="H19" s="180">
        <v>60</v>
      </c>
      <c r="I19" s="202">
        <v>0.22480620155038755</v>
      </c>
      <c r="J19" s="112">
        <v>1.29</v>
      </c>
      <c r="K19" s="203">
        <f t="shared" si="0"/>
        <v>77.400000000000006</v>
      </c>
      <c r="L19" s="112">
        <f t="shared" si="1"/>
        <v>77.400000000000006</v>
      </c>
      <c r="M19" s="185">
        <v>46309</v>
      </c>
      <c r="N19" s="114" t="str">
        <v>PO107295</v>
      </c>
      <c r="O19" s="204"/>
      <c r="P19" s="159"/>
      <c r="Q19" s="159"/>
      <c r="R19" s="159"/>
    </row>
    <row r="20" spans="1:18" x14ac:dyDescent="0.25">
      <c r="A20" s="107"/>
      <c r="B20" s="163" t="str">
        <v>Order #144</v>
      </c>
      <c r="C20" s="113">
        <v>1</v>
      </c>
      <c r="D20" s="180" t="str">
        <v>QB</v>
      </c>
      <c r="E20" s="180">
        <v>50</v>
      </c>
      <c r="F20" s="184" t="str">
        <v>Florisol</v>
      </c>
      <c r="G20" s="184" t="str">
        <v>Roselilies 3-5 Blooms  30 White/20 Pink (T/W)</v>
      </c>
      <c r="H20" s="180">
        <v>50</v>
      </c>
      <c r="I20" s="202">
        <v>0.25417661097852029</v>
      </c>
      <c r="J20" s="112">
        <v>4.1900000000000004</v>
      </c>
      <c r="K20" s="203">
        <f t="shared" si="0"/>
        <v>209.50000000000003</v>
      </c>
      <c r="L20" s="112">
        <f t="shared" si="1"/>
        <v>209.50000000000003</v>
      </c>
      <c r="M20" s="185">
        <v>46309</v>
      </c>
      <c r="N20" s="114" t="str">
        <v>PO107296</v>
      </c>
      <c r="O20" s="204"/>
      <c r="P20" s="159"/>
      <c r="Q20" s="159"/>
      <c r="R20" s="159"/>
    </row>
    <row r="21" spans="1:18" x14ac:dyDescent="0.25">
      <c r="A21" s="107"/>
      <c r="B21" s="163" t="str">
        <v>Order #157</v>
      </c>
      <c r="C21" s="113">
        <v>2</v>
      </c>
      <c r="D21" s="180" t="str">
        <v>EB</v>
      </c>
      <c r="E21" s="180">
        <v>50</v>
      </c>
      <c r="F21" s="184" t="str">
        <v>Hoja Verde</v>
      </c>
      <c r="G21" s="184" t="str">
        <v>Gerberas/Mini Gerberas Mix Assorted Colors (M/T)</v>
      </c>
      <c r="H21" s="180">
        <v>100</v>
      </c>
      <c r="I21" s="202">
        <v>0.24659329140461217</v>
      </c>
      <c r="J21" s="112">
        <v>1.59</v>
      </c>
      <c r="K21" s="203">
        <f t="shared" si="0"/>
        <v>79.5</v>
      </c>
      <c r="L21" s="112">
        <f t="shared" si="1"/>
        <v>159</v>
      </c>
      <c r="M21" s="185">
        <v>46309</v>
      </c>
      <c r="N21" s="114" t="str">
        <v>PO107309</v>
      </c>
      <c r="O21" s="204"/>
      <c r="P21" s="159"/>
      <c r="Q21" s="159"/>
      <c r="R21" s="159"/>
    </row>
    <row r="22" spans="1:18" x14ac:dyDescent="0.25">
      <c r="A22" s="107"/>
      <c r="B22" s="163" t="str">
        <v>Order #159</v>
      </c>
      <c r="C22" s="113">
        <v>1</v>
      </c>
      <c r="D22" s="180" t="str">
        <v>EB</v>
      </c>
      <c r="E22" s="180">
        <v>50</v>
      </c>
      <c r="F22" s="184" t="str">
        <v>Hoja Verde</v>
      </c>
      <c r="G22" s="184" t="str">
        <v>Mini Gerberas Assorted Colors (M/T)</v>
      </c>
      <c r="H22" s="180">
        <v>50</v>
      </c>
      <c r="I22" s="202">
        <v>0.24659329140461217</v>
      </c>
      <c r="J22" s="112">
        <v>1.59</v>
      </c>
      <c r="K22" s="203">
        <f t="shared" si="0"/>
        <v>79.5</v>
      </c>
      <c r="L22" s="112">
        <f t="shared" si="1"/>
        <v>79.5</v>
      </c>
      <c r="M22" s="185">
        <v>46309</v>
      </c>
      <c r="N22" s="114" t="str">
        <v>PO107311</v>
      </c>
      <c r="O22" s="204"/>
      <c r="P22" s="159"/>
      <c r="Q22" s="159"/>
      <c r="R22" s="159"/>
    </row>
    <row r="23" spans="1:18" x14ac:dyDescent="0.25">
      <c r="A23" s="107"/>
      <c r="B23" s="164" t="str">
        <v>Order #164</v>
      </c>
      <c r="C23" s="116">
        <v>1</v>
      </c>
      <c r="D23" s="188" t="str">
        <v>QB</v>
      </c>
      <c r="E23" s="188">
        <v>125</v>
      </c>
      <c r="F23" s="189" t="str">
        <v>Mystic Flowers</v>
      </c>
      <c r="G23" s="189" t="str">
        <v>Roses 60cm Hermosa (M/T)</v>
      </c>
      <c r="H23" s="180">
        <v>125</v>
      </c>
      <c r="I23" s="208">
        <v>0.23321759259259245</v>
      </c>
      <c r="J23" s="117">
        <v>1.44</v>
      </c>
      <c r="K23" s="203">
        <f t="shared" si="0"/>
        <v>180</v>
      </c>
      <c r="L23" s="112">
        <f t="shared" si="1"/>
        <v>180</v>
      </c>
      <c r="M23" s="190">
        <v>46309</v>
      </c>
      <c r="N23" s="118" t="str">
        <v>PO107316</v>
      </c>
      <c r="O23" s="204"/>
      <c r="P23" s="159"/>
      <c r="Q23" s="159"/>
      <c r="R23" s="159"/>
    </row>
    <row r="24" spans="1:18" x14ac:dyDescent="0.25">
      <c r="A24" s="107"/>
      <c r="B24" s="165" t="str">
        <v>Order #165</v>
      </c>
      <c r="C24" s="119">
        <v>2</v>
      </c>
      <c r="D24" s="176" t="str">
        <v>QB</v>
      </c>
      <c r="E24" s="176">
        <v>125</v>
      </c>
      <c r="F24" s="192" t="str">
        <v>Mystic Flowers</v>
      </c>
      <c r="G24" s="192" t="str">
        <v>Roses 60cm Freedom (M/T)</v>
      </c>
      <c r="H24" s="180">
        <v>250</v>
      </c>
      <c r="I24" s="202">
        <v>0.25059952038369293</v>
      </c>
      <c r="J24" s="112">
        <v>1.39</v>
      </c>
      <c r="K24" s="203">
        <f t="shared" si="0"/>
        <v>173.75</v>
      </c>
      <c r="L24" s="112">
        <f t="shared" si="1"/>
        <v>347.5</v>
      </c>
      <c r="M24" s="181">
        <v>46309</v>
      </c>
      <c r="N24" s="89" t="str">
        <v>PO107317</v>
      </c>
      <c r="O24" s="204"/>
      <c r="P24" s="159"/>
      <c r="Q24" s="159"/>
      <c r="R24" s="159"/>
    </row>
    <row r="25" spans="1:18" x14ac:dyDescent="0.25">
      <c r="A25" s="107"/>
      <c r="B25" s="165" t="str">
        <v>Order #187</v>
      </c>
      <c r="C25" s="119">
        <v>1</v>
      </c>
      <c r="D25" s="176" t="str">
        <v>QB</v>
      </c>
      <c r="E25" s="176">
        <v>100</v>
      </c>
      <c r="F25" s="192" t="str">
        <v>Star Roses</v>
      </c>
      <c r="G25" s="192" t="str">
        <v>Roses 50cm Fortune (M/T)</v>
      </c>
      <c r="H25" s="180">
        <v>100</v>
      </c>
      <c r="I25" s="202">
        <v>0.11983204134366909</v>
      </c>
      <c r="J25" s="112">
        <v>1.29</v>
      </c>
      <c r="K25" s="203">
        <f t="shared" si="0"/>
        <v>129</v>
      </c>
      <c r="L25" s="112">
        <f t="shared" si="1"/>
        <v>129</v>
      </c>
      <c r="M25" s="181">
        <v>46309</v>
      </c>
      <c r="N25" s="89" t="str">
        <v>PO107339</v>
      </c>
      <c r="O25" s="204"/>
      <c r="P25" s="159"/>
      <c r="Q25" s="159"/>
      <c r="R25" s="159"/>
    </row>
    <row r="26" spans="1:18" x14ac:dyDescent="0.25">
      <c r="A26" s="107"/>
      <c r="B26" s="165" t="str">
        <v>Order #188</v>
      </c>
      <c r="C26" s="119">
        <v>1</v>
      </c>
      <c r="D26" s="176" t="str">
        <v>QB</v>
      </c>
      <c r="E26" s="176">
        <v>100</v>
      </c>
      <c r="F26" s="192" t="str">
        <v>Star Roses</v>
      </c>
      <c r="G26" s="192" t="str">
        <v>Roses 50cm 50 Fortune/25 Rhoslyn/25 Luciano 60cm (M/T)</v>
      </c>
      <c r="H26" s="180">
        <v>100</v>
      </c>
      <c r="I26" s="202">
        <v>9.1569767441860406E-2</v>
      </c>
      <c r="J26" s="112">
        <v>1.29</v>
      </c>
      <c r="K26" s="203">
        <f t="shared" si="0"/>
        <v>129</v>
      </c>
      <c r="L26" s="112">
        <f t="shared" si="1"/>
        <v>129</v>
      </c>
      <c r="M26" s="181">
        <v>46309</v>
      </c>
      <c r="N26" s="89" t="str">
        <v>PO107340</v>
      </c>
      <c r="O26" s="204"/>
      <c r="P26" s="159"/>
      <c r="Q26" s="159"/>
      <c r="R26" s="159"/>
    </row>
    <row r="27" spans="1:18" x14ac:dyDescent="0.25">
      <c r="A27" s="107"/>
      <c r="B27" s="165" t="str">
        <v>Order #194</v>
      </c>
      <c r="C27" s="119">
        <v>1</v>
      </c>
      <c r="D27" s="176" t="str">
        <v>QB</v>
      </c>
      <c r="E27" s="176">
        <v>125</v>
      </c>
      <c r="F27" s="192" t="str">
        <v>Star Roses</v>
      </c>
      <c r="G27" s="192" t="str">
        <v>Roses 60cm Tibet (M/T)</v>
      </c>
      <c r="H27" s="180">
        <v>125</v>
      </c>
      <c r="I27" s="202">
        <v>0.2592592592592593</v>
      </c>
      <c r="J27" s="112">
        <v>1.35</v>
      </c>
      <c r="K27" s="203">
        <f t="shared" si="0"/>
        <v>168.75</v>
      </c>
      <c r="L27" s="112">
        <f t="shared" si="1"/>
        <v>168.75</v>
      </c>
      <c r="M27" s="181">
        <v>46309</v>
      </c>
      <c r="N27" s="89" t="str">
        <v>PO107346</v>
      </c>
      <c r="O27" s="204"/>
      <c r="P27" s="159"/>
      <c r="Q27" s="159"/>
      <c r="R27" s="159"/>
    </row>
    <row r="28" spans="1:18" x14ac:dyDescent="0.25">
      <c r="A28" s="107"/>
      <c r="B28" s="165" t="str">
        <v>Order #195</v>
      </c>
      <c r="C28" s="119">
        <v>1</v>
      </c>
      <c r="D28" s="176" t="str">
        <v>QB</v>
      </c>
      <c r="E28" s="176">
        <v>125</v>
      </c>
      <c r="F28" s="192" t="str">
        <v>Star Roses</v>
      </c>
      <c r="G28" s="192" t="str">
        <v>Roses 60cm Freedom (M/T)</v>
      </c>
      <c r="H28" s="180">
        <v>125</v>
      </c>
      <c r="I28" s="202">
        <v>0.28057553956834524</v>
      </c>
      <c r="J28" s="112">
        <v>1.39</v>
      </c>
      <c r="K28" s="203">
        <f t="shared" si="0"/>
        <v>173.75</v>
      </c>
      <c r="L28" s="112">
        <f t="shared" si="1"/>
        <v>173.75</v>
      </c>
      <c r="M28" s="181">
        <v>46309</v>
      </c>
      <c r="N28" s="89" t="str">
        <v>PO107347</v>
      </c>
      <c r="O28" s="204"/>
      <c r="P28" s="159"/>
      <c r="Q28" s="159"/>
      <c r="R28" s="159"/>
    </row>
    <row r="29" spans="1:18" x14ac:dyDescent="0.25">
      <c r="A29" s="107"/>
      <c r="B29" s="165" t="str">
        <v>Order #203</v>
      </c>
      <c r="C29" s="119">
        <v>1</v>
      </c>
      <c r="D29" s="176" t="str">
        <v>EB</v>
      </c>
      <c r="E29" s="176">
        <v>60</v>
      </c>
      <c r="F29" s="192" t="str">
        <v>Tumbabirro</v>
      </c>
      <c r="G29" s="192" t="str">
        <v>Lisianthus 70cm Assorted Colors (M/T)</v>
      </c>
      <c r="H29" s="180">
        <v>60</v>
      </c>
      <c r="I29" s="202">
        <v>0.24004192872117402</v>
      </c>
      <c r="J29" s="112">
        <v>1.59</v>
      </c>
      <c r="K29" s="203">
        <f t="shared" si="0"/>
        <v>95.4</v>
      </c>
      <c r="L29" s="112">
        <f t="shared" si="1"/>
        <v>95.4</v>
      </c>
      <c r="M29" s="181">
        <v>46309</v>
      </c>
      <c r="N29" s="89" t="str">
        <v>PO107355</v>
      </c>
      <c r="O29" s="204"/>
      <c r="P29" s="159"/>
      <c r="Q29" s="159"/>
      <c r="R29" s="159"/>
    </row>
    <row r="30" spans="1:18" x14ac:dyDescent="0.25">
      <c r="A30" s="107"/>
      <c r="B30" s="165" t="str">
        <v>Order #205</v>
      </c>
      <c r="C30" s="119">
        <v>1</v>
      </c>
      <c r="D30" s="176" t="str">
        <v>EB</v>
      </c>
      <c r="E30" s="176">
        <v>60</v>
      </c>
      <c r="F30" s="192" t="str">
        <v>Tumbabirro</v>
      </c>
      <c r="G30" s="192" t="str">
        <v>Lisianthus 70cm Assorted Colors (M/T)</v>
      </c>
      <c r="H30" s="180">
        <v>60</v>
      </c>
      <c r="I30" s="202">
        <v>0.24004192872117402</v>
      </c>
      <c r="J30" s="112">
        <v>1.59</v>
      </c>
      <c r="K30" s="203">
        <f t="shared" si="0"/>
        <v>95.4</v>
      </c>
      <c r="L30" s="112">
        <f t="shared" si="1"/>
        <v>95.4</v>
      </c>
      <c r="M30" s="181">
        <v>46309</v>
      </c>
      <c r="N30" s="89" t="str">
        <v>PO107357</v>
      </c>
      <c r="O30" s="204"/>
      <c r="P30" s="159"/>
      <c r="Q30" s="159"/>
      <c r="R30" s="159"/>
    </row>
    <row r="31" spans="1:18" x14ac:dyDescent="0.25">
      <c r="A31" s="107"/>
      <c r="B31" s="165" t="str">
        <v>Order #2</v>
      </c>
      <c r="C31" s="119">
        <v>3</v>
      </c>
      <c r="D31" s="176" t="str">
        <v>EB</v>
      </c>
      <c r="E31" s="176">
        <v>120</v>
      </c>
      <c r="F31" s="192" t="str">
        <v>Agrirose</v>
      </c>
      <c r="G31" s="192" t="str">
        <v>Ranunculus/Anemones Assorted Colors (T/W)</v>
      </c>
      <c r="H31" s="180">
        <v>360</v>
      </c>
      <c r="I31" s="202">
        <v>0.30350098619329391</v>
      </c>
      <c r="J31" s="112">
        <v>1.69</v>
      </c>
      <c r="K31" s="203">
        <f t="shared" si="0"/>
        <v>202.79999999999998</v>
      </c>
      <c r="L31" s="112">
        <f t="shared" si="1"/>
        <v>608.4</v>
      </c>
      <c r="M31" s="181">
        <v>46310</v>
      </c>
      <c r="N31" s="89" t="str">
        <v>PO107154</v>
      </c>
      <c r="O31" s="204"/>
      <c r="P31" s="159"/>
      <c r="Q31" s="159"/>
      <c r="R31" s="159"/>
    </row>
    <row r="32" spans="1:18" x14ac:dyDescent="0.25">
      <c r="A32" s="107"/>
      <c r="B32" s="165" t="str">
        <v>Order #3</v>
      </c>
      <c r="C32" s="119">
        <v>2</v>
      </c>
      <c r="D32" s="176" t="str">
        <v>QB</v>
      </c>
      <c r="E32" s="176">
        <v>120</v>
      </c>
      <c r="F32" s="192" t="str">
        <v>Agrocoex</v>
      </c>
      <c r="G32" s="192" t="str">
        <v>Larkspur Assorted Colors (T/W)</v>
      </c>
      <c r="H32" s="180">
        <v>240</v>
      </c>
      <c r="I32" s="202">
        <v>0.26805555555555549</v>
      </c>
      <c r="J32" s="112">
        <v>1.4516129032258065</v>
      </c>
      <c r="K32" s="203">
        <f t="shared" si="0"/>
        <v>174.19354838709677</v>
      </c>
      <c r="L32" s="112">
        <f t="shared" si="1"/>
        <v>348.38709677419354</v>
      </c>
      <c r="M32" s="181">
        <v>46310</v>
      </c>
      <c r="N32" s="89" t="str">
        <v>PO107155</v>
      </c>
      <c r="O32" s="204"/>
      <c r="P32" s="159"/>
      <c r="Q32" s="159"/>
      <c r="R32" s="159"/>
    </row>
    <row r="33" spans="1:18" x14ac:dyDescent="0.25">
      <c r="A33" s="107"/>
      <c r="B33" s="165" t="str">
        <v>Order #5</v>
      </c>
      <c r="C33" s="119">
        <v>2</v>
      </c>
      <c r="D33" s="176" t="str">
        <v>EB</v>
      </c>
      <c r="E33" s="176">
        <v>120</v>
      </c>
      <c r="F33" s="192" t="str">
        <v>Agrogana</v>
      </c>
      <c r="G33" s="192" t="str">
        <v>Hannas Mix Ran. Pompon/Limonium/Statice/Freesia/Delph/Dianthus/Sp. Roses x 120 (T/W)</v>
      </c>
      <c r="H33" s="180">
        <v>240</v>
      </c>
      <c r="I33" s="202">
        <v>0.28343432045661354</v>
      </c>
      <c r="J33" s="112">
        <v>129.98924731182797</v>
      </c>
      <c r="K33" s="203">
        <f t="shared" si="0"/>
        <v>129.98924731182797</v>
      </c>
      <c r="L33" s="112">
        <f t="shared" si="1"/>
        <v>259.97849462365593</v>
      </c>
      <c r="M33" s="181">
        <v>46310</v>
      </c>
      <c r="N33" s="89" t="str">
        <v>PO107157</v>
      </c>
      <c r="O33" s="204"/>
      <c r="P33" s="159"/>
      <c r="Q33" s="159"/>
      <c r="R33" s="159"/>
    </row>
    <row r="34" spans="1:18" x14ac:dyDescent="0.25">
      <c r="A34" s="107"/>
      <c r="B34" s="165" t="str">
        <v>Order #6</v>
      </c>
      <c r="C34" s="119">
        <v>2</v>
      </c>
      <c r="D34" s="176" t="str">
        <v>EB</v>
      </c>
      <c r="E34" s="176">
        <v>120</v>
      </c>
      <c r="F34" s="192" t="str">
        <v>Agrogana</v>
      </c>
      <c r="G34" s="192" t="str">
        <v>Royal Mix Sweet Pea/Gerbs/Satice/Anemones/Ranunc/Delph/Veronicas/Limonium x 120 (T/W)</v>
      </c>
      <c r="H34" s="180">
        <v>240</v>
      </c>
      <c r="I34" s="202">
        <v>0.32023245994177385</v>
      </c>
      <c r="J34" s="112">
        <v>149.99</v>
      </c>
      <c r="K34" s="203">
        <f t="shared" si="0"/>
        <v>149.99</v>
      </c>
      <c r="L34" s="112">
        <f t="shared" si="1"/>
        <v>299.98</v>
      </c>
      <c r="M34" s="181">
        <v>46310</v>
      </c>
      <c r="N34" s="89" t="str">
        <v>PO107158</v>
      </c>
      <c r="O34" s="204"/>
      <c r="P34" s="159"/>
      <c r="Q34" s="159"/>
      <c r="R34" s="159"/>
    </row>
    <row r="35" spans="1:18" x14ac:dyDescent="0.25">
      <c r="A35" s="107"/>
      <c r="B35" s="165" t="str">
        <v>Order #7</v>
      </c>
      <c r="C35" s="119">
        <v>1</v>
      </c>
      <c r="D35" s="176" t="str">
        <v>EB</v>
      </c>
      <c r="E35" s="176">
        <v>120</v>
      </c>
      <c r="F35" s="192" t="str">
        <v>Agrogana</v>
      </c>
      <c r="G35" s="192" t="str">
        <v>Florist Mix 20 Scoop/20 Freesias/20 Rumex/20 Campanullas/20 Veronicas/20 Marigold x 120 (T/W)</v>
      </c>
      <c r="H35" s="180">
        <v>120</v>
      </c>
      <c r="I35" s="202">
        <v>0.28953892951642812</v>
      </c>
      <c r="J35" s="112">
        <v>159.99</v>
      </c>
      <c r="K35" s="203">
        <f t="shared" si="0"/>
        <v>159.99</v>
      </c>
      <c r="L35" s="112">
        <f t="shared" si="1"/>
        <v>159.99</v>
      </c>
      <c r="M35" s="181">
        <v>46310</v>
      </c>
      <c r="N35" s="89" t="str">
        <v>PO107159</v>
      </c>
      <c r="O35" s="204"/>
      <c r="P35" s="159"/>
      <c r="Q35" s="159"/>
      <c r="R35" s="159"/>
    </row>
    <row r="36" spans="1:18" x14ac:dyDescent="0.25">
      <c r="A36" s="107"/>
      <c r="B36" s="165" t="str">
        <v>Order #22</v>
      </c>
      <c r="C36" s="119">
        <v>1</v>
      </c>
      <c r="D36" s="176" t="str">
        <v>EB</v>
      </c>
      <c r="E36" s="176">
        <v>70</v>
      </c>
      <c r="F36" s="192" t="str">
        <v>Coop Farms</v>
      </c>
      <c r="G36" s="192" t="str">
        <v>Delphinium Mix  Blue/Light Blue/Lavender/White (T/W)</v>
      </c>
      <c r="H36" s="180">
        <v>70</v>
      </c>
      <c r="I36" s="202">
        <v>0.23098434004474266</v>
      </c>
      <c r="J36" s="112">
        <v>1.49</v>
      </c>
      <c r="K36" s="203">
        <f t="shared" si="0"/>
        <v>104.3</v>
      </c>
      <c r="L36" s="112">
        <f t="shared" si="1"/>
        <v>104.3</v>
      </c>
      <c r="M36" s="181">
        <v>46310</v>
      </c>
      <c r="N36" s="89" t="str">
        <v>PO107174</v>
      </c>
      <c r="O36" s="204"/>
      <c r="P36" s="159"/>
      <c r="Q36" s="159"/>
      <c r="R36" s="159"/>
    </row>
    <row r="37" spans="1:18" x14ac:dyDescent="0.25">
      <c r="A37" s="107"/>
      <c r="B37" s="165" t="str">
        <v>Order #23</v>
      </c>
      <c r="C37" s="119">
        <v>3</v>
      </c>
      <c r="D37" s="176" t="str">
        <v>EB</v>
      </c>
      <c r="E37" s="176">
        <v>70</v>
      </c>
      <c r="F37" s="192" t="str">
        <v>Coop Farms</v>
      </c>
      <c r="G37" s="192" t="str">
        <v>Delphinium Mix Blue/Light Blue/Lavender/White (T/W)</v>
      </c>
      <c r="H37" s="180">
        <v>210</v>
      </c>
      <c r="I37" s="202">
        <v>0.23098434004474266</v>
      </c>
      <c r="J37" s="112">
        <v>1.49</v>
      </c>
      <c r="K37" s="203">
        <f t="shared" si="0"/>
        <v>104.3</v>
      </c>
      <c r="L37" s="112">
        <f t="shared" si="1"/>
        <v>312.89999999999998</v>
      </c>
      <c r="M37" s="181">
        <v>46310</v>
      </c>
      <c r="N37" s="89" t="str">
        <v>PO107175</v>
      </c>
      <c r="O37" s="204"/>
      <c r="P37" s="159"/>
      <c r="Q37" s="159"/>
      <c r="R37" s="159"/>
    </row>
    <row r="38" spans="1:18" x14ac:dyDescent="0.25">
      <c r="A38" s="107"/>
      <c r="B38" s="165" t="str">
        <v>Order #25</v>
      </c>
      <c r="C38" s="119">
        <v>2</v>
      </c>
      <c r="D38" s="176" t="str">
        <v>QB</v>
      </c>
      <c r="E38" s="176">
        <v>100</v>
      </c>
      <c r="F38" s="192" t="str">
        <v>Eden</v>
      </c>
      <c r="G38" s="192" t="str">
        <v>Garden Roses 40/50cm 50 Catalina/50 Sweet Catalina (T/W)</v>
      </c>
      <c r="H38" s="180">
        <v>200</v>
      </c>
      <c r="I38" s="202">
        <v>0.25641891891891888</v>
      </c>
      <c r="J38" s="112">
        <v>1.9892473118279568</v>
      </c>
      <c r="K38" s="203">
        <f t="shared" si="0"/>
        <v>198.92473118279568</v>
      </c>
      <c r="L38" s="112">
        <f t="shared" si="1"/>
        <v>397.84946236559136</v>
      </c>
      <c r="M38" s="181">
        <v>46310</v>
      </c>
      <c r="N38" s="89" t="str">
        <v>PO107177</v>
      </c>
      <c r="O38" s="204"/>
      <c r="P38" s="159"/>
      <c r="Q38" s="159"/>
      <c r="R38" s="159"/>
    </row>
    <row r="39" spans="1:18" x14ac:dyDescent="0.25">
      <c r="A39" s="107"/>
      <c r="B39" s="165" t="str">
        <v>Order #57</v>
      </c>
      <c r="C39" s="119">
        <v>1</v>
      </c>
      <c r="D39" s="176" t="str">
        <v>EB</v>
      </c>
      <c r="E39" s="176">
        <v>48</v>
      </c>
      <c r="F39" s="192" t="str">
        <v>Florecal</v>
      </c>
      <c r="G39" s="192" t="str">
        <v>Garden Victorian 40cm  Piano (T/W)</v>
      </c>
      <c r="H39" s="180">
        <v>48</v>
      </c>
      <c r="I39" s="202">
        <v>0.22843383584589616</v>
      </c>
      <c r="J39" s="112">
        <v>1.99</v>
      </c>
      <c r="K39" s="203">
        <f t="shared" si="0"/>
        <v>95.52</v>
      </c>
      <c r="L39" s="112">
        <f t="shared" si="1"/>
        <v>95.52</v>
      </c>
      <c r="M39" s="181">
        <v>46310</v>
      </c>
      <c r="N39" s="89" t="str">
        <v>PO107209</v>
      </c>
      <c r="O39" s="204"/>
      <c r="P39" s="159"/>
      <c r="Q39" s="159"/>
      <c r="R39" s="159"/>
    </row>
    <row r="40" spans="1:18" x14ac:dyDescent="0.25">
      <c r="A40" s="107"/>
      <c r="B40" s="165" t="str">
        <v>Order #58</v>
      </c>
      <c r="C40" s="119">
        <v>1</v>
      </c>
      <c r="D40" s="176" t="str">
        <v>EB</v>
      </c>
      <c r="E40" s="176">
        <v>48</v>
      </c>
      <c r="F40" s="192" t="str">
        <v>Florecal</v>
      </c>
      <c r="G40" s="192" t="str">
        <v>Garden Victorian 40cm Piano (T/W)</v>
      </c>
      <c r="H40" s="180">
        <v>48</v>
      </c>
      <c r="I40" s="202">
        <v>0.22814189189189182</v>
      </c>
      <c r="J40" s="112">
        <v>1.9892473118279568</v>
      </c>
      <c r="K40" s="203">
        <f t="shared" si="0"/>
        <v>95.483870967741922</v>
      </c>
      <c r="L40" s="112">
        <f t="shared" si="1"/>
        <v>95.483870967741922</v>
      </c>
      <c r="M40" s="181">
        <v>46310</v>
      </c>
      <c r="N40" s="89" t="str">
        <v>PO107210</v>
      </c>
      <c r="O40" s="204"/>
      <c r="P40" s="159"/>
      <c r="Q40" s="159"/>
      <c r="R40" s="159"/>
    </row>
    <row r="41" spans="1:18" x14ac:dyDescent="0.25">
      <c r="A41" s="107"/>
      <c r="B41" s="165" t="str">
        <v>Order #59</v>
      </c>
      <c r="C41" s="119">
        <v>1</v>
      </c>
      <c r="D41" s="176" t="str">
        <v>EB</v>
      </c>
      <c r="E41" s="176">
        <v>50</v>
      </c>
      <c r="F41" s="192" t="str">
        <v>Florecal</v>
      </c>
      <c r="G41" s="192" t="str">
        <v>Garden Spray Roses 40cm Jeanine (T/W)</v>
      </c>
      <c r="H41" s="180">
        <v>50</v>
      </c>
      <c r="I41" s="202">
        <v>0.24041193181818188</v>
      </c>
      <c r="J41" s="112">
        <v>1.8924731182795698</v>
      </c>
      <c r="K41" s="203">
        <f t="shared" si="0"/>
        <v>94.623655913978482</v>
      </c>
      <c r="L41" s="112">
        <f t="shared" si="1"/>
        <v>94.623655913978482</v>
      </c>
      <c r="M41" s="181">
        <v>46310</v>
      </c>
      <c r="N41" s="89" t="str">
        <v>PO107211</v>
      </c>
      <c r="O41" s="204"/>
      <c r="P41" s="159"/>
      <c r="Q41" s="159"/>
      <c r="R41" s="159"/>
    </row>
    <row r="42" spans="1:18" x14ac:dyDescent="0.25">
      <c r="A42" s="107"/>
      <c r="B42" s="165" t="str">
        <v>Order #60</v>
      </c>
      <c r="C42" s="119">
        <v>1</v>
      </c>
      <c r="D42" s="176" t="str">
        <v>QB</v>
      </c>
      <c r="E42" s="176">
        <v>125</v>
      </c>
      <c r="F42" s="192" t="str">
        <v>Florecal</v>
      </c>
      <c r="G42" s="192" t="str">
        <v>Wedding Mix 40/50cm 25 Playa Blanca/25 Quicksand/25 Barista/25 Symbol/25 Cold Brew (T/W)</v>
      </c>
      <c r="H42" s="180">
        <v>125</v>
      </c>
      <c r="I42" s="202">
        <v>0.2755971337579618</v>
      </c>
      <c r="J42" s="112">
        <v>1.6881720430107527</v>
      </c>
      <c r="K42" s="203">
        <f t="shared" si="0"/>
        <v>211.02150537634409</v>
      </c>
      <c r="L42" s="112">
        <f t="shared" si="1"/>
        <v>211.02150537634409</v>
      </c>
      <c r="M42" s="181">
        <v>46310</v>
      </c>
      <c r="N42" s="89" t="str">
        <v>PO107212</v>
      </c>
      <c r="O42" s="204"/>
      <c r="P42" s="159"/>
      <c r="Q42" s="159"/>
      <c r="R42" s="159"/>
    </row>
    <row r="43" spans="1:18" x14ac:dyDescent="0.25">
      <c r="A43" s="107"/>
      <c r="B43" s="165" t="str">
        <v>Order #61</v>
      </c>
      <c r="C43" s="119">
        <v>1</v>
      </c>
      <c r="D43" s="176" t="str">
        <v>QB</v>
      </c>
      <c r="E43" s="176">
        <v>125</v>
      </c>
      <c r="F43" s="192" t="str">
        <v>Florecal</v>
      </c>
      <c r="G43" s="192" t="str">
        <v>Wedding Mix 40/50cm 25 Playa Blanca/25 Quicksand/25 Barista/25 Symbol/25 Cold Brew (T/W)</v>
      </c>
      <c r="H43" s="180">
        <v>125</v>
      </c>
      <c r="I43" s="202">
        <v>0.2755971337579618</v>
      </c>
      <c r="J43" s="112">
        <v>1.6881720430107527</v>
      </c>
      <c r="K43" s="203">
        <f t="shared" si="0"/>
        <v>211.02150537634409</v>
      </c>
      <c r="L43" s="112">
        <f t="shared" si="1"/>
        <v>211.02150537634409</v>
      </c>
      <c r="M43" s="181">
        <v>46310</v>
      </c>
      <c r="N43" s="89" t="str">
        <v>PO107213</v>
      </c>
      <c r="O43" s="204"/>
      <c r="P43" s="159"/>
      <c r="Q43" s="159"/>
      <c r="R43" s="159"/>
    </row>
    <row r="44" spans="1:18" x14ac:dyDescent="0.25">
      <c r="A44" s="107"/>
      <c r="B44" s="165" t="str">
        <v>Order #62</v>
      </c>
      <c r="C44" s="119">
        <v>2</v>
      </c>
      <c r="D44" s="176" t="str">
        <v>EB</v>
      </c>
      <c r="E44" s="176">
        <v>50</v>
      </c>
      <c r="F44" s="192" t="str">
        <v>Florecal</v>
      </c>
      <c r="G44" s="192" t="str">
        <v>Roses 50cm 25 Explorer/25 Red Panther (T/W)</v>
      </c>
      <c r="H44" s="180">
        <v>100</v>
      </c>
      <c r="I44" s="202">
        <v>0.21942640692640691</v>
      </c>
      <c r="J44" s="112">
        <v>1.54</v>
      </c>
      <c r="K44" s="203">
        <f t="shared" si="0"/>
        <v>77</v>
      </c>
      <c r="L44" s="112">
        <f t="shared" si="1"/>
        <v>154</v>
      </c>
      <c r="M44" s="181">
        <v>46310</v>
      </c>
      <c r="N44" s="89" t="str">
        <v>PO107214</v>
      </c>
      <c r="O44" s="204"/>
      <c r="P44" s="159"/>
      <c r="Q44" s="159"/>
      <c r="R44" s="159"/>
    </row>
    <row r="45" spans="1:18" x14ac:dyDescent="0.25">
      <c r="A45" s="107"/>
      <c r="B45" s="165" t="str">
        <v>Order #63</v>
      </c>
      <c r="C45" s="119">
        <v>2</v>
      </c>
      <c r="D45" s="176" t="str">
        <v>QB</v>
      </c>
      <c r="E45" s="176">
        <v>125</v>
      </c>
      <c r="F45" s="192" t="str">
        <v>Florecal</v>
      </c>
      <c r="G45" s="192" t="str">
        <v>Roses 50cm 25 Red Panther/25 Free Spirit/25 Yellow/25 V.I.Pink/25 Lavender (T/W)</v>
      </c>
      <c r="H45" s="180">
        <v>250</v>
      </c>
      <c r="I45" s="202">
        <v>0.26104651162790693</v>
      </c>
      <c r="J45" s="112">
        <v>1.3870967741935483</v>
      </c>
      <c r="K45" s="203">
        <f t="shared" si="0"/>
        <v>173.38709677419354</v>
      </c>
      <c r="L45" s="112">
        <f t="shared" si="1"/>
        <v>346.77419354838707</v>
      </c>
      <c r="M45" s="181">
        <v>46310</v>
      </c>
      <c r="N45" s="89" t="str">
        <v>PO107215</v>
      </c>
      <c r="O45" s="204"/>
      <c r="P45" s="159"/>
      <c r="Q45" s="159"/>
      <c r="R45" s="159"/>
    </row>
    <row r="46" spans="1:18" x14ac:dyDescent="0.25">
      <c r="A46" s="107"/>
      <c r="B46" s="165" t="str">
        <v>Order #64</v>
      </c>
      <c r="C46" s="119">
        <v>1</v>
      </c>
      <c r="D46" s="176" t="str">
        <v>EB</v>
      </c>
      <c r="E46" s="176">
        <v>55</v>
      </c>
      <c r="F46" s="192" t="str">
        <v>Florecal</v>
      </c>
      <c r="G46" s="192" t="str">
        <v>Roses Mix 40/50cm 25 Playa Blanca/30 Jeanine (T/W)</v>
      </c>
      <c r="H46" s="180">
        <v>55</v>
      </c>
      <c r="I46" s="202">
        <v>0.24930167597765363</v>
      </c>
      <c r="J46" s="112">
        <v>1.79</v>
      </c>
      <c r="K46" s="203">
        <f t="shared" si="0"/>
        <v>98.45</v>
      </c>
      <c r="L46" s="112">
        <f t="shared" si="1"/>
        <v>98.45</v>
      </c>
      <c r="M46" s="181">
        <v>46310</v>
      </c>
      <c r="N46" s="89" t="str">
        <v>PO107216</v>
      </c>
      <c r="O46" s="204"/>
      <c r="P46" s="159"/>
      <c r="Q46" s="159"/>
      <c r="R46" s="159"/>
    </row>
    <row r="47" spans="1:18" x14ac:dyDescent="0.25">
      <c r="A47" s="107"/>
      <c r="B47" s="165" t="str">
        <v>Order #68</v>
      </c>
      <c r="C47" s="119">
        <v>4</v>
      </c>
      <c r="D47" s="176" t="str">
        <v>EB</v>
      </c>
      <c r="E47" s="176">
        <v>70</v>
      </c>
      <c r="F47" s="192" t="str">
        <v>Florecot</v>
      </c>
      <c r="G47" s="192" t="str">
        <v>Hypericum 10 Red/10 Green/10 Burgundy/10 Coral/20 Pinks/10 White-Cream (T/W)</v>
      </c>
      <c r="H47" s="180">
        <v>280</v>
      </c>
      <c r="I47" s="202">
        <v>0.25595238095238082</v>
      </c>
      <c r="J47" s="112">
        <v>1.19</v>
      </c>
      <c r="K47" s="203">
        <f t="shared" si="0"/>
        <v>83.3</v>
      </c>
      <c r="L47" s="112">
        <f t="shared" si="1"/>
        <v>333.2</v>
      </c>
      <c r="M47" s="181">
        <v>46310</v>
      </c>
      <c r="N47" s="89" t="str">
        <v>PO107220</v>
      </c>
      <c r="O47" s="204"/>
      <c r="P47" s="159"/>
      <c r="Q47" s="159"/>
      <c r="R47" s="159"/>
    </row>
    <row r="48" spans="1:18" x14ac:dyDescent="0.25">
      <c r="A48" s="107"/>
      <c r="B48" s="165" t="str">
        <v>Order #69</v>
      </c>
      <c r="C48" s="119">
        <v>1</v>
      </c>
      <c r="D48" s="176" t="str">
        <v>EB</v>
      </c>
      <c r="E48" s="176">
        <v>120</v>
      </c>
      <c r="F48" s="192" t="str">
        <v>Florequisa</v>
      </c>
      <c r="G48" s="192" t="str">
        <v>Carnations Minami Assorted Colors (T/W)</v>
      </c>
      <c r="H48" s="180">
        <v>120</v>
      </c>
      <c r="I48" s="202">
        <v>0.22578828828828812</v>
      </c>
      <c r="J48" s="112">
        <v>0.74</v>
      </c>
      <c r="K48" s="203">
        <f t="shared" si="0"/>
        <v>88.8</v>
      </c>
      <c r="L48" s="112">
        <f t="shared" si="1"/>
        <v>88.8</v>
      </c>
      <c r="M48" s="181">
        <v>46310</v>
      </c>
      <c r="N48" s="89" t="str">
        <v>PO107221</v>
      </c>
      <c r="O48" s="204"/>
      <c r="P48" s="159"/>
      <c r="Q48" s="159"/>
      <c r="R48" s="159"/>
    </row>
    <row r="49" spans="1:18" x14ac:dyDescent="0.25">
      <c r="A49" s="107"/>
      <c r="B49" s="165" t="str">
        <v>Order #70</v>
      </c>
      <c r="C49" s="119">
        <v>1</v>
      </c>
      <c r="D49" s="176" t="str">
        <v>EB</v>
      </c>
      <c r="E49" s="176">
        <v>120</v>
      </c>
      <c r="F49" s="192" t="str">
        <v>Florequisa</v>
      </c>
      <c r="G49" s="192" t="str">
        <v>Mini Carnations Assorted Colors (T/W)</v>
      </c>
      <c r="H49" s="180">
        <v>120</v>
      </c>
      <c r="I49" s="202">
        <v>0.22578828828828812</v>
      </c>
      <c r="J49" s="112">
        <v>0.74</v>
      </c>
      <c r="K49" s="203">
        <f t="shared" si="0"/>
        <v>88.8</v>
      </c>
      <c r="L49" s="112">
        <f t="shared" si="1"/>
        <v>88.8</v>
      </c>
      <c r="M49" s="181">
        <v>46310</v>
      </c>
      <c r="N49" s="89" t="str">
        <v>PO107222</v>
      </c>
      <c r="O49" s="204"/>
      <c r="P49" s="159"/>
      <c r="Q49" s="159"/>
      <c r="R49" s="159"/>
    </row>
    <row r="50" spans="1:18" x14ac:dyDescent="0.25">
      <c r="A50" s="107"/>
      <c r="B50" s="165" t="str">
        <v>Order #71</v>
      </c>
      <c r="C50" s="119">
        <v>2</v>
      </c>
      <c r="D50" s="176" t="str">
        <v>EB</v>
      </c>
      <c r="E50" s="176">
        <v>120</v>
      </c>
      <c r="F50" s="192" t="str">
        <v>Florequisa</v>
      </c>
      <c r="G50" s="192" t="str">
        <v>Carnations Mix Minami Select/Mini - Assorted Colors (T/W)</v>
      </c>
      <c r="H50" s="180">
        <v>240</v>
      </c>
      <c r="I50" s="202">
        <v>0.22578828828828812</v>
      </c>
      <c r="J50" s="112">
        <v>0.74</v>
      </c>
      <c r="K50" s="203">
        <f t="shared" si="0"/>
        <v>88.8</v>
      </c>
      <c r="L50" s="112">
        <f t="shared" si="1"/>
        <v>177.6</v>
      </c>
      <c r="M50" s="181">
        <v>46310</v>
      </c>
      <c r="N50" s="89" t="str">
        <v>PO107223</v>
      </c>
      <c r="O50" s="204"/>
      <c r="P50" s="159"/>
      <c r="Q50" s="159"/>
      <c r="R50" s="159"/>
    </row>
    <row r="51" spans="1:18" x14ac:dyDescent="0.25">
      <c r="A51" s="107"/>
      <c r="B51" s="165" t="str">
        <v>Order #97</v>
      </c>
      <c r="C51" s="119">
        <v>2</v>
      </c>
      <c r="D51" s="176" t="str">
        <v>QB</v>
      </c>
      <c r="E51" s="176">
        <v>125</v>
      </c>
      <c r="F51" s="192" t="str">
        <v>Flores Verdes</v>
      </c>
      <c r="G51" s="192" t="str">
        <v>Roses 50cm Fortune (T/W)</v>
      </c>
      <c r="H51" s="180">
        <v>250</v>
      </c>
      <c r="I51" s="202">
        <v>0.2328811369509044</v>
      </c>
      <c r="J51" s="112">
        <v>1.29</v>
      </c>
      <c r="K51" s="203">
        <f t="shared" si="0"/>
        <v>161.25</v>
      </c>
      <c r="L51" s="112">
        <f t="shared" si="1"/>
        <v>322.5</v>
      </c>
      <c r="M51" s="181">
        <v>46310</v>
      </c>
      <c r="N51" s="89" t="str">
        <v>PO107249</v>
      </c>
      <c r="O51" s="204"/>
      <c r="P51" s="159"/>
      <c r="Q51" s="159"/>
      <c r="R51" s="159"/>
    </row>
    <row r="52" spans="1:18" x14ac:dyDescent="0.25">
      <c r="A52" s="107"/>
      <c r="B52" s="165" t="str">
        <v>Order #98</v>
      </c>
      <c r="C52" s="119">
        <v>2</v>
      </c>
      <c r="D52" s="176" t="str">
        <v>EB</v>
      </c>
      <c r="E52" s="176">
        <v>50</v>
      </c>
      <c r="F52" s="192" t="str">
        <v>Flores Verdes</v>
      </c>
      <c r="G52" s="192" t="str">
        <v>Roses 50cm Red Panther (T/W)</v>
      </c>
      <c r="H52" s="180">
        <v>100</v>
      </c>
      <c r="I52" s="202">
        <v>0.20798141891891886</v>
      </c>
      <c r="J52" s="112">
        <v>1.5913978494623655</v>
      </c>
      <c r="K52" s="203">
        <f t="shared" si="0"/>
        <v>79.569892473118273</v>
      </c>
      <c r="L52" s="112">
        <f t="shared" si="1"/>
        <v>159.13978494623655</v>
      </c>
      <c r="M52" s="181">
        <v>46310</v>
      </c>
      <c r="N52" s="89" t="str">
        <v>PO107250</v>
      </c>
      <c r="O52" s="204"/>
      <c r="P52" s="159"/>
      <c r="Q52" s="159"/>
      <c r="R52" s="159"/>
    </row>
    <row r="53" spans="1:18" x14ac:dyDescent="0.25">
      <c r="A53" s="107"/>
      <c r="B53" s="165" t="str">
        <v>Order #99</v>
      </c>
      <c r="C53" s="119">
        <v>2</v>
      </c>
      <c r="D53" s="176" t="str">
        <v>EB</v>
      </c>
      <c r="E53" s="176">
        <v>50</v>
      </c>
      <c r="F53" s="192" t="str">
        <v>Flores Verdes</v>
      </c>
      <c r="G53" s="192" t="str">
        <v>Roses 50cm  Playa Blanca (T/W)</v>
      </c>
      <c r="H53" s="180">
        <v>100</v>
      </c>
      <c r="I53" s="202">
        <v>0.22602420856610794</v>
      </c>
      <c r="J53" s="112">
        <v>1.79</v>
      </c>
      <c r="K53" s="203">
        <f t="shared" si="0"/>
        <v>89.5</v>
      </c>
      <c r="L53" s="112">
        <f t="shared" si="1"/>
        <v>179</v>
      </c>
      <c r="M53" s="181">
        <v>46310</v>
      </c>
      <c r="N53" s="89" t="str">
        <v>PO107251</v>
      </c>
      <c r="O53" s="204"/>
      <c r="P53" s="159"/>
      <c r="Q53" s="159"/>
      <c r="R53" s="159"/>
    </row>
    <row r="54" spans="1:18" x14ac:dyDescent="0.25">
      <c r="A54" s="107"/>
      <c r="B54" s="165" t="str">
        <v>Order #100</v>
      </c>
      <c r="C54" s="119">
        <v>1</v>
      </c>
      <c r="D54" s="176" t="str">
        <v>QB</v>
      </c>
      <c r="E54" s="176">
        <v>125</v>
      </c>
      <c r="F54" s="192" t="str">
        <v>Flores Verdes</v>
      </c>
      <c r="G54" s="192" t="str">
        <v>Roses 50/60cm Freedom (T/W)</v>
      </c>
      <c r="H54" s="180">
        <v>125</v>
      </c>
      <c r="I54" s="202">
        <v>0.26558752997601909</v>
      </c>
      <c r="J54" s="112">
        <v>1.39</v>
      </c>
      <c r="K54" s="203">
        <f t="shared" si="0"/>
        <v>173.75</v>
      </c>
      <c r="L54" s="112">
        <f t="shared" si="1"/>
        <v>173.75</v>
      </c>
      <c r="M54" s="181">
        <v>46310</v>
      </c>
      <c r="N54" s="89" t="str">
        <v>PO107252</v>
      </c>
      <c r="O54" s="204"/>
      <c r="P54" s="159"/>
      <c r="Q54" s="159"/>
      <c r="R54" s="159"/>
    </row>
    <row r="55" spans="1:18" x14ac:dyDescent="0.25">
      <c r="A55" s="107"/>
      <c r="B55" s="165" t="str">
        <v>Order #101</v>
      </c>
      <c r="C55" s="119">
        <v>1</v>
      </c>
      <c r="D55" s="176" t="str">
        <v>EB</v>
      </c>
      <c r="E55" s="176">
        <v>48</v>
      </c>
      <c r="F55" s="192" t="str">
        <v>Flores Verdes</v>
      </c>
      <c r="G55" s="192" t="str">
        <v>Roses 40/50cm 12 Dragonfly/12 White Ohara/12 Antonia/12 Queenscrown (T/W)</v>
      </c>
      <c r="H55" s="180">
        <v>48</v>
      </c>
      <c r="I55" s="202">
        <v>0.20856610800744879</v>
      </c>
      <c r="J55" s="112">
        <v>1.79</v>
      </c>
      <c r="K55" s="203">
        <f t="shared" si="0"/>
        <v>85.92</v>
      </c>
      <c r="L55" s="112">
        <f t="shared" si="1"/>
        <v>85.92</v>
      </c>
      <c r="M55" s="181">
        <v>46310</v>
      </c>
      <c r="N55" s="89" t="str">
        <v>PO107253</v>
      </c>
      <c r="O55" s="204"/>
      <c r="P55" s="159"/>
      <c r="Q55" s="159"/>
      <c r="R55" s="159"/>
    </row>
    <row r="56" spans="1:18" x14ac:dyDescent="0.25">
      <c r="A56" s="107"/>
      <c r="B56" s="165" t="str">
        <v>Order #102</v>
      </c>
      <c r="C56" s="119">
        <v>1</v>
      </c>
      <c r="D56" s="176" t="str">
        <v>EB</v>
      </c>
      <c r="E56" s="176">
        <v>50</v>
      </c>
      <c r="F56" s="192" t="str">
        <v>Flores Verdes</v>
      </c>
      <c r="G56" s="192" t="str">
        <v>Garden Spray Roses 40cm Jeanine (T/W)</v>
      </c>
      <c r="H56" s="180">
        <v>50</v>
      </c>
      <c r="I56" s="202">
        <v>0.26793323863636354</v>
      </c>
      <c r="J56" s="112">
        <v>1.8924731182795698</v>
      </c>
      <c r="K56" s="203">
        <f>IF(OR(E56="", J56=""), "", IF(COUNTIF(G56, "* x * (*)*"), J56, E56*J56))</f>
        <v>94.623655913978482</v>
      </c>
      <c r="L56" s="112">
        <f t="shared" si="1"/>
        <v>94.623655913978482</v>
      </c>
      <c r="M56" s="181">
        <v>46310</v>
      </c>
      <c r="N56" s="89" t="str">
        <v>PO107254</v>
      </c>
      <c r="O56" s="204"/>
      <c r="P56" s="159"/>
      <c r="Q56" s="159"/>
      <c r="R56" s="159"/>
    </row>
    <row r="57" spans="1:18" x14ac:dyDescent="0.25">
      <c r="A57" s="107"/>
      <c r="B57" s="165" t="str">
        <v>Order #103</v>
      </c>
      <c r="C57" s="119">
        <v>3</v>
      </c>
      <c r="D57" s="176" t="str">
        <v>EB</v>
      </c>
      <c r="E57" s="176">
        <v>60</v>
      </c>
      <c r="F57" s="192" t="str">
        <v>Flores Verdes</v>
      </c>
      <c r="G57" s="192" t="str">
        <v>Spray Roses 50cm 10 Yellow/10 Orange/10 White/10 Pink/10 Hot Pink/10 Red (T/W)</v>
      </c>
      <c r="H57" s="180">
        <v>180</v>
      </c>
      <c r="I57" s="202">
        <v>0.22650193798449603</v>
      </c>
      <c r="J57" s="112">
        <v>1.3870967741935483</v>
      </c>
      <c r="K57" s="203">
        <f>IF(OR(E57="", J57=""), "", IF(COUNTIF(G57, "* x * (*)*"), J57, E57*J57))</f>
        <v>83.225806451612897</v>
      </c>
      <c r="L57" s="112">
        <f t="shared" si="1"/>
        <v>249.67741935483869</v>
      </c>
      <c r="M57" s="181">
        <v>46310</v>
      </c>
      <c r="N57" s="89" t="str">
        <v>PO107255</v>
      </c>
      <c r="O57" s="204"/>
      <c r="P57" s="159"/>
      <c r="Q57" s="159"/>
      <c r="R57" s="159"/>
    </row>
    <row r="58" spans="1:18" x14ac:dyDescent="0.25">
      <c r="A58" s="107"/>
      <c r="B58" s="165" t="str">
        <v>Order #104</v>
      </c>
      <c r="C58" s="119">
        <v>1</v>
      </c>
      <c r="D58" s="176" t="str">
        <v>EB</v>
      </c>
      <c r="E58" s="176">
        <v>55</v>
      </c>
      <c r="F58" s="192" t="str">
        <v>Flores Verdes</v>
      </c>
      <c r="G58" s="192" t="str">
        <v>Roses Mix 40/50cm 25 Playa Blanca/30 Jeanine (T/W)</v>
      </c>
      <c r="H58" s="180">
        <v>55</v>
      </c>
      <c r="I58" s="202">
        <v>0.26675977653631278</v>
      </c>
      <c r="J58" s="112">
        <v>1.79</v>
      </c>
      <c r="K58" s="203">
        <f>IF(OR(E58="", J58=""), "", IF(COUNTIF(G58, "* x * (*)*"), J58, E58*J58))</f>
        <v>98.45</v>
      </c>
      <c r="L58" s="112">
        <f t="shared" si="1"/>
        <v>98.45</v>
      </c>
      <c r="M58" s="181">
        <v>46310</v>
      </c>
      <c r="N58" s="89" t="str">
        <v>PO107256</v>
      </c>
      <c r="O58" s="204"/>
      <c r="P58" s="159"/>
      <c r="Q58" s="159"/>
      <c r="R58" s="159"/>
    </row>
    <row r="59" spans="1:18" x14ac:dyDescent="0.25">
      <c r="A59" s="107"/>
      <c r="B59" s="165" t="str">
        <v>Order #120</v>
      </c>
      <c r="C59" s="119">
        <v>1</v>
      </c>
      <c r="D59" s="176" t="str">
        <v>EB</v>
      </c>
      <c r="E59" s="176">
        <v>70</v>
      </c>
      <c r="F59" s="192" t="str">
        <v>Florisol</v>
      </c>
      <c r="G59" s="192" t="str">
        <v>Delphinium 70/80cm SeaWaltz (T/W)</v>
      </c>
      <c r="H59" s="180">
        <v>70</v>
      </c>
      <c r="I59" s="202">
        <v>0.23797539149888147</v>
      </c>
      <c r="J59" s="112">
        <v>1.49</v>
      </c>
      <c r="K59" s="203">
        <f>IF(OR(E59="", J59=""), "", IF(COUNTIF(G59, "* x * (*)*"), J59, E59*J59))</f>
        <v>104.3</v>
      </c>
      <c r="L59" s="112">
        <f t="shared" si="1"/>
        <v>104.3</v>
      </c>
      <c r="M59" s="181">
        <v>46310</v>
      </c>
      <c r="N59" s="89" t="str">
        <v>PO107272</v>
      </c>
      <c r="O59" s="204"/>
      <c r="P59" s="159"/>
      <c r="Q59" s="159"/>
      <c r="R59" s="159"/>
    </row>
    <row r="60" spans="1:18" x14ac:dyDescent="0.25">
      <c r="A60" s="107"/>
      <c r="B60" s="165" t="str">
        <v>Order #121</v>
      </c>
      <c r="C60" s="119">
        <v>1</v>
      </c>
      <c r="D60" s="176" t="str">
        <v>QB</v>
      </c>
      <c r="E60" s="176">
        <v>50</v>
      </c>
      <c r="F60" s="192" t="str">
        <v>Florisol</v>
      </c>
      <c r="G60" s="192" t="str">
        <v>Roselilies 3-5 Blooms  30 White/20 Pink (T/W)</v>
      </c>
      <c r="H60" s="180">
        <v>50</v>
      </c>
      <c r="I60" s="202">
        <v>0.25417661097852029</v>
      </c>
      <c r="J60" s="112">
        <v>4.1900000000000004</v>
      </c>
      <c r="K60" s="203">
        <f>IF(OR(E60="", J60=""), "", IF(COUNTIF(G60, "* x * (*)*"), J60, E60*J60))</f>
        <v>209.50000000000003</v>
      </c>
      <c r="L60" s="112">
        <f t="shared" si="1"/>
        <v>209.50000000000003</v>
      </c>
      <c r="M60" s="181">
        <v>46310</v>
      </c>
      <c r="N60" s="89" t="str">
        <v>PO107273</v>
      </c>
      <c r="O60" s="204"/>
      <c r="P60" s="159"/>
      <c r="Q60" s="159"/>
      <c r="R60" s="159"/>
    </row>
    <row r="61" spans="1:18" x14ac:dyDescent="0.25">
      <c r="A61" s="107"/>
      <c r="B61" s="165" t="str">
        <v>Order #122</v>
      </c>
      <c r="C61" s="119">
        <v>1</v>
      </c>
      <c r="D61" s="176" t="str">
        <v>QB</v>
      </c>
      <c r="E61" s="176">
        <v>50</v>
      </c>
      <c r="F61" s="192" t="str">
        <v>Florisol</v>
      </c>
      <c r="G61" s="192" t="str">
        <v>Roselilies 3-5 Blooms  30 White/20 Pink (T/W)</v>
      </c>
      <c r="H61" s="180">
        <v>50</v>
      </c>
      <c r="I61" s="202">
        <v>0.25417661097852029</v>
      </c>
      <c r="J61" s="112">
        <v>4.1900000000000004</v>
      </c>
      <c r="K61" s="203">
        <f t="shared" si="0"/>
        <v>209.50000000000003</v>
      </c>
      <c r="L61" s="112">
        <f t="shared" si="1"/>
        <v>209.50000000000003</v>
      </c>
      <c r="M61" s="181">
        <v>46310</v>
      </c>
      <c r="N61" s="89" t="str">
        <v>PO107274</v>
      </c>
      <c r="O61" s="204"/>
      <c r="P61" s="159"/>
      <c r="Q61" s="159"/>
      <c r="R61" s="159"/>
    </row>
    <row r="62" spans="1:18" x14ac:dyDescent="0.25">
      <c r="A62" s="107"/>
      <c r="B62" s="165" t="str">
        <v>Order #128</v>
      </c>
      <c r="C62" s="119">
        <v>1</v>
      </c>
      <c r="D62" s="176" t="str">
        <v>QB</v>
      </c>
      <c r="E62" s="176">
        <v>125</v>
      </c>
      <c r="F62" s="192" t="str">
        <v>Florisol</v>
      </c>
      <c r="G62" s="192" t="str">
        <v>Roses 60cm Explorer (T/W)</v>
      </c>
      <c r="H62" s="180">
        <v>125</v>
      </c>
      <c r="I62" s="202">
        <v>0.26558752997601909</v>
      </c>
      <c r="J62" s="112">
        <v>1.39</v>
      </c>
      <c r="K62" s="203">
        <f t="shared" si="0"/>
        <v>173.75</v>
      </c>
      <c r="L62" s="112">
        <f t="shared" si="1"/>
        <v>173.75</v>
      </c>
      <c r="M62" s="181">
        <v>46310</v>
      </c>
      <c r="N62" s="89" t="str">
        <v>PO107280</v>
      </c>
      <c r="O62" s="204"/>
      <c r="P62" s="159"/>
      <c r="Q62" s="159"/>
      <c r="R62" s="159"/>
    </row>
    <row r="63" spans="1:18" x14ac:dyDescent="0.25">
      <c r="A63" s="107"/>
      <c r="B63" s="165" t="str">
        <v>Order #130</v>
      </c>
      <c r="C63" s="119">
        <v>1</v>
      </c>
      <c r="D63" s="176" t="str">
        <v>QB</v>
      </c>
      <c r="E63" s="176">
        <v>125</v>
      </c>
      <c r="F63" s="192" t="str">
        <v>Florisol</v>
      </c>
      <c r="G63" s="192" t="str">
        <v>Roses 50cm 25 Madam Red/25 Shocking Blue/25 Madam Cerise/25 Peach Wave/25 Vendela (T/W)</v>
      </c>
      <c r="H63" s="180">
        <v>125</v>
      </c>
      <c r="I63" s="202">
        <v>0.26558752997601909</v>
      </c>
      <c r="J63" s="112">
        <v>1.39</v>
      </c>
      <c r="K63" s="203">
        <f t="shared" si="0"/>
        <v>173.75</v>
      </c>
      <c r="L63" s="112">
        <f t="shared" si="1"/>
        <v>173.75</v>
      </c>
      <c r="M63" s="181">
        <v>46310</v>
      </c>
      <c r="N63" s="89" t="str">
        <v>PO107282</v>
      </c>
      <c r="O63" s="204"/>
      <c r="P63" s="159"/>
      <c r="Q63" s="159"/>
      <c r="R63" s="159"/>
    </row>
    <row r="64" spans="1:18" x14ac:dyDescent="0.25">
      <c r="A64" s="107"/>
      <c r="B64" s="165" t="str">
        <v>Order #131</v>
      </c>
      <c r="C64" s="119">
        <v>2</v>
      </c>
      <c r="D64" s="176" t="str">
        <v>QB</v>
      </c>
      <c r="E64" s="176">
        <v>125</v>
      </c>
      <c r="F64" s="192" t="str">
        <v>Florisol</v>
      </c>
      <c r="G64" s="192" t="str">
        <v>Roses 50/60cm 25 Country Blues/25 Freedom/25 Goldfinch/25 Matchpoint/25 Orange Crush (T/W)</v>
      </c>
      <c r="H64" s="180">
        <v>250</v>
      </c>
      <c r="I64" s="202">
        <v>0.25059952038369293</v>
      </c>
      <c r="J64" s="112">
        <v>1.39</v>
      </c>
      <c r="K64" s="203">
        <f t="shared" si="0"/>
        <v>173.75</v>
      </c>
      <c r="L64" s="112">
        <f t="shared" si="1"/>
        <v>347.5</v>
      </c>
      <c r="M64" s="181">
        <v>46310</v>
      </c>
      <c r="N64" s="89" t="str">
        <v>PO107283</v>
      </c>
      <c r="O64" s="204"/>
      <c r="P64" s="159"/>
      <c r="Q64" s="159"/>
      <c r="R64" s="159"/>
    </row>
    <row r="65" spans="1:18" x14ac:dyDescent="0.25">
      <c r="A65" s="107"/>
      <c r="B65" s="165" t="str">
        <v>Order #132</v>
      </c>
      <c r="C65" s="119">
        <v>2</v>
      </c>
      <c r="D65" s="176" t="str">
        <v>QB</v>
      </c>
      <c r="E65" s="176">
        <v>125</v>
      </c>
      <c r="F65" s="192" t="str">
        <v>Florisol</v>
      </c>
      <c r="G65" s="192" t="str">
        <v>Roses 50cm Orange Crush/Madame Red/Matchpoint/Shocking Blue/Peach Wave (T/W)</v>
      </c>
      <c r="H65" s="180">
        <v>250</v>
      </c>
      <c r="I65" s="202">
        <v>0.26558752997601909</v>
      </c>
      <c r="J65" s="112">
        <v>1.39</v>
      </c>
      <c r="K65" s="203">
        <f t="shared" si="0"/>
        <v>173.75</v>
      </c>
      <c r="L65" s="112">
        <f t="shared" si="1"/>
        <v>347.5</v>
      </c>
      <c r="M65" s="181">
        <v>46310</v>
      </c>
      <c r="N65" s="89" t="str">
        <v>PO107284</v>
      </c>
      <c r="O65" s="204"/>
      <c r="P65" s="159"/>
      <c r="Q65" s="159"/>
      <c r="R65" s="159"/>
    </row>
    <row r="66" spans="1:18" x14ac:dyDescent="0.25">
      <c r="A66" s="107"/>
      <c r="B66" s="165" t="str">
        <v>Order #133</v>
      </c>
      <c r="C66" s="119">
        <v>2</v>
      </c>
      <c r="D66" s="176" t="str">
        <v>QB</v>
      </c>
      <c r="E66" s="176">
        <v>125</v>
      </c>
      <c r="F66" s="192" t="str">
        <v>Florisol</v>
      </c>
      <c r="G66" s="192" t="str">
        <v>Roses 50cm Madame Cerise/Vendela/Goldfinch/Freedom/Country Blues (T/W)</v>
      </c>
      <c r="H66" s="180">
        <v>250</v>
      </c>
      <c r="I66" s="202">
        <v>0.26558752997601909</v>
      </c>
      <c r="J66" s="112">
        <v>1.39</v>
      </c>
      <c r="K66" s="203">
        <f t="shared" si="0"/>
        <v>173.75</v>
      </c>
      <c r="L66" s="112">
        <f t="shared" si="1"/>
        <v>347.5</v>
      </c>
      <c r="M66" s="181">
        <v>46310</v>
      </c>
      <c r="N66" s="89" t="str">
        <v>PO107285</v>
      </c>
      <c r="O66" s="204"/>
      <c r="P66" s="159"/>
      <c r="Q66" s="159"/>
      <c r="R66" s="159"/>
    </row>
    <row r="67" spans="1:18" x14ac:dyDescent="0.25">
      <c r="A67" s="107"/>
      <c r="B67" s="165" t="str">
        <v>Order #134</v>
      </c>
      <c r="C67" s="119">
        <v>3</v>
      </c>
      <c r="D67" s="176" t="str">
        <v>QB</v>
      </c>
      <c r="E67" s="176">
        <v>100</v>
      </c>
      <c r="F67" s="192" t="str">
        <v>Florisol</v>
      </c>
      <c r="G67" s="192" t="str">
        <v>(Florisol Mix) Harmony Box Oriental Lilies/Roselilies/Mums/Spray Mums/Ruscus x 100 (T/W)</v>
      </c>
      <c r="H67" s="180">
        <v>300</v>
      </c>
      <c r="I67" s="202">
        <v>0.26774906890130357</v>
      </c>
      <c r="J67" s="112">
        <v>179</v>
      </c>
      <c r="K67" s="203">
        <f t="shared" si="0"/>
        <v>179</v>
      </c>
      <c r="L67" s="112">
        <f t="shared" si="1"/>
        <v>537</v>
      </c>
      <c r="M67" s="181">
        <v>46310</v>
      </c>
      <c r="N67" s="89" t="str">
        <v>PO107286</v>
      </c>
      <c r="O67" s="204"/>
      <c r="P67" s="159"/>
      <c r="Q67" s="159"/>
      <c r="R67" s="159"/>
    </row>
    <row r="68" spans="1:18" x14ac:dyDescent="0.25">
      <c r="A68" s="107"/>
      <c r="B68" s="165" t="str">
        <v>Order #135</v>
      </c>
      <c r="C68" s="119">
        <v>3</v>
      </c>
      <c r="D68" s="176" t="str">
        <v>QB</v>
      </c>
      <c r="E68" s="176">
        <v>120</v>
      </c>
      <c r="F68" s="192" t="str">
        <v>Florisol</v>
      </c>
      <c r="G68" s="192" t="str">
        <v>(Piaveri Mix) Be Mine Box Alstroemeria/Delphinium/Spray Roses x 120 (T/W)</v>
      </c>
      <c r="H68" s="180">
        <v>360</v>
      </c>
      <c r="I68" s="202">
        <v>0.2460466279142447</v>
      </c>
      <c r="J68" s="112">
        <v>159.99</v>
      </c>
      <c r="K68" s="203">
        <f t="shared" si="0"/>
        <v>159.99</v>
      </c>
      <c r="L68" s="112">
        <f t="shared" si="1"/>
        <v>479.97</v>
      </c>
      <c r="M68" s="181">
        <v>46310</v>
      </c>
      <c r="N68" s="89" t="str">
        <v>PO107287</v>
      </c>
      <c r="O68" s="204"/>
      <c r="P68" s="159"/>
      <c r="Q68" s="159"/>
      <c r="R68" s="159"/>
    </row>
    <row r="69" spans="1:18" x14ac:dyDescent="0.25">
      <c r="A69" s="107"/>
      <c r="B69" s="165" t="str">
        <v>Order #136</v>
      </c>
      <c r="C69" s="119">
        <v>3</v>
      </c>
      <c r="D69" s="176" t="str">
        <v>QB</v>
      </c>
      <c r="E69" s="176">
        <v>140</v>
      </c>
      <c r="F69" s="192" t="str">
        <v>Florisol</v>
      </c>
      <c r="G69" s="192" t="str">
        <v>(Clarivel Mix) Pure Love 30 Gypso/40 Solidago/40 Lpidium/30 Glaminis  x 140 (T/W)</v>
      </c>
      <c r="H69" s="180">
        <v>420</v>
      </c>
      <c r="I69" s="202">
        <v>0.26108663041440094</v>
      </c>
      <c r="J69" s="112">
        <v>159.99</v>
      </c>
      <c r="K69" s="203">
        <f t="shared" si="0"/>
        <v>159.99</v>
      </c>
      <c r="L69" s="112">
        <f t="shared" si="1"/>
        <v>479.97</v>
      </c>
      <c r="M69" s="181">
        <v>46310</v>
      </c>
      <c r="N69" s="89" t="str">
        <v>PO107288</v>
      </c>
      <c r="O69" s="204"/>
      <c r="P69" s="159"/>
      <c r="Q69" s="159"/>
      <c r="R69" s="159"/>
    </row>
    <row r="70" spans="1:18" x14ac:dyDescent="0.25">
      <c r="A70" s="107"/>
      <c r="B70" s="165" t="str">
        <v>Order #137</v>
      </c>
      <c r="C70" s="119">
        <v>4</v>
      </c>
      <c r="D70" s="176" t="str">
        <v>QB</v>
      </c>
      <c r="E70" s="176">
        <v>60</v>
      </c>
      <c r="F70" s="192" t="str">
        <v>Florisol</v>
      </c>
      <c r="G70" s="192" t="str">
        <v>Cremons Magnum White (T/W)</v>
      </c>
      <c r="H70" s="180">
        <v>240</v>
      </c>
      <c r="I70" s="202">
        <v>0.30092592592592593</v>
      </c>
      <c r="J70" s="112">
        <v>2.25</v>
      </c>
      <c r="K70" s="203">
        <f t="shared" ref="K70:K130" si="2">IF(OR(E70="", J70=""), "", IF(COUNTIF(G70, "* x * (*)*"), J70, E70*J70))</f>
        <v>135</v>
      </c>
      <c r="L70" s="112">
        <f t="shared" ref="L70:L130" si="3">IF(OR(K70="", C70=""), "", K70*C70)</f>
        <v>540</v>
      </c>
      <c r="M70" s="181">
        <v>46310</v>
      </c>
      <c r="N70" s="89" t="str">
        <v>PO107289</v>
      </c>
      <c r="O70" s="204"/>
      <c r="P70" s="159"/>
      <c r="Q70" s="159"/>
      <c r="R70" s="159"/>
    </row>
    <row r="71" spans="1:18" x14ac:dyDescent="0.25">
      <c r="A71" s="107"/>
      <c r="B71" s="165" t="str">
        <v>Order #138</v>
      </c>
      <c r="C71" s="119">
        <v>5</v>
      </c>
      <c r="D71" s="176" t="str">
        <v>EB</v>
      </c>
      <c r="E71" s="176">
        <v>6</v>
      </c>
      <c r="F71" s="192" t="str">
        <v>Florisol</v>
      </c>
      <c r="G71" s="192" t="str">
        <v>Gypsophilia Xlence 250rg. (T/W)</v>
      </c>
      <c r="H71" s="180">
        <v>30</v>
      </c>
      <c r="I71" s="202">
        <v>0.25545593550180712</v>
      </c>
      <c r="J71" s="112">
        <v>11.99</v>
      </c>
      <c r="K71" s="203">
        <f t="shared" si="2"/>
        <v>71.94</v>
      </c>
      <c r="L71" s="112">
        <f t="shared" si="3"/>
        <v>359.7</v>
      </c>
      <c r="M71" s="181">
        <v>46310</v>
      </c>
      <c r="N71" s="89" t="str">
        <v>PO107290</v>
      </c>
      <c r="O71" s="204"/>
      <c r="P71" s="159"/>
      <c r="Q71" s="159"/>
      <c r="R71" s="159"/>
    </row>
    <row r="72" spans="1:18" x14ac:dyDescent="0.25">
      <c r="A72" s="107"/>
      <c r="B72" s="165" t="str">
        <v>Order #139</v>
      </c>
      <c r="C72" s="119">
        <v>3</v>
      </c>
      <c r="D72" s="176" t="str">
        <v>EB</v>
      </c>
      <c r="E72" s="176">
        <v>70</v>
      </c>
      <c r="F72" s="192" t="str">
        <v>Florisol</v>
      </c>
      <c r="G72" s="192" t="str">
        <v>Alstroemeria Select 70/80cm Red/Yellow/Orange/White/Lavender/Ligth Pink/Hot Pink (T/W)</v>
      </c>
      <c r="H72" s="180">
        <v>210</v>
      </c>
      <c r="I72" s="202">
        <v>0.26414373088685017</v>
      </c>
      <c r="J72" s="112">
        <v>1.0900000000000001</v>
      </c>
      <c r="K72" s="203">
        <f t="shared" si="2"/>
        <v>76.300000000000011</v>
      </c>
      <c r="L72" s="112">
        <f t="shared" si="3"/>
        <v>228.90000000000003</v>
      </c>
      <c r="M72" s="181">
        <v>46310</v>
      </c>
      <c r="N72" s="89" t="str">
        <v>PO107291</v>
      </c>
      <c r="O72" s="204"/>
      <c r="P72" s="159"/>
      <c r="Q72" s="159"/>
      <c r="R72" s="159"/>
    </row>
    <row r="73" spans="1:18" x14ac:dyDescent="0.25">
      <c r="A73" s="107"/>
      <c r="B73" s="165" t="str">
        <v>Order #145</v>
      </c>
      <c r="C73" s="119">
        <v>1</v>
      </c>
      <c r="D73" s="176" t="str">
        <v>EB</v>
      </c>
      <c r="E73" s="176">
        <v>60</v>
      </c>
      <c r="F73" s="192" t="str">
        <v>Florsani</v>
      </c>
      <c r="G73" s="192" t="str">
        <v>Eucalyptus Mix 30 Baby Blue/30 Silver Dollar (T/W)</v>
      </c>
      <c r="H73" s="180">
        <v>60</v>
      </c>
      <c r="I73" s="202">
        <v>0.25</v>
      </c>
      <c r="J73" s="112">
        <v>1.25</v>
      </c>
      <c r="K73" s="203">
        <f t="shared" si="2"/>
        <v>75</v>
      </c>
      <c r="L73" s="112">
        <f t="shared" si="3"/>
        <v>75</v>
      </c>
      <c r="M73" s="181">
        <v>46310</v>
      </c>
      <c r="N73" s="89" t="str">
        <v>PO107297</v>
      </c>
      <c r="O73" s="204"/>
      <c r="P73" s="159"/>
      <c r="Q73" s="159"/>
      <c r="R73" s="159"/>
    </row>
    <row r="74" spans="1:18" x14ac:dyDescent="0.25">
      <c r="A74" s="107"/>
      <c r="B74" s="165" t="str">
        <v>Order #156</v>
      </c>
      <c r="C74" s="119">
        <v>5</v>
      </c>
      <c r="D74" s="176" t="str">
        <v>EB</v>
      </c>
      <c r="E74" s="176">
        <v>50</v>
      </c>
      <c r="F74" s="192" t="str">
        <v>Hoja Verde</v>
      </c>
      <c r="G74" s="192" t="str">
        <v>Gerberas/Mini Gerberas Mix Assorted Colors (T/W)</v>
      </c>
      <c r="H74" s="180">
        <v>250</v>
      </c>
      <c r="I74" s="202">
        <v>0.24659329140461217</v>
      </c>
      <c r="J74" s="112">
        <v>1.59</v>
      </c>
      <c r="K74" s="203">
        <f t="shared" si="2"/>
        <v>79.5</v>
      </c>
      <c r="L74" s="112">
        <f t="shared" si="3"/>
        <v>397.5</v>
      </c>
      <c r="M74" s="181">
        <v>46310</v>
      </c>
      <c r="N74" s="89" t="str">
        <v>PO107308</v>
      </c>
      <c r="O74" s="204"/>
      <c r="P74" s="159"/>
      <c r="Q74" s="159"/>
      <c r="R74" s="159"/>
    </row>
    <row r="75" spans="1:18" x14ac:dyDescent="0.25">
      <c r="A75" s="107"/>
      <c r="B75" s="165" t="str">
        <v>Order #169</v>
      </c>
      <c r="C75" s="119">
        <v>1</v>
      </c>
      <c r="D75" s="176" t="str">
        <v>QB</v>
      </c>
      <c r="E75" s="176">
        <v>70</v>
      </c>
      <c r="F75" s="192" t="str">
        <v>Neumann</v>
      </c>
      <c r="G75" s="192" t="str">
        <v>Lilies LA 2-3 Blooms  Red/White/Pink/Orange (T/W)</v>
      </c>
      <c r="H75" s="180">
        <v>70</v>
      </c>
      <c r="I75" s="202">
        <v>0.24847792998477924</v>
      </c>
      <c r="J75" s="112">
        <v>2.19</v>
      </c>
      <c r="K75" s="203">
        <f t="shared" si="2"/>
        <v>153.29999999999998</v>
      </c>
      <c r="L75" s="112">
        <f t="shared" si="3"/>
        <v>153.29999999999998</v>
      </c>
      <c r="M75" s="181">
        <v>46310</v>
      </c>
      <c r="N75" s="89" t="str">
        <v>PO107321</v>
      </c>
      <c r="O75" s="204"/>
      <c r="P75" s="159"/>
      <c r="Q75" s="159"/>
      <c r="R75" s="159"/>
    </row>
    <row r="76" spans="1:18" x14ac:dyDescent="0.25">
      <c r="A76" s="107"/>
      <c r="B76" s="165" t="str">
        <v>Order #177</v>
      </c>
      <c r="C76" s="119">
        <v>1</v>
      </c>
      <c r="D76" s="176" t="str">
        <v>QB</v>
      </c>
      <c r="E76" s="176">
        <v>125</v>
      </c>
      <c r="F76" s="192" t="str">
        <v>Star Roses</v>
      </c>
      <c r="G76" s="192" t="str">
        <v>Roses 50/60cm Fortune (T/W)</v>
      </c>
      <c r="H76" s="180">
        <v>125</v>
      </c>
      <c r="I76" s="202">
        <v>0.23561151079136677</v>
      </c>
      <c r="J76" s="112">
        <v>1.39</v>
      </c>
      <c r="K76" s="203"/>
      <c r="L76" s="112"/>
      <c r="M76" s="181">
        <v>46310</v>
      </c>
      <c r="N76" s="89" t="str">
        <v>PO107329</v>
      </c>
      <c r="O76" s="204"/>
      <c r="P76" s="159"/>
      <c r="Q76" s="159"/>
      <c r="R76" s="159"/>
    </row>
    <row r="77" spans="1:18" x14ac:dyDescent="0.25">
      <c r="A77" s="107"/>
      <c r="B77" s="165" t="str">
        <v>Order #202</v>
      </c>
      <c r="C77" s="119">
        <v>1</v>
      </c>
      <c r="D77" s="176" t="str">
        <v>EB</v>
      </c>
      <c r="E77" s="176">
        <v>60</v>
      </c>
      <c r="F77" s="192" t="str">
        <v>Tumbabirro</v>
      </c>
      <c r="G77" s="192" t="str">
        <v>Lisianthus 70cm 20 Purple/20 Apricot/20 White (T/W)</v>
      </c>
      <c r="H77" s="180">
        <v>60</v>
      </c>
      <c r="I77" s="202">
        <v>0.23836206896551704</v>
      </c>
      <c r="J77" s="112">
        <v>1.5591397849462365</v>
      </c>
      <c r="K77" s="203"/>
      <c r="L77" s="112"/>
      <c r="M77" s="181">
        <v>46310</v>
      </c>
      <c r="N77" s="89" t="str">
        <v>PO107354</v>
      </c>
      <c r="O77" s="204"/>
      <c r="P77" s="159"/>
      <c r="Q77" s="159"/>
      <c r="R77" s="159"/>
    </row>
    <row r="78" spans="1:18" x14ac:dyDescent="0.25">
      <c r="A78" s="107"/>
      <c r="B78" s="165" t="str">
        <v>Order #204</v>
      </c>
      <c r="C78" s="119">
        <v>5</v>
      </c>
      <c r="D78" s="176" t="str">
        <v>EB</v>
      </c>
      <c r="E78" s="176">
        <v>60</v>
      </c>
      <c r="F78" s="192" t="str">
        <v>Tumbabirro</v>
      </c>
      <c r="G78" s="192" t="str">
        <v>Lisianthus 70cm Assorted Colors (T/W)</v>
      </c>
      <c r="H78" s="180">
        <v>300</v>
      </c>
      <c r="I78" s="202">
        <v>0.24004192872117402</v>
      </c>
      <c r="J78" s="112">
        <v>1.59</v>
      </c>
      <c r="K78" s="203"/>
      <c r="L78" s="112"/>
      <c r="M78" s="181">
        <v>46310</v>
      </c>
      <c r="N78" s="89" t="str">
        <v>PO107356</v>
      </c>
      <c r="O78" s="204"/>
      <c r="P78" s="159"/>
      <c r="Q78" s="159"/>
      <c r="R78" s="159"/>
    </row>
    <row r="79" spans="1:18" x14ac:dyDescent="0.25">
      <c r="A79" s="107"/>
      <c r="B79" s="165" t="str">
        <v>Order #206</v>
      </c>
      <c r="C79" s="119">
        <v>5</v>
      </c>
      <c r="D79" s="176" t="str">
        <v>EB</v>
      </c>
      <c r="E79" s="176">
        <v>60</v>
      </c>
      <c r="F79" s="192" t="str">
        <v>Valleflor</v>
      </c>
      <c r="G79" s="192" t="str">
        <v>Alstroemeria Florinca Assorted Colors</v>
      </c>
      <c r="H79" s="180">
        <v>300</v>
      </c>
      <c r="I79" s="202">
        <v>0.24095607235142125</v>
      </c>
      <c r="J79" s="112">
        <v>1.29</v>
      </c>
      <c r="K79" s="203"/>
      <c r="L79" s="112"/>
      <c r="M79" s="181">
        <v>46310</v>
      </c>
      <c r="N79" s="89" t="str">
        <v>PO107358</v>
      </c>
      <c r="O79" s="204"/>
      <c r="P79" s="159"/>
      <c r="Q79" s="159"/>
      <c r="R79" s="159"/>
    </row>
    <row r="80" spans="1:18" x14ac:dyDescent="0.25">
      <c r="A80" s="107"/>
      <c r="B80" s="165" t="str">
        <v>Order #207</v>
      </c>
      <c r="C80" s="119">
        <v>1</v>
      </c>
      <c r="D80" s="176" t="str">
        <v>EB</v>
      </c>
      <c r="E80" s="176">
        <v>1</v>
      </c>
      <c r="F80" s="192" t="str">
        <v>Valleflor</v>
      </c>
      <c r="G80" s="192" t="str">
        <v>Valley Mix 30 Helleborous/30 Mini Callas/40 Coprosma x 100 stems</v>
      </c>
      <c r="H80" s="180">
        <v>1</v>
      </c>
      <c r="I80" s="202">
        <v>0.28565773243991066</v>
      </c>
      <c r="J80" s="112">
        <v>99.99</v>
      </c>
      <c r="K80" s="203"/>
      <c r="L80" s="112"/>
      <c r="M80" s="181">
        <v>46310</v>
      </c>
      <c r="N80" s="89" t="str">
        <v>PO107359</v>
      </c>
      <c r="O80" s="204"/>
      <c r="P80" s="159"/>
      <c r="Q80" s="159"/>
      <c r="R80" s="159"/>
    </row>
    <row r="81" spans="1:18" x14ac:dyDescent="0.25">
      <c r="A81" s="107"/>
      <c r="B81" s="165" t="str">
        <v>Order #208</v>
      </c>
      <c r="C81" s="119">
        <v>1</v>
      </c>
      <c r="D81" s="176" t="str">
        <v>EB</v>
      </c>
      <c r="E81" s="176">
        <v>100</v>
      </c>
      <c r="F81" s="192" t="str">
        <v>Valleflor</v>
      </c>
      <c r="G81" s="192" t="str">
        <v>Highland Mix 50 Green Crown/50 Echinacea Bubble Gum</v>
      </c>
      <c r="H81" s="180">
        <v>100</v>
      </c>
      <c r="I81" s="202">
        <v>0.43475452196382425</v>
      </c>
      <c r="J81" s="112">
        <v>1.29</v>
      </c>
      <c r="K81" s="203">
        <f t="shared" si="2"/>
        <v>129</v>
      </c>
      <c r="L81" s="112">
        <f t="shared" si="3"/>
        <v>129</v>
      </c>
      <c r="M81" s="181">
        <v>46310</v>
      </c>
      <c r="N81" s="89" t="str">
        <v>PO107360</v>
      </c>
      <c r="O81" s="204"/>
      <c r="P81" s="159"/>
      <c r="Q81" s="159"/>
      <c r="R81" s="159"/>
    </row>
    <row r="82" spans="1:18" x14ac:dyDescent="0.25">
      <c r="A82" s="107"/>
      <c r="B82" s="165" t="str">
        <v>Order #209</v>
      </c>
      <c r="C82" s="119">
        <v>1</v>
      </c>
      <c r="D82" s="176" t="str">
        <v>QB</v>
      </c>
      <c r="E82" s="176">
        <v>60</v>
      </c>
      <c r="F82" s="192" t="str">
        <v>Valleflor</v>
      </c>
      <c r="G82" s="192" t="str">
        <v>Delphinium Paramo Elatum 80cm Assorted Colors</v>
      </c>
      <c r="H82" s="180">
        <v>60</v>
      </c>
      <c r="I82" s="202">
        <v>0.24967018469656987</v>
      </c>
      <c r="J82" s="112">
        <v>3.79</v>
      </c>
      <c r="K82" s="203">
        <f t="shared" si="2"/>
        <v>227.4</v>
      </c>
      <c r="L82" s="112">
        <f t="shared" si="3"/>
        <v>227.4</v>
      </c>
      <c r="M82" s="181">
        <v>46310</v>
      </c>
      <c r="N82" s="89" t="str">
        <v>PO107361</v>
      </c>
      <c r="O82" s="204"/>
      <c r="P82" s="159"/>
      <c r="Q82" s="159"/>
      <c r="R82" s="159"/>
    </row>
    <row r="83" spans="1:18" x14ac:dyDescent="0.25">
      <c r="A83" s="107"/>
      <c r="B83" s="165" t="str">
        <v>Order #210</v>
      </c>
      <c r="C83" s="119">
        <v>4</v>
      </c>
      <c r="D83" s="176" t="str">
        <v>EB</v>
      </c>
      <c r="E83" s="176">
        <v>57</v>
      </c>
      <c r="F83" s="192" t="str">
        <v>Valleflor</v>
      </c>
      <c r="G83" s="192" t="str">
        <v>Carnival Mix Aster/Limonium/Solidago/Statice/Aster Petit x 57 (T/W)</v>
      </c>
      <c r="H83" s="180">
        <v>228</v>
      </c>
      <c r="I83" s="202">
        <v>0.25304307116104874</v>
      </c>
      <c r="J83" s="112">
        <v>89</v>
      </c>
      <c r="K83" s="203">
        <f t="shared" si="2"/>
        <v>89</v>
      </c>
      <c r="L83" s="112">
        <f t="shared" si="3"/>
        <v>356</v>
      </c>
      <c r="M83" s="181">
        <v>46310</v>
      </c>
      <c r="N83" s="89" t="str">
        <v>PO107362</v>
      </c>
      <c r="O83" s="204"/>
      <c r="P83" s="159"/>
      <c r="Q83" s="159"/>
      <c r="R83" s="159"/>
    </row>
    <row r="84" spans="1:18" x14ac:dyDescent="0.25">
      <c r="A84" s="107"/>
      <c r="B84" s="165" t="str">
        <v>Order #11</v>
      </c>
      <c r="C84" s="119">
        <v>1</v>
      </c>
      <c r="D84" s="176" t="str">
        <v>EB</v>
      </c>
      <c r="E84" s="176">
        <v>50</v>
      </c>
      <c r="F84" s="192" t="str">
        <v>Betel Flowers</v>
      </c>
      <c r="G84" s="192" t="str">
        <v>Pin Cushion 30/35cm Assorted Colors (W/T)</v>
      </c>
      <c r="H84" s="180">
        <v>50</v>
      </c>
      <c r="I84" s="202">
        <v>0.25955414012738842</v>
      </c>
      <c r="J84" s="112">
        <v>1.6881720430107525</v>
      </c>
      <c r="K84" s="203">
        <f t="shared" si="2"/>
        <v>84.408602150537632</v>
      </c>
      <c r="L84" s="112">
        <f t="shared" si="3"/>
        <v>84.408602150537632</v>
      </c>
      <c r="M84" s="181">
        <v>46311</v>
      </c>
      <c r="N84" s="89" t="str">
        <v>PO107163</v>
      </c>
      <c r="O84" s="204"/>
      <c r="P84" s="159"/>
      <c r="Q84" s="159"/>
      <c r="R84" s="159"/>
    </row>
    <row r="85" spans="1:18" x14ac:dyDescent="0.25">
      <c r="A85" s="107"/>
      <c r="B85" s="165" t="str">
        <v>Order #14</v>
      </c>
      <c r="C85" s="119">
        <v>5</v>
      </c>
      <c r="D85" s="176" t="str">
        <v>EB</v>
      </c>
      <c r="E85" s="176">
        <v>45</v>
      </c>
      <c r="F85" s="192" t="str">
        <v>Campos de Aroma</v>
      </c>
      <c r="G85" s="192" t="str">
        <v>Sunflower Mix Select/Medium/Petit (W/T)</v>
      </c>
      <c r="H85" s="180">
        <v>225</v>
      </c>
      <c r="I85" s="202">
        <v>0.27935010482180289</v>
      </c>
      <c r="J85" s="112">
        <v>1.59</v>
      </c>
      <c r="K85" s="203">
        <f t="shared" si="2"/>
        <v>71.55</v>
      </c>
      <c r="L85" s="112">
        <f t="shared" si="3"/>
        <v>357.75</v>
      </c>
      <c r="M85" s="181">
        <v>46311</v>
      </c>
      <c r="N85" s="89" t="str">
        <v>PO107166</v>
      </c>
      <c r="O85" s="204"/>
      <c r="P85" s="159"/>
      <c r="Q85" s="159"/>
      <c r="R85" s="159"/>
    </row>
    <row r="86" spans="1:18" x14ac:dyDescent="0.25">
      <c r="A86" s="107"/>
      <c r="B86" s="165" t="str">
        <v>Order #24</v>
      </c>
      <c r="C86" s="119">
        <v>5</v>
      </c>
      <c r="D86" s="176" t="str">
        <v>QB2</v>
      </c>
      <c r="E86" s="176">
        <v>140</v>
      </c>
      <c r="F86" s="192" t="str">
        <v>Cultivos del Norte</v>
      </c>
      <c r="G86" s="192" t="str">
        <v>CDN 70cm Assorted Colors (W/T)</v>
      </c>
      <c r="H86" s="180">
        <v>700</v>
      </c>
      <c r="I86" s="202">
        <v>0.25595238095238093</v>
      </c>
      <c r="J86" s="112">
        <v>1.19</v>
      </c>
      <c r="K86" s="203">
        <f t="shared" si="2"/>
        <v>166.6</v>
      </c>
      <c r="L86" s="112">
        <f t="shared" si="3"/>
        <v>833</v>
      </c>
      <c r="M86" s="181">
        <v>46311</v>
      </c>
      <c r="N86" s="89" t="str">
        <v>PO107176</v>
      </c>
      <c r="O86" s="204"/>
      <c r="P86" s="159"/>
      <c r="Q86" s="159"/>
      <c r="R86" s="159"/>
    </row>
    <row r="87" spans="1:18" x14ac:dyDescent="0.25">
      <c r="A87" s="107"/>
      <c r="B87" s="165" t="str">
        <v>Order #96</v>
      </c>
      <c r="C87" s="119">
        <v>2</v>
      </c>
      <c r="D87" s="176" t="str">
        <v>QB</v>
      </c>
      <c r="E87" s="176">
        <v>125</v>
      </c>
      <c r="F87" s="192" t="str">
        <v>Flores Verdes</v>
      </c>
      <c r="G87" s="192" t="str">
        <v>Roses 50/60cm Freedom (W/T)</v>
      </c>
      <c r="H87" s="180">
        <v>250</v>
      </c>
      <c r="I87" s="202">
        <v>0.26558752997601909</v>
      </c>
      <c r="J87" s="112">
        <v>1.39</v>
      </c>
      <c r="K87" s="203"/>
      <c r="L87" s="112"/>
      <c r="M87" s="181">
        <v>46311</v>
      </c>
      <c r="N87" s="89" t="str">
        <v>PO107248</v>
      </c>
      <c r="O87" s="204"/>
      <c r="P87" s="159"/>
      <c r="Q87" s="159"/>
      <c r="R87" s="159"/>
    </row>
    <row r="88" spans="1:18" x14ac:dyDescent="0.25">
      <c r="A88" s="107"/>
      <c r="B88" s="165" t="str">
        <v>Order #125</v>
      </c>
      <c r="C88" s="119">
        <v>7</v>
      </c>
      <c r="D88" s="176" t="str">
        <v>QB</v>
      </c>
      <c r="E88" s="176">
        <v>110</v>
      </c>
      <c r="F88" s="192" t="str">
        <v>Florisol</v>
      </c>
      <c r="G88" s="192" t="str">
        <v>Mums Cremons Assorted Colors (W/T)</v>
      </c>
      <c r="H88" s="180">
        <v>770</v>
      </c>
      <c r="I88" s="202">
        <v>0.25195749440715876</v>
      </c>
      <c r="J88" s="112">
        <v>1.49</v>
      </c>
      <c r="K88" s="203"/>
      <c r="L88" s="112"/>
      <c r="M88" s="181">
        <v>46311</v>
      </c>
      <c r="N88" s="89" t="str">
        <v>PO107277</v>
      </c>
      <c r="O88" s="204"/>
      <c r="P88" s="159"/>
      <c r="Q88" s="159"/>
      <c r="R88" s="159"/>
    </row>
    <row r="89" spans="1:18" x14ac:dyDescent="0.25">
      <c r="A89" s="107"/>
      <c r="B89" s="165" t="str">
        <v>Order #126</v>
      </c>
      <c r="C89" s="119">
        <v>24</v>
      </c>
      <c r="D89" s="176" t="str">
        <v>QB</v>
      </c>
      <c r="E89" s="176">
        <v>100</v>
      </c>
      <c r="F89" s="192" t="str">
        <v>Florisol</v>
      </c>
      <c r="G89" s="192" t="str">
        <v>Mums Cremons Fall Colors (W/T)</v>
      </c>
      <c r="H89" s="180">
        <v>2400</v>
      </c>
      <c r="I89" s="202">
        <v>0.24004192872117391</v>
      </c>
      <c r="J89" s="112">
        <v>1.59</v>
      </c>
      <c r="K89" s="203"/>
      <c r="L89" s="112"/>
      <c r="M89" s="181">
        <v>46311</v>
      </c>
      <c r="N89" s="89" t="str">
        <v>PO107278</v>
      </c>
      <c r="O89" s="204"/>
      <c r="P89" s="159"/>
      <c r="Q89" s="159"/>
      <c r="R89" s="159"/>
    </row>
    <row r="90" spans="1:18" x14ac:dyDescent="0.25">
      <c r="A90" s="107"/>
      <c r="B90" s="165" t="str">
        <v>Order #127</v>
      </c>
      <c r="C90" s="119">
        <v>5</v>
      </c>
      <c r="D90" s="176" t="str">
        <v>EB</v>
      </c>
      <c r="E90" s="176">
        <v>60</v>
      </c>
      <c r="F90" s="192" t="str">
        <v>Florisol</v>
      </c>
      <c r="G90" s="192" t="str">
        <v>Solidago 70cm Golden Glory (W/T)</v>
      </c>
      <c r="H90" s="180">
        <v>300</v>
      </c>
      <c r="I90" s="202">
        <v>0.23844537815126043</v>
      </c>
      <c r="J90" s="112">
        <v>1.19</v>
      </c>
      <c r="K90" s="203"/>
      <c r="L90" s="112"/>
      <c r="M90" s="181">
        <v>46311</v>
      </c>
      <c r="N90" s="89" t="str">
        <v>PO107279</v>
      </c>
      <c r="O90" s="204"/>
      <c r="P90" s="159"/>
      <c r="Q90" s="159"/>
      <c r="R90" s="159"/>
    </row>
    <row r="91" spans="1:18" x14ac:dyDescent="0.25">
      <c r="A91" s="107"/>
      <c r="B91" s="165" t="str">
        <v>Order #151</v>
      </c>
      <c r="C91" s="119">
        <v>1</v>
      </c>
      <c r="D91" s="176" t="str">
        <v>EB</v>
      </c>
      <c r="E91" s="176">
        <v>18</v>
      </c>
      <c r="F91" s="192" t="str">
        <v>Flower Village</v>
      </c>
      <c r="G91" s="192" t="str">
        <v>Hydrangeas Pocket Mix 6 Tender Love/6 Charm/6 Trophy x 18 (W/T)</v>
      </c>
      <c r="H91" s="180">
        <v>18</v>
      </c>
      <c r="I91" s="202">
        <v>0.21970496721857979</v>
      </c>
      <c r="J91" s="112">
        <v>89.99</v>
      </c>
      <c r="K91" s="203"/>
      <c r="L91" s="112"/>
      <c r="M91" s="181">
        <v>46311</v>
      </c>
      <c r="N91" s="89" t="str">
        <v>PO107303</v>
      </c>
      <c r="O91" s="204"/>
      <c r="P91" s="159"/>
      <c r="Q91" s="159"/>
      <c r="R91" s="159"/>
    </row>
    <row r="92" spans="1:18" x14ac:dyDescent="0.25">
      <c r="A92" s="107"/>
      <c r="B92" s="165" t="str">
        <v>Order #176</v>
      </c>
      <c r="C92" s="119">
        <v>4</v>
      </c>
      <c r="D92" s="176" t="str">
        <v>EB2</v>
      </c>
      <c r="E92" s="176">
        <v>80</v>
      </c>
      <c r="F92" s="192" t="str">
        <v>Plazoleta</v>
      </c>
      <c r="G92" s="192" t="str">
        <v>Alstroemeria Perfection Assorted Colors (W/T)</v>
      </c>
      <c r="H92" s="180">
        <v>320</v>
      </c>
      <c r="I92" s="202">
        <v>0.21874999999999989</v>
      </c>
      <c r="J92" s="112">
        <v>1.24</v>
      </c>
      <c r="K92" s="203"/>
      <c r="L92" s="112"/>
      <c r="M92" s="181">
        <v>46311</v>
      </c>
      <c r="N92" s="89" t="str">
        <v>PO107328</v>
      </c>
      <c r="O92" s="204"/>
      <c r="P92" s="159"/>
      <c r="Q92" s="159"/>
      <c r="R92" s="159"/>
    </row>
    <row r="93" spans="1:18" x14ac:dyDescent="0.25">
      <c r="A93" s="107"/>
      <c r="B93" s="165" t="str">
        <v>Order #13</v>
      </c>
      <c r="C93" s="119">
        <v>5</v>
      </c>
      <c r="D93" s="176" t="str">
        <v>EB</v>
      </c>
      <c r="E93" s="176">
        <v>40</v>
      </c>
      <c r="F93" s="192" t="str">
        <v>Campos de Aroma</v>
      </c>
      <c r="G93" s="192" t="str">
        <v>Sunflower Select Vincents Choice (W/T)</v>
      </c>
      <c r="H93" s="180">
        <v>200</v>
      </c>
      <c r="I93" s="202">
        <v>0.24186390532544377</v>
      </c>
      <c r="J93" s="112">
        <v>1.69</v>
      </c>
      <c r="K93" s="203"/>
      <c r="L93" s="112"/>
      <c r="M93" s="181">
        <v>46312</v>
      </c>
      <c r="N93" s="89" t="str">
        <v>PO107165</v>
      </c>
      <c r="O93" s="204"/>
      <c r="P93" s="159"/>
      <c r="Q93" s="159"/>
      <c r="R93" s="159"/>
    </row>
    <row r="94" spans="1:18" x14ac:dyDescent="0.25">
      <c r="A94" s="107"/>
      <c r="B94" s="165" t="str">
        <v>Order #49</v>
      </c>
      <c r="C94" s="119">
        <v>1</v>
      </c>
      <c r="D94" s="176" t="str">
        <v>QB</v>
      </c>
      <c r="E94" s="176">
        <v>125</v>
      </c>
      <c r="F94" s="192" t="str">
        <v>Florecal</v>
      </c>
      <c r="G94" s="192" t="str">
        <v>Roses 50cm 50 Explorer/25 Mondial/25 Pink Love/25 Orange Crush (T/F)</v>
      </c>
      <c r="H94" s="180">
        <v>125</v>
      </c>
      <c r="I94" s="202">
        <v>0.33305369127516782</v>
      </c>
      <c r="J94" s="112">
        <v>1.49</v>
      </c>
      <c r="K94" s="203"/>
      <c r="L94" s="112"/>
      <c r="M94" s="181">
        <v>46312</v>
      </c>
      <c r="N94" s="89" t="str">
        <v>PO107201</v>
      </c>
      <c r="O94" s="204"/>
      <c r="P94" s="159"/>
      <c r="Q94" s="159"/>
      <c r="R94" s="159"/>
    </row>
    <row r="95" spans="1:18" x14ac:dyDescent="0.25">
      <c r="A95" s="107"/>
      <c r="B95" s="165" t="str">
        <v>Order #51</v>
      </c>
      <c r="C95" s="119">
        <v>1</v>
      </c>
      <c r="D95" s="176" t="str">
        <v>QB</v>
      </c>
      <c r="E95" s="176">
        <v>125</v>
      </c>
      <c r="F95" s="192" t="str">
        <v>Florecal</v>
      </c>
      <c r="G95" s="192" t="str">
        <v>Roses 50/60cm Fortune (T/F)</v>
      </c>
      <c r="H95" s="180">
        <v>125</v>
      </c>
      <c r="I95" s="202">
        <v>0.25839552238805974</v>
      </c>
      <c r="J95" s="112">
        <v>1.34</v>
      </c>
      <c r="K95" s="203"/>
      <c r="L95" s="112"/>
      <c r="M95" s="181">
        <v>46312</v>
      </c>
      <c r="N95" s="89" t="str">
        <v>PO107203</v>
      </c>
      <c r="O95" s="204"/>
      <c r="P95" s="159"/>
      <c r="Q95" s="159"/>
      <c r="R95" s="159"/>
    </row>
    <row r="96" spans="1:18" x14ac:dyDescent="0.25">
      <c r="A96" s="107"/>
      <c r="B96" s="165" t="str">
        <v>Order #52</v>
      </c>
      <c r="C96" s="119">
        <v>1</v>
      </c>
      <c r="D96" s="176" t="str">
        <v>QB</v>
      </c>
      <c r="E96" s="176">
        <v>125</v>
      </c>
      <c r="F96" s="192" t="str">
        <v>Florecal</v>
      </c>
      <c r="G96" s="192" t="str">
        <v>Roses 50cm Freedom (T/F)</v>
      </c>
      <c r="H96" s="180">
        <v>125</v>
      </c>
      <c r="I96" s="202">
        <v>0.22965116279069764</v>
      </c>
      <c r="J96" s="112">
        <v>1.29</v>
      </c>
      <c r="K96" s="203"/>
      <c r="L96" s="112"/>
      <c r="M96" s="181">
        <v>46312</v>
      </c>
      <c r="N96" s="89" t="str">
        <v>PO107204</v>
      </c>
      <c r="O96" s="204"/>
      <c r="P96" s="159"/>
      <c r="Q96" s="159"/>
      <c r="R96" s="159"/>
    </row>
    <row r="97" spans="1:18" x14ac:dyDescent="0.25">
      <c r="A97" s="107"/>
      <c r="B97" s="165" t="str">
        <v>Order #53</v>
      </c>
      <c r="C97" s="119">
        <v>1</v>
      </c>
      <c r="D97" s="176" t="str">
        <v>QB</v>
      </c>
      <c r="E97" s="176">
        <v>125</v>
      </c>
      <c r="F97" s="192" t="str">
        <v>Florecal</v>
      </c>
      <c r="G97" s="192" t="str">
        <v>Roses 50cm Redvolution (T/F)</v>
      </c>
      <c r="H97" s="180">
        <v>125</v>
      </c>
      <c r="I97" s="202">
        <v>0.22965116279069764</v>
      </c>
      <c r="J97" s="112">
        <v>1.29</v>
      </c>
      <c r="K97" s="203"/>
      <c r="L97" s="112"/>
      <c r="M97" s="181">
        <v>46312</v>
      </c>
      <c r="N97" s="89" t="str">
        <v>PO107205</v>
      </c>
      <c r="O97" s="204"/>
      <c r="P97" s="159"/>
      <c r="Q97" s="159"/>
      <c r="R97" s="159"/>
    </row>
    <row r="98" spans="1:18" x14ac:dyDescent="0.25">
      <c r="A98" s="107"/>
      <c r="B98" s="165" t="str">
        <v>Order #54</v>
      </c>
      <c r="C98" s="119">
        <v>2</v>
      </c>
      <c r="D98" s="176" t="str">
        <v>EB</v>
      </c>
      <c r="E98" s="176">
        <v>48</v>
      </c>
      <c r="F98" s="192" t="str">
        <v>Florecal</v>
      </c>
      <c r="G98" s="192" t="str">
        <v>Garden Victorian 40cm Piano (T/F)</v>
      </c>
      <c r="H98" s="180">
        <v>96</v>
      </c>
      <c r="I98" s="202">
        <v>0.22067901234567899</v>
      </c>
      <c r="J98" s="112">
        <v>1.89</v>
      </c>
      <c r="K98" s="203"/>
      <c r="L98" s="112"/>
      <c r="M98" s="181">
        <v>46312</v>
      </c>
      <c r="N98" s="89" t="str">
        <v>PO107206</v>
      </c>
      <c r="O98" s="204"/>
      <c r="P98" s="159"/>
      <c r="Q98" s="159"/>
      <c r="R98" s="159"/>
    </row>
    <row r="99" spans="1:18" x14ac:dyDescent="0.25">
      <c r="A99" s="107"/>
      <c r="B99" s="165" t="str">
        <v>Order #55</v>
      </c>
      <c r="C99" s="119">
        <v>1</v>
      </c>
      <c r="D99" s="176" t="str">
        <v>QB</v>
      </c>
      <c r="E99" s="176">
        <v>125</v>
      </c>
      <c r="F99" s="192" t="str">
        <v>Florecal</v>
      </c>
      <c r="G99" s="192" t="str">
        <v>Wedding Mix 40/50cm 25 Playa Blanca/25 Quicksand/25 Barista/25 Symbol/25 Cold Brew (T/F)</v>
      </c>
      <c r="H99" s="180">
        <v>125</v>
      </c>
      <c r="I99" s="202">
        <v>0.27638067061143978</v>
      </c>
      <c r="J99" s="112">
        <v>1.69</v>
      </c>
      <c r="K99" s="203"/>
      <c r="L99" s="112"/>
      <c r="M99" s="181">
        <v>46312</v>
      </c>
      <c r="N99" s="89" t="str">
        <v>PO107207</v>
      </c>
      <c r="O99" s="204"/>
      <c r="P99" s="159"/>
      <c r="Q99" s="159"/>
      <c r="R99" s="159"/>
    </row>
    <row r="100" spans="1:18" x14ac:dyDescent="0.25">
      <c r="A100" s="107"/>
      <c r="B100" s="165" t="str">
        <v>Order #56</v>
      </c>
      <c r="C100" s="119">
        <v>1</v>
      </c>
      <c r="D100" s="176" t="str">
        <v>QB</v>
      </c>
      <c r="E100" s="176">
        <v>125</v>
      </c>
      <c r="F100" s="192" t="str">
        <v>Florecal</v>
      </c>
      <c r="G100" s="192" t="str">
        <v>Wedding Mix 40/50cm 25 Playa Blanca/25 Quicksand/25 Barista/25 Symbol/25 Cold Brew (T/F)</v>
      </c>
      <c r="H100" s="180">
        <v>125</v>
      </c>
      <c r="I100" s="202">
        <v>0.27638067061143978</v>
      </c>
      <c r="J100" s="112">
        <v>1.69</v>
      </c>
      <c r="K100" s="203"/>
      <c r="L100" s="112"/>
      <c r="M100" s="181">
        <v>46312</v>
      </c>
      <c r="N100" s="89" t="str">
        <v>PO107208</v>
      </c>
      <c r="O100" s="204"/>
      <c r="P100" s="159"/>
      <c r="Q100" s="159"/>
      <c r="R100" s="159"/>
    </row>
    <row r="101" spans="1:18" x14ac:dyDescent="0.25">
      <c r="A101" s="107"/>
      <c r="B101" s="165" t="str">
        <v>Order #93</v>
      </c>
      <c r="C101" s="119">
        <v>1</v>
      </c>
      <c r="D101" s="176" t="str">
        <v>QB</v>
      </c>
      <c r="E101" s="176">
        <v>125</v>
      </c>
      <c r="F101" s="192" t="str">
        <v>Flores Verdes</v>
      </c>
      <c r="G101" s="192" t="str">
        <v>Roses 50cm Explorer (T/F)</v>
      </c>
      <c r="H101" s="180">
        <v>125</v>
      </c>
      <c r="I101" s="202">
        <v>0.2328811369509044</v>
      </c>
      <c r="J101" s="112">
        <v>1.29</v>
      </c>
      <c r="K101" s="203"/>
      <c r="L101" s="112"/>
      <c r="M101" s="181">
        <v>46312</v>
      </c>
      <c r="N101" s="89" t="str">
        <v>PO107245</v>
      </c>
      <c r="O101" s="204"/>
      <c r="P101" s="159"/>
      <c r="Q101" s="159"/>
      <c r="R101" s="159"/>
    </row>
    <row r="102" spans="1:18" x14ac:dyDescent="0.25">
      <c r="A102" s="107"/>
      <c r="B102" s="165" t="str">
        <v>Order #94</v>
      </c>
      <c r="C102" s="119">
        <v>1</v>
      </c>
      <c r="D102" s="176" t="str">
        <v>QB</v>
      </c>
      <c r="E102" s="176">
        <v>125</v>
      </c>
      <c r="F102" s="192" t="str">
        <v>Flores Verdes</v>
      </c>
      <c r="G102" s="192" t="str">
        <v>Roses 50/60cm Freedom (T/F)</v>
      </c>
      <c r="H102" s="180">
        <v>125</v>
      </c>
      <c r="I102" s="202">
        <v>0.23818407960199006</v>
      </c>
      <c r="J102" s="112">
        <v>1.34</v>
      </c>
      <c r="K102" s="203"/>
      <c r="L102" s="112"/>
      <c r="M102" s="181">
        <v>46312</v>
      </c>
      <c r="N102" s="89" t="str">
        <v>PO107246</v>
      </c>
      <c r="O102" s="204"/>
      <c r="P102" s="159"/>
      <c r="Q102" s="159"/>
      <c r="R102" s="159"/>
    </row>
    <row r="103" spans="1:18" x14ac:dyDescent="0.25">
      <c r="A103" s="107"/>
      <c r="B103" s="165" t="str">
        <v>Order #95</v>
      </c>
      <c r="C103" s="119">
        <v>4</v>
      </c>
      <c r="D103" s="176" t="str">
        <v>EB</v>
      </c>
      <c r="E103" s="176">
        <v>48</v>
      </c>
      <c r="F103" s="192" t="str">
        <v>Flores Verdes</v>
      </c>
      <c r="G103" s="192" t="str">
        <v>Garden Roses 40/50cm 12 Ashley/12 White Ashley/12 Ohara/12 White Ohara (T/F)</v>
      </c>
      <c r="H103" s="180">
        <v>192</v>
      </c>
      <c r="I103" s="202">
        <v>0.20856610800744879</v>
      </c>
      <c r="J103" s="112">
        <v>1.79</v>
      </c>
      <c r="K103" s="203"/>
      <c r="L103" s="112"/>
      <c r="M103" s="181">
        <v>46312</v>
      </c>
      <c r="N103" s="89" t="str">
        <v>PO107247</v>
      </c>
      <c r="O103" s="204"/>
      <c r="P103" s="159"/>
      <c r="Q103" s="159"/>
      <c r="R103" s="159"/>
    </row>
    <row r="104" spans="1:18" x14ac:dyDescent="0.25">
      <c r="A104" s="107"/>
      <c r="B104" s="165" t="str">
        <v>Order #153</v>
      </c>
      <c r="C104" s="119">
        <v>5</v>
      </c>
      <c r="D104" s="176" t="str">
        <v>EB</v>
      </c>
      <c r="E104" s="176">
        <v>50</v>
      </c>
      <c r="F104" s="192" t="str">
        <v>Hoja Verde</v>
      </c>
      <c r="G104" s="192" t="str">
        <v>Gerberas/Mini Gerberas Mix Assorted Colors</v>
      </c>
      <c r="H104" s="180">
        <v>250</v>
      </c>
      <c r="I104" s="202">
        <v>0.24659329140461217</v>
      </c>
      <c r="J104" s="112">
        <v>1.59</v>
      </c>
      <c r="K104" s="203"/>
      <c r="L104" s="112"/>
      <c r="M104" s="181">
        <v>46312</v>
      </c>
      <c r="N104" s="89" t="str">
        <v>PO107305</v>
      </c>
      <c r="O104" s="204"/>
      <c r="P104" s="159"/>
      <c r="Q104" s="159"/>
      <c r="R104" s="159"/>
    </row>
    <row r="105" spans="1:18" x14ac:dyDescent="0.25">
      <c r="A105" s="107"/>
      <c r="B105" s="165" t="str">
        <v>Order #184</v>
      </c>
      <c r="C105" s="119">
        <v>1</v>
      </c>
      <c r="D105" s="176" t="str">
        <v>QB</v>
      </c>
      <c r="E105" s="176">
        <v>100</v>
      </c>
      <c r="F105" s="192" t="str">
        <v>Star Roses</v>
      </c>
      <c r="G105" s="192" t="str">
        <v>Roses 50cm Fortune (T/F)</v>
      </c>
      <c r="H105" s="180">
        <v>100</v>
      </c>
      <c r="I105" s="202">
        <v>0.11983204134366909</v>
      </c>
      <c r="J105" s="112">
        <v>1.29</v>
      </c>
      <c r="K105" s="203"/>
      <c r="L105" s="112"/>
      <c r="M105" s="181">
        <v>46312</v>
      </c>
      <c r="N105" s="89" t="str">
        <v>PO107336</v>
      </c>
      <c r="O105" s="204"/>
      <c r="P105" s="159"/>
      <c r="Q105" s="159"/>
      <c r="R105" s="159"/>
    </row>
    <row r="106" spans="1:18" x14ac:dyDescent="0.25">
      <c r="A106" s="107"/>
      <c r="B106" s="165" t="str">
        <v>Order #185</v>
      </c>
      <c r="C106" s="119">
        <v>1</v>
      </c>
      <c r="D106" s="176" t="str">
        <v>QB</v>
      </c>
      <c r="E106" s="176">
        <v>100</v>
      </c>
      <c r="F106" s="192" t="str">
        <v>Star Roses</v>
      </c>
      <c r="G106" s="192" t="str">
        <v>Roses 50cm 75 Rhoslyn/25 Fortune (T/F)</v>
      </c>
      <c r="H106" s="180">
        <v>100</v>
      </c>
      <c r="I106" s="202">
        <v>0.11983204134366909</v>
      </c>
      <c r="J106" s="112">
        <v>1.29</v>
      </c>
      <c r="K106" s="203"/>
      <c r="L106" s="112"/>
      <c r="M106" s="181">
        <v>46312</v>
      </c>
      <c r="N106" s="89" t="str">
        <v>PO107337</v>
      </c>
      <c r="O106" s="204"/>
      <c r="P106" s="159"/>
      <c r="Q106" s="159"/>
      <c r="R106" s="159"/>
    </row>
    <row r="107" spans="1:18" x14ac:dyDescent="0.25">
      <c r="A107" s="107"/>
      <c r="B107" s="165" t="str">
        <v>Order #186</v>
      </c>
      <c r="C107" s="119">
        <v>1</v>
      </c>
      <c r="D107" s="176" t="str">
        <v>QB</v>
      </c>
      <c r="E107" s="176">
        <v>100</v>
      </c>
      <c r="F107" s="192" t="str">
        <v>Star Roses</v>
      </c>
      <c r="G107" s="192" t="str">
        <v>Roses 50cm 75 Mondial/25 Fortune (T/F)</v>
      </c>
      <c r="H107" s="180">
        <v>100</v>
      </c>
      <c r="I107" s="202">
        <v>0.11983204134366909</v>
      </c>
      <c r="J107" s="112">
        <v>1.29</v>
      </c>
      <c r="K107" s="203"/>
      <c r="L107" s="112"/>
      <c r="M107" s="181">
        <v>46312</v>
      </c>
      <c r="N107" s="89" t="str">
        <v>PO107338</v>
      </c>
      <c r="O107" s="204"/>
      <c r="P107" s="159"/>
      <c r="Q107" s="159"/>
      <c r="R107" s="159"/>
    </row>
    <row r="108" spans="1:18" x14ac:dyDescent="0.25">
      <c r="A108" s="107"/>
      <c r="B108" s="165" t="str">
        <v>Order #189</v>
      </c>
      <c r="C108" s="119">
        <v>1</v>
      </c>
      <c r="D108" s="176" t="str">
        <v>QB</v>
      </c>
      <c r="E108" s="176">
        <v>125</v>
      </c>
      <c r="F108" s="192" t="str">
        <v>Star Roses</v>
      </c>
      <c r="G108" s="192" t="str">
        <v>Roses 50cm 25 Tibet/25 Jessika/25 Mohana/25 Phoenix/25 Bromo (W/T)</v>
      </c>
      <c r="H108" s="180">
        <v>125</v>
      </c>
      <c r="I108" s="202">
        <v>0.28057553956834524</v>
      </c>
      <c r="J108" s="112">
        <v>1.39</v>
      </c>
      <c r="K108" s="203"/>
      <c r="L108" s="112"/>
      <c r="M108" s="181">
        <v>46312</v>
      </c>
      <c r="N108" s="89" t="str">
        <v>PO107341</v>
      </c>
      <c r="O108" s="204"/>
      <c r="P108" s="159"/>
      <c r="Q108" s="159"/>
      <c r="R108" s="159"/>
    </row>
    <row r="109" spans="1:18" x14ac:dyDescent="0.25">
      <c r="A109" s="107"/>
      <c r="B109" s="165" t="str">
        <v>Order #190</v>
      </c>
      <c r="C109" s="119">
        <v>1</v>
      </c>
      <c r="D109" s="176" t="str">
        <v>QB</v>
      </c>
      <c r="E109" s="176">
        <v>125</v>
      </c>
      <c r="F109" s="192" t="str">
        <v>Star Roses</v>
      </c>
      <c r="G109" s="192" t="str">
        <v>Roses 50cm Fortune (T/F)</v>
      </c>
      <c r="H109" s="180">
        <v>125</v>
      </c>
      <c r="I109" s="202">
        <v>0.23818407960199006</v>
      </c>
      <c r="J109" s="112">
        <v>1.34</v>
      </c>
      <c r="K109" s="203"/>
      <c r="L109" s="112"/>
      <c r="M109" s="181">
        <v>46312</v>
      </c>
      <c r="N109" s="89" t="str">
        <v>PO107342</v>
      </c>
      <c r="O109" s="204"/>
      <c r="P109" s="159"/>
      <c r="Q109" s="159"/>
      <c r="R109" s="159"/>
    </row>
    <row r="110" spans="1:18" x14ac:dyDescent="0.25">
      <c r="A110" s="107"/>
      <c r="B110" s="165" t="str">
        <v>Order #191</v>
      </c>
      <c r="C110" s="119">
        <v>1</v>
      </c>
      <c r="D110" s="176" t="str">
        <v>QB</v>
      </c>
      <c r="E110" s="176">
        <v>125</v>
      </c>
      <c r="F110" s="192" t="str">
        <v>Star Roses</v>
      </c>
      <c r="G110" s="192" t="str">
        <v>Roses 50/60cm Fortune (T/F)</v>
      </c>
      <c r="H110" s="180">
        <v>125</v>
      </c>
      <c r="I110" s="202">
        <v>0.23818407960199006</v>
      </c>
      <c r="J110" s="112">
        <v>1.34</v>
      </c>
      <c r="K110" s="203"/>
      <c r="L110" s="112"/>
      <c r="M110" s="181">
        <v>46312</v>
      </c>
      <c r="N110" s="89" t="str">
        <v>PO107343</v>
      </c>
      <c r="O110" s="204"/>
      <c r="P110" s="159"/>
      <c r="Q110" s="159"/>
      <c r="R110" s="159"/>
    </row>
    <row r="111" spans="1:18" x14ac:dyDescent="0.25">
      <c r="A111" s="107"/>
      <c r="B111" s="165" t="str">
        <v>Order #192</v>
      </c>
      <c r="C111" s="119">
        <v>1</v>
      </c>
      <c r="D111" s="176" t="str">
        <v>QB</v>
      </c>
      <c r="E111" s="176">
        <v>125</v>
      </c>
      <c r="F111" s="192" t="str">
        <v>Star Roses</v>
      </c>
      <c r="G111" s="192" t="str">
        <v>Roses 50cm 75 Jessika/25 Explore/25 Tibet (T/F)</v>
      </c>
      <c r="H111" s="180">
        <v>125</v>
      </c>
      <c r="I111" s="202">
        <v>0.22480620155038755</v>
      </c>
      <c r="J111" s="112">
        <v>1.29</v>
      </c>
      <c r="K111" s="203"/>
      <c r="L111" s="112"/>
      <c r="M111" s="181">
        <v>46312</v>
      </c>
      <c r="N111" s="89" t="str">
        <v>PO107344</v>
      </c>
      <c r="O111" s="204"/>
      <c r="P111" s="159"/>
      <c r="Q111" s="159"/>
      <c r="R111" s="159"/>
    </row>
    <row r="112" spans="1:18" x14ac:dyDescent="0.25">
      <c r="A112" s="107"/>
      <c r="B112" s="165" t="str">
        <v>Order #193</v>
      </c>
      <c r="C112" s="119">
        <v>1</v>
      </c>
      <c r="D112" s="176" t="str">
        <v>QB</v>
      </c>
      <c r="E112" s="176">
        <v>125</v>
      </c>
      <c r="F112" s="192" t="str">
        <v>Star Roses</v>
      </c>
      <c r="G112" s="192" t="str">
        <v>Roses 50cm 50 Freedom/25 Mondial/25 Jessica/25 Brighton (T/F)</v>
      </c>
      <c r="H112" s="180">
        <v>125</v>
      </c>
      <c r="I112" s="202">
        <v>0.28057553956834524</v>
      </c>
      <c r="J112" s="112">
        <v>1.39</v>
      </c>
      <c r="K112" s="203"/>
      <c r="L112" s="112"/>
      <c r="M112" s="181">
        <v>46312</v>
      </c>
      <c r="N112" s="89" t="str">
        <v>PO107345</v>
      </c>
      <c r="O112" s="204"/>
      <c r="P112" s="159"/>
      <c r="Q112" s="159"/>
      <c r="R112" s="159"/>
    </row>
    <row r="113" spans="1:18" x14ac:dyDescent="0.25">
      <c r="A113" s="107"/>
      <c r="B113" s="165" t="str">
        <v>Order #12</v>
      </c>
      <c r="C113" s="119">
        <v>5</v>
      </c>
      <c r="D113" s="176" t="str">
        <v>EB</v>
      </c>
      <c r="E113" s="176">
        <v>40</v>
      </c>
      <c r="F113" s="192" t="str">
        <v>Campos de Aroma</v>
      </c>
      <c r="G113" s="192" t="str">
        <v>Sunflower Select Vincents Choice (T/F)</v>
      </c>
      <c r="H113" s="180">
        <v>200</v>
      </c>
      <c r="I113" s="202">
        <v>0.22953648915187375</v>
      </c>
      <c r="J113" s="112">
        <v>1.69</v>
      </c>
      <c r="K113" s="203"/>
      <c r="L113" s="112"/>
      <c r="M113" s="181">
        <v>46314</v>
      </c>
      <c r="N113" s="89" t="str">
        <v>PO107164</v>
      </c>
      <c r="O113" s="204"/>
      <c r="P113" s="159"/>
      <c r="Q113" s="159"/>
      <c r="R113" s="159"/>
    </row>
    <row r="114" spans="1:18" x14ac:dyDescent="0.25">
      <c r="A114" s="107"/>
      <c r="B114" s="165" t="str">
        <v>Order #26</v>
      </c>
      <c r="C114" s="119">
        <v>2</v>
      </c>
      <c r="D114" s="176" t="str">
        <v>EB</v>
      </c>
      <c r="E114" s="176">
        <v>8</v>
      </c>
      <c r="F114" s="192" t="str">
        <v>Flodecol</v>
      </c>
      <c r="G114" s="192" t="str">
        <v>Gypsophilia Xlence 250g. (T/F)</v>
      </c>
      <c r="H114" s="180">
        <v>16</v>
      </c>
      <c r="I114" s="202">
        <v>0.2023872914447995</v>
      </c>
      <c r="J114" s="112">
        <v>9.39</v>
      </c>
      <c r="K114" s="203"/>
      <c r="L114" s="112"/>
      <c r="M114" s="181">
        <v>46314</v>
      </c>
      <c r="N114" s="89" t="str">
        <v>PO107178</v>
      </c>
      <c r="O114" s="204"/>
      <c r="P114" s="159"/>
      <c r="Q114" s="159"/>
      <c r="R114" s="159"/>
    </row>
    <row r="115" spans="1:18" x14ac:dyDescent="0.25">
      <c r="A115" s="107"/>
      <c r="B115" s="165" t="str">
        <v>Order #35</v>
      </c>
      <c r="C115" s="119">
        <v>3</v>
      </c>
      <c r="D115" s="176" t="str">
        <v>EB</v>
      </c>
      <c r="E115" s="176">
        <v>8</v>
      </c>
      <c r="F115" s="192" t="str">
        <v>Flodecol</v>
      </c>
      <c r="G115" s="192" t="str">
        <v>Gypsophilia Xlence 250g. (T/F)</v>
      </c>
      <c r="H115" s="180">
        <v>24</v>
      </c>
      <c r="I115" s="202">
        <v>0.2023872914447995</v>
      </c>
      <c r="J115" s="112">
        <v>9.39</v>
      </c>
      <c r="K115" s="203"/>
      <c r="L115" s="112"/>
      <c r="M115" s="181">
        <v>46314</v>
      </c>
      <c r="N115" s="89" t="str">
        <v>PO107187</v>
      </c>
      <c r="O115" s="204"/>
      <c r="P115" s="159"/>
      <c r="Q115" s="159"/>
      <c r="R115" s="159"/>
    </row>
    <row r="116" spans="1:18" x14ac:dyDescent="0.25">
      <c r="A116" s="107"/>
      <c r="B116" s="165" t="str">
        <v>Order #150</v>
      </c>
      <c r="C116" s="119">
        <v>4</v>
      </c>
      <c r="D116" s="176" t="str">
        <v>EB</v>
      </c>
      <c r="E116" s="176">
        <v>18</v>
      </c>
      <c r="F116" s="192" t="str">
        <v>Flower Village</v>
      </c>
      <c r="G116" s="192" t="str">
        <v>Hydrangeas Pocket Mix 6 Tender Love/6 Charm/6 Trophy x 18 (T/F)</v>
      </c>
      <c r="H116" s="180">
        <v>72</v>
      </c>
      <c r="I116" s="202">
        <v>0.21970496721857979</v>
      </c>
      <c r="J116" s="112">
        <v>89.99</v>
      </c>
      <c r="K116" s="203"/>
      <c r="L116" s="112"/>
      <c r="M116" s="181">
        <v>46314</v>
      </c>
      <c r="N116" s="89" t="str">
        <v>PO107302</v>
      </c>
      <c r="O116" s="204"/>
      <c r="P116" s="159"/>
      <c r="Q116" s="159"/>
      <c r="R116" s="159"/>
    </row>
    <row r="117" spans="1:18" x14ac:dyDescent="0.25">
      <c r="A117" s="107"/>
      <c r="B117" s="165" t="str">
        <v>Order #152</v>
      </c>
      <c r="C117" s="119">
        <v>1</v>
      </c>
      <c r="D117" s="176" t="str">
        <v>EB</v>
      </c>
      <c r="E117" s="176">
        <v>70</v>
      </c>
      <c r="F117" s="192" t="str">
        <v>High Garden</v>
      </c>
      <c r="G117" s="192" t="str">
        <v>Delphinium 70cm 20 Seawaltz/50 Skywaltz (T/F)</v>
      </c>
      <c r="H117" s="180">
        <v>70</v>
      </c>
      <c r="I117" s="202">
        <v>0.23098434004474266</v>
      </c>
      <c r="J117" s="112">
        <v>1.49</v>
      </c>
      <c r="K117" s="203"/>
      <c r="L117" s="112"/>
      <c r="M117" s="181">
        <v>46314</v>
      </c>
      <c r="N117" s="89" t="str">
        <v>PO107304</v>
      </c>
      <c r="O117" s="204"/>
      <c r="P117" s="159"/>
      <c r="Q117" s="159"/>
      <c r="R117" s="159"/>
    </row>
    <row r="118" spans="1:18" x14ac:dyDescent="0.25">
      <c r="A118" s="107"/>
      <c r="B118" s="165"/>
      <c r="C118" s="119"/>
      <c r="D118" s="176"/>
      <c r="E118" s="176"/>
      <c r="F118" s="192"/>
      <c r="G118" s="192"/>
      <c r="H118" s="180"/>
      <c r="I118" s="202"/>
      <c r="J118" s="112"/>
      <c r="K118" s="203"/>
      <c r="L118" s="112"/>
      <c r="M118" s="181"/>
      <c r="N118" s="89"/>
      <c r="O118" s="204"/>
      <c r="P118" s="159"/>
      <c r="Q118" s="159"/>
      <c r="R118" s="159"/>
    </row>
    <row r="119" spans="1:18" x14ac:dyDescent="0.25">
      <c r="A119" s="107"/>
      <c r="B119" s="165"/>
      <c r="C119" s="119"/>
      <c r="D119" s="176"/>
      <c r="E119" s="176"/>
      <c r="F119" s="192"/>
      <c r="G119" s="192"/>
      <c r="H119" s="180"/>
      <c r="I119" s="202"/>
      <c r="J119" s="112"/>
      <c r="K119" s="203"/>
      <c r="L119" s="112"/>
      <c r="M119" s="181"/>
      <c r="N119" s="89"/>
      <c r="O119" s="204"/>
      <c r="P119" s="159"/>
      <c r="Q119" s="159"/>
      <c r="R119" s="159"/>
    </row>
    <row r="120" spans="1:18" x14ac:dyDescent="0.25">
      <c r="A120" s="107"/>
      <c r="B120" s="165"/>
      <c r="C120" s="119"/>
      <c r="D120" s="176"/>
      <c r="E120" s="176"/>
      <c r="F120" s="192"/>
      <c r="G120" s="192"/>
      <c r="H120" s="180"/>
      <c r="I120" s="202"/>
      <c r="J120" s="112"/>
      <c r="K120" s="203"/>
      <c r="L120" s="112"/>
      <c r="M120" s="181"/>
      <c r="N120" s="89"/>
      <c r="O120" s="204"/>
      <c r="P120" s="159"/>
      <c r="Q120" s="159"/>
      <c r="R120" s="159"/>
    </row>
    <row r="121" spans="1:18" x14ac:dyDescent="0.25">
      <c r="A121" s="107"/>
      <c r="B121" s="165"/>
      <c r="C121" s="119"/>
      <c r="D121" s="176"/>
      <c r="E121" s="176"/>
      <c r="F121" s="192"/>
      <c r="G121" s="192"/>
      <c r="H121" s="180"/>
      <c r="I121" s="202"/>
      <c r="J121" s="112"/>
      <c r="K121" s="203"/>
      <c r="L121" s="112"/>
      <c r="M121" s="181"/>
      <c r="N121" s="89"/>
      <c r="O121" s="204"/>
      <c r="P121" s="159"/>
      <c r="Q121" s="159"/>
      <c r="R121" s="159"/>
    </row>
    <row r="122" spans="1:18" x14ac:dyDescent="0.25">
      <c r="A122" s="107"/>
      <c r="B122" s="165"/>
      <c r="C122" s="119"/>
      <c r="D122" s="176"/>
      <c r="E122" s="176"/>
      <c r="F122" s="192"/>
      <c r="G122" s="192"/>
      <c r="H122" s="180"/>
      <c r="I122" s="202"/>
      <c r="J122" s="112"/>
      <c r="K122" s="203"/>
      <c r="L122" s="112"/>
      <c r="M122" s="181"/>
      <c r="N122" s="89"/>
      <c r="O122" s="204"/>
      <c r="P122" s="159"/>
      <c r="Q122" s="159"/>
      <c r="R122" s="159"/>
    </row>
    <row r="123" spans="1:18" x14ac:dyDescent="0.25">
      <c r="A123" s="107"/>
      <c r="B123" s="165"/>
      <c r="C123" s="119"/>
      <c r="D123" s="176"/>
      <c r="E123" s="176"/>
      <c r="F123" s="192"/>
      <c r="G123" s="192"/>
      <c r="H123" s="180"/>
      <c r="I123" s="202"/>
      <c r="J123" s="112"/>
      <c r="K123" s="203"/>
      <c r="L123" s="112"/>
      <c r="M123" s="181"/>
      <c r="N123" s="89"/>
      <c r="O123" s="204"/>
      <c r="P123" s="159"/>
      <c r="Q123" s="159"/>
      <c r="R123" s="159"/>
    </row>
    <row r="124" spans="1:18" x14ac:dyDescent="0.25">
      <c r="A124" s="107"/>
      <c r="B124" s="165"/>
      <c r="C124" s="119"/>
      <c r="D124" s="176"/>
      <c r="E124" s="176"/>
      <c r="F124" s="192"/>
      <c r="G124" s="192"/>
      <c r="H124" s="180"/>
      <c r="I124" s="202"/>
      <c r="J124" s="112"/>
      <c r="K124" s="203"/>
      <c r="L124" s="112"/>
      <c r="M124" s="181"/>
      <c r="N124" s="89"/>
      <c r="O124" s="204"/>
      <c r="P124" s="159"/>
      <c r="Q124" s="159"/>
      <c r="R124" s="159"/>
    </row>
    <row r="125" spans="1:18" x14ac:dyDescent="0.25">
      <c r="A125" s="107"/>
      <c r="B125" s="165"/>
      <c r="C125" s="119"/>
      <c r="D125" s="176"/>
      <c r="E125" s="176"/>
      <c r="F125" s="192"/>
      <c r="G125" s="192"/>
      <c r="H125" s="180"/>
      <c r="I125" s="202"/>
      <c r="J125" s="112"/>
      <c r="K125" s="203"/>
      <c r="L125" s="112"/>
      <c r="M125" s="181"/>
      <c r="N125" s="89"/>
      <c r="O125" s="204"/>
      <c r="P125" s="159"/>
      <c r="Q125" s="159"/>
      <c r="R125" s="159"/>
    </row>
    <row r="126" spans="1:18" x14ac:dyDescent="0.25">
      <c r="A126" s="107"/>
      <c r="B126" s="165"/>
      <c r="C126" s="119"/>
      <c r="D126" s="176"/>
      <c r="E126" s="176"/>
      <c r="F126" s="192"/>
      <c r="G126" s="192"/>
      <c r="H126" s="180"/>
      <c r="I126" s="202"/>
      <c r="J126" s="112"/>
      <c r="K126" s="203"/>
      <c r="L126" s="112"/>
      <c r="M126" s="181"/>
      <c r="N126" s="89"/>
      <c r="O126" s="204"/>
      <c r="P126" s="159"/>
      <c r="Q126" s="159"/>
      <c r="R126" s="159"/>
    </row>
    <row r="127" spans="1:18" x14ac:dyDescent="0.25">
      <c r="A127" s="107"/>
      <c r="B127" s="165"/>
      <c r="C127" s="119"/>
      <c r="D127" s="176"/>
      <c r="E127" s="176"/>
      <c r="F127" s="192"/>
      <c r="G127" s="192"/>
      <c r="H127" s="180"/>
      <c r="I127" s="202"/>
      <c r="J127" s="112"/>
      <c r="K127" s="203"/>
      <c r="L127" s="112"/>
      <c r="M127" s="181"/>
      <c r="N127" s="89"/>
      <c r="O127" s="204"/>
      <c r="P127" s="159"/>
      <c r="Q127" s="159"/>
      <c r="R127" s="159"/>
    </row>
    <row r="128" spans="1:18" x14ac:dyDescent="0.25">
      <c r="A128" s="107"/>
      <c r="B128" s="165"/>
      <c r="C128" s="119"/>
      <c r="D128" s="176"/>
      <c r="E128" s="176"/>
      <c r="F128" s="192"/>
      <c r="G128" s="192"/>
      <c r="H128" s="180"/>
      <c r="I128" s="202"/>
      <c r="J128" s="112"/>
      <c r="K128" s="203"/>
      <c r="L128" s="112"/>
      <c r="M128" s="181"/>
      <c r="N128" s="89"/>
      <c r="O128" s="204"/>
      <c r="P128" s="159"/>
      <c r="Q128" s="159"/>
      <c r="R128" s="159"/>
    </row>
    <row r="129" spans="1:18" x14ac:dyDescent="0.25">
      <c r="A129" s="107"/>
      <c r="B129" s="165"/>
      <c r="C129" s="119"/>
      <c r="D129" s="176"/>
      <c r="E129" s="176"/>
      <c r="F129" s="192"/>
      <c r="G129" s="192"/>
      <c r="H129" s="180"/>
      <c r="I129" s="202"/>
      <c r="J129" s="112"/>
      <c r="K129" s="203"/>
      <c r="L129" s="112"/>
      <c r="M129" s="181"/>
      <c r="N129" s="89"/>
      <c r="O129" s="204"/>
      <c r="P129" s="159"/>
      <c r="Q129" s="159"/>
      <c r="R129" s="159"/>
    </row>
    <row r="130" spans="1:18" x14ac:dyDescent="0.25">
      <c r="A130" s="107"/>
      <c r="B130" s="165"/>
      <c r="C130" s="119"/>
      <c r="D130" s="176"/>
      <c r="E130" s="176"/>
      <c r="F130" s="192"/>
      <c r="G130" s="192"/>
      <c r="H130" s="180" t="str">
        <f t="shared" ref="H130" si="4">IF(AND(C130&lt;&gt;"",E130&lt;&gt;""),C130*E130,"")</f>
        <v/>
      </c>
      <c r="I130" s="202"/>
      <c r="J130" s="112"/>
      <c r="K130" s="203" t="str">
        <f t="shared" si="2"/>
        <v/>
      </c>
      <c r="L130" s="112" t="str">
        <f t="shared" si="3"/>
        <v/>
      </c>
      <c r="M130" s="181"/>
      <c r="N130" s="89"/>
      <c r="O130" s="204"/>
      <c r="P130" s="159"/>
      <c r="Q130" s="159"/>
      <c r="R130" s="159"/>
    </row>
    <row r="131" spans="1:18" x14ac:dyDescent="0.25">
      <c r="A131" s="120"/>
      <c r="B131" s="160"/>
      <c r="C131" s="121">
        <f>SUM(C4:C130)</f>
        <v>239</v>
      </c>
      <c r="D131" s="122"/>
      <c r="E131" s="122"/>
      <c r="F131" s="123"/>
      <c r="G131" s="124" t="s">
        <v>905</v>
      </c>
      <c r="H131" s="125">
        <f>SUM(H4:H130)</f>
        <v>19206</v>
      </c>
      <c r="I131" s="126"/>
      <c r="J131" s="127"/>
      <c r="K131" s="127"/>
      <c r="L131" s="127">
        <f>SUM(L4:L130)</f>
        <v>17203.319247311825</v>
      </c>
      <c r="M131" s="128"/>
      <c r="N131" s="129"/>
      <c r="O131" s="130"/>
      <c r="P131" s="159"/>
      <c r="Q131" s="159"/>
      <c r="R131" s="159"/>
    </row>
    <row r="132" spans="1:18" x14ac:dyDescent="0.25">
      <c r="A132" s="159"/>
      <c r="B132" s="159"/>
      <c r="C132" s="159"/>
      <c r="D132" s="159"/>
      <c r="E132" s="159"/>
      <c r="F132" s="209"/>
      <c r="G132" s="159"/>
      <c r="H132" s="159"/>
      <c r="I132" s="210"/>
      <c r="J132" s="137"/>
      <c r="K132" s="137"/>
      <c r="L132" s="137"/>
      <c r="M132" s="159"/>
      <c r="N132" s="159"/>
      <c r="O132" s="159"/>
      <c r="P132" s="159"/>
      <c r="Q132" s="159"/>
      <c r="R132" s="159"/>
    </row>
    <row r="133" spans="1:18" x14ac:dyDescent="0.25">
      <c r="A133" s="159"/>
      <c r="B133" s="159"/>
      <c r="C133" s="159"/>
      <c r="D133" s="159"/>
      <c r="E133" s="159"/>
      <c r="F133" s="209"/>
      <c r="G133" s="159"/>
      <c r="H133" s="159"/>
      <c r="I133" s="210"/>
      <c r="J133" s="137"/>
      <c r="K133" s="137"/>
      <c r="L133" s="137"/>
      <c r="M133" s="159"/>
      <c r="N133" s="159"/>
      <c r="O133" s="159"/>
      <c r="P133" s="159"/>
      <c r="Q133" s="159"/>
      <c r="R133" s="159"/>
    </row>
    <row r="134" spans="1:18" x14ac:dyDescent="0.25">
      <c r="A134" s="159"/>
      <c r="B134" s="159"/>
      <c r="C134" s="159"/>
      <c r="D134" s="159"/>
      <c r="E134" s="159"/>
      <c r="F134" s="209"/>
      <c r="G134" s="159"/>
      <c r="H134" s="159"/>
      <c r="I134" s="210"/>
      <c r="J134" s="137"/>
      <c r="K134" s="137"/>
      <c r="L134" s="137"/>
      <c r="M134" s="159"/>
      <c r="N134" s="159"/>
      <c r="O134" s="159"/>
      <c r="P134" s="159"/>
      <c r="Q134" s="159"/>
      <c r="R134" s="159"/>
    </row>
    <row r="135" spans="1:18" x14ac:dyDescent="0.25">
      <c r="A135" s="159"/>
      <c r="B135" s="159"/>
      <c r="C135" s="159"/>
      <c r="D135" s="159"/>
      <c r="E135" s="159"/>
      <c r="F135" s="209"/>
      <c r="G135" s="159"/>
      <c r="H135" s="159"/>
      <c r="I135" s="210"/>
      <c r="J135" s="137"/>
      <c r="K135" s="137"/>
      <c r="L135" s="137"/>
      <c r="M135" s="159"/>
      <c r="N135" s="159"/>
      <c r="O135" s="159"/>
      <c r="P135" s="159"/>
      <c r="Q135" s="159"/>
      <c r="R135" s="159"/>
    </row>
  </sheetData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668511-50DA-47EE-BD3A-B53C09B95D9C}">
          <x14:formula1>
            <xm:f>Guias!$O$2:$O$5</xm:f>
          </x14:formula1>
          <xm:sqref>M2</xm:sqref>
        </x14:dataValidation>
        <x14:dataValidation type="list" allowBlank="1" showInputMessage="1" showErrorMessage="1" xr:uid="{868FA747-05C7-42F3-8790-1485F5B7F24E}">
          <x14:formula1>
            <xm:f>Fincas!$B$2:$B$105</xm:f>
          </x14:formula1>
          <xm:sqref>K2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</vt:lpstr>
      <vt:lpstr>Sheet1</vt:lpstr>
      <vt:lpstr>Sheet2</vt:lpstr>
      <vt:lpstr>Guias</vt:lpstr>
      <vt:lpstr>Fincas</vt:lpstr>
      <vt:lpstr>Catalogo</vt:lpstr>
      <vt:lpstr>Ordenes Fijas</vt:lpstr>
      <vt:lpstr>Reporte Fincas</vt:lpstr>
      <vt:lpstr>Open Market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AndresB</dc:creator>
  <cp:keywords/>
  <dc:description/>
  <cp:lastModifiedBy>Cesar Aguilar</cp:lastModifiedBy>
  <cp:revision/>
  <dcterms:created xsi:type="dcterms:W3CDTF">2017-11-30T19:59:58Z</dcterms:created>
  <dcterms:modified xsi:type="dcterms:W3CDTF">2026-10-13T14:15:57Z</dcterms:modified>
  <cp:category/>
  <cp:contentStatus/>
</cp:coreProperties>
</file>